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hayr\Documents\Trabajo\brand_cleaner\brand_cleaner\"/>
    </mc:Choice>
  </mc:AlternateContent>
  <xr:revisionPtr revIDLastSave="0" documentId="13_ncr:1_{D15A7F86-AB75-48A2-95CE-328793FD551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0" r:id="rId1"/>
    <sheet name="RMF" sheetId="1" r:id="rId2"/>
    <sheet name="2018" sheetId="2" r:id="rId3"/>
    <sheet name="2019" sheetId="3" r:id="rId4"/>
    <sheet name="2020" sheetId="4" r:id="rId5"/>
    <sheet name="2021" sheetId="5" r:id="rId6"/>
    <sheet name="2022" sheetId="6" r:id="rId7"/>
    <sheet name="2023" sheetId="7" r:id="rId8"/>
    <sheet name="ALERTA SANITARIA" sheetId="8" r:id="rId9"/>
    <sheet name="Anterior" sheetId="9" r:id="rId10"/>
  </sheets>
  <definedNames>
    <definedName name="_xlnm._FilterDatabase" localSheetId="2" hidden="1">'2018'!$A$1:$B$1047</definedName>
    <definedName name="_xlnm._FilterDatabase" localSheetId="3" hidden="1">'2019'!$A$1:$B$1108</definedName>
    <definedName name="_xlnm._FilterDatabase" localSheetId="4" hidden="1">'2020'!$A$1:$B$1278</definedName>
    <definedName name="_xlnm._FilterDatabase" localSheetId="5" hidden="1">'2021'!$A$1:$B$1494</definedName>
    <definedName name="_xlnm._FilterDatabase" localSheetId="6" hidden="1">'2022'!$A$1:$B$1591</definedName>
    <definedName name="_xlnm._FilterDatabase" localSheetId="7" hidden="1">'2023'!$A$2:$B$1734</definedName>
    <definedName name="_xlnm._FilterDatabase" localSheetId="8" hidden="1">'ALERTA SANITARIA'!$B$2:$B$204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2IAmvKYfCZLnCmMYYfV/bjapI9Vyu54DkA03DKxsSyE="/>
    </ext>
  </extLst>
</workbook>
</file>

<file path=xl/calcChain.xml><?xml version="1.0" encoding="utf-8"?>
<calcChain xmlns="http://schemas.openxmlformats.org/spreadsheetml/2006/main">
  <c r="A288" i="10" l="1"/>
  <c r="K323" i="1" a="1"/>
  <c r="K323" i="1" s="1"/>
  <c r="I323" i="1"/>
  <c r="H323" i="1"/>
  <c r="G323" i="1"/>
  <c r="F323" i="1"/>
  <c r="E323" i="1"/>
  <c r="D323" i="1"/>
  <c r="C323" i="1"/>
  <c r="J323" i="1" s="1"/>
  <c r="K322" i="1" a="1"/>
  <c r="K322" i="1"/>
  <c r="L322" i="1" s="1"/>
  <c r="I322" i="1"/>
  <c r="H322" i="1"/>
  <c r="G322" i="1"/>
  <c r="F322" i="1"/>
  <c r="E322" i="1"/>
  <c r="D322" i="1"/>
  <c r="C322" i="1"/>
  <c r="J322" i="1" s="1"/>
  <c r="K321" i="1" a="1"/>
  <c r="K321" i="1" s="1"/>
  <c r="L321" i="1" s="1"/>
  <c r="I321" i="1"/>
  <c r="H321" i="1"/>
  <c r="G321" i="1"/>
  <c r="F321" i="1"/>
  <c r="E321" i="1"/>
  <c r="D321" i="1"/>
  <c r="C321" i="1"/>
  <c r="J321" i="1" s="1"/>
  <c r="K320" i="1" a="1"/>
  <c r="K320" i="1" s="1"/>
  <c r="I320" i="1"/>
  <c r="H320" i="1"/>
  <c r="G320" i="1"/>
  <c r="F320" i="1"/>
  <c r="E320" i="1"/>
  <c r="D320" i="1"/>
  <c r="C320" i="1"/>
  <c r="J320" i="1" s="1"/>
  <c r="K319" i="1" a="1"/>
  <c r="K319" i="1" s="1"/>
  <c r="L319" i="1" s="1"/>
  <c r="I319" i="1"/>
  <c r="H319" i="1"/>
  <c r="G319" i="1"/>
  <c r="F319" i="1"/>
  <c r="E319" i="1"/>
  <c r="D319" i="1"/>
  <c r="C319" i="1"/>
  <c r="J319" i="1" s="1"/>
  <c r="K318" i="1" a="1"/>
  <c r="K318" i="1" s="1"/>
  <c r="L318" i="1" s="1"/>
  <c r="I318" i="1"/>
  <c r="H318" i="1"/>
  <c r="G318" i="1"/>
  <c r="F318" i="1"/>
  <c r="E318" i="1"/>
  <c r="D318" i="1"/>
  <c r="C318" i="1"/>
  <c r="J318" i="1" s="1"/>
  <c r="K317" i="1" a="1"/>
  <c r="K317" i="1" s="1"/>
  <c r="I317" i="1"/>
  <c r="H317" i="1"/>
  <c r="G317" i="1"/>
  <c r="F317" i="1"/>
  <c r="E317" i="1"/>
  <c r="D317" i="1"/>
  <c r="C317" i="1"/>
  <c r="J317" i="1" s="1"/>
  <c r="K316" i="1" a="1"/>
  <c r="K316" i="1" s="1"/>
  <c r="L316" i="1" s="1"/>
  <c r="I316" i="1"/>
  <c r="H316" i="1"/>
  <c r="G316" i="1"/>
  <c r="F316" i="1"/>
  <c r="E316" i="1"/>
  <c r="D316" i="1"/>
  <c r="C316" i="1"/>
  <c r="J316" i="1" s="1"/>
  <c r="K315" i="1" a="1"/>
  <c r="K315" i="1" s="1"/>
  <c r="L315" i="1" s="1"/>
  <c r="I315" i="1"/>
  <c r="H315" i="1"/>
  <c r="G315" i="1"/>
  <c r="F315" i="1"/>
  <c r="E315" i="1"/>
  <c r="D315" i="1"/>
  <c r="C315" i="1"/>
  <c r="J315" i="1" s="1"/>
  <c r="K314" i="1" a="1"/>
  <c r="K314" i="1" s="1"/>
  <c r="I314" i="1"/>
  <c r="H314" i="1"/>
  <c r="G314" i="1"/>
  <c r="F314" i="1"/>
  <c r="E314" i="1"/>
  <c r="D314" i="1"/>
  <c r="C314" i="1"/>
  <c r="J314" i="1" s="1"/>
  <c r="K313" i="1" a="1"/>
  <c r="K313" i="1" s="1"/>
  <c r="L313" i="1" s="1"/>
  <c r="J313" i="1"/>
  <c r="I313" i="1"/>
  <c r="H313" i="1"/>
  <c r="K312" i="1" a="1"/>
  <c r="K312" i="1"/>
  <c r="I312" i="1"/>
  <c r="H312" i="1"/>
  <c r="G312" i="1"/>
  <c r="F312" i="1"/>
  <c r="E312" i="1"/>
  <c r="D312" i="1"/>
  <c r="C312" i="1"/>
  <c r="J312" i="1" s="1"/>
  <c r="K311" i="1" a="1"/>
  <c r="K311" i="1" s="1"/>
  <c r="L311" i="1" s="1"/>
  <c r="I311" i="1"/>
  <c r="H311" i="1"/>
  <c r="G311" i="1"/>
  <c r="F311" i="1"/>
  <c r="E311" i="1"/>
  <c r="D311" i="1"/>
  <c r="C311" i="1"/>
  <c r="J311" i="1" s="1"/>
  <c r="K310" i="1" a="1"/>
  <c r="K310" i="1" s="1"/>
  <c r="L310" i="1" s="1"/>
  <c r="I310" i="1"/>
  <c r="H310" i="1"/>
  <c r="G310" i="1"/>
  <c r="F310" i="1"/>
  <c r="E310" i="1"/>
  <c r="D310" i="1"/>
  <c r="C310" i="1"/>
  <c r="J310" i="1" s="1"/>
  <c r="K309" i="1" a="1"/>
  <c r="K309" i="1" s="1"/>
  <c r="I309" i="1"/>
  <c r="H309" i="1"/>
  <c r="G309" i="1"/>
  <c r="F309" i="1"/>
  <c r="E309" i="1"/>
  <c r="D309" i="1"/>
  <c r="C309" i="1"/>
  <c r="J309" i="1" s="1"/>
  <c r="K308" i="1" a="1"/>
  <c r="K308" i="1" s="1"/>
  <c r="L308" i="1" s="1"/>
  <c r="I308" i="1"/>
  <c r="H308" i="1"/>
  <c r="G308" i="1"/>
  <c r="F308" i="1"/>
  <c r="E308" i="1"/>
  <c r="D308" i="1"/>
  <c r="C308" i="1"/>
  <c r="J308" i="1" s="1"/>
  <c r="K307" i="1" a="1"/>
  <c r="K307" i="1" s="1"/>
  <c r="L307" i="1" s="1"/>
  <c r="I307" i="1"/>
  <c r="H307" i="1"/>
  <c r="G307" i="1"/>
  <c r="F307" i="1"/>
  <c r="E307" i="1"/>
  <c r="D307" i="1"/>
  <c r="C307" i="1"/>
  <c r="J307" i="1" s="1"/>
  <c r="K306" i="1" a="1"/>
  <c r="K306" i="1" s="1"/>
  <c r="I306" i="1"/>
  <c r="H306" i="1"/>
  <c r="G306" i="1"/>
  <c r="F306" i="1"/>
  <c r="E306" i="1"/>
  <c r="D306" i="1"/>
  <c r="C306" i="1"/>
  <c r="J306" i="1" s="1"/>
  <c r="K305" i="1" a="1"/>
  <c r="K305" i="1" s="1"/>
  <c r="L305" i="1" s="1"/>
  <c r="I305" i="1"/>
  <c r="H305" i="1"/>
  <c r="G305" i="1"/>
  <c r="F305" i="1"/>
  <c r="E305" i="1"/>
  <c r="D305" i="1"/>
  <c r="C305" i="1"/>
  <c r="J305" i="1" s="1"/>
  <c r="K304" i="1" a="1"/>
  <c r="K304" i="1" s="1"/>
  <c r="L304" i="1" s="1"/>
  <c r="I304" i="1"/>
  <c r="H304" i="1"/>
  <c r="G304" i="1"/>
  <c r="F304" i="1"/>
  <c r="E304" i="1"/>
  <c r="D304" i="1"/>
  <c r="C304" i="1"/>
  <c r="J304" i="1" s="1"/>
  <c r="K303" i="1" a="1"/>
  <c r="K303" i="1"/>
  <c r="L303" i="1" s="1"/>
  <c r="J303" i="1"/>
  <c r="I303" i="1"/>
  <c r="H303" i="1"/>
  <c r="G303" i="1"/>
  <c r="F303" i="1"/>
  <c r="E303" i="1"/>
  <c r="D303" i="1"/>
  <c r="C303" i="1"/>
  <c r="K302" i="1" a="1"/>
  <c r="K302" i="1"/>
  <c r="J302" i="1"/>
  <c r="L302" i="1" s="1"/>
  <c r="I302" i="1"/>
  <c r="H302" i="1"/>
  <c r="G302" i="1"/>
  <c r="F302" i="1"/>
  <c r="E302" i="1"/>
  <c r="D302" i="1"/>
  <c r="C302" i="1"/>
  <c r="K301" i="1" a="1"/>
  <c r="K301" i="1" s="1"/>
  <c r="L301" i="1" s="1"/>
  <c r="I301" i="1"/>
  <c r="H301" i="1"/>
  <c r="G301" i="1"/>
  <c r="F301" i="1"/>
  <c r="E301" i="1"/>
  <c r="D301" i="1"/>
  <c r="C301" i="1"/>
  <c r="J301" i="1" s="1"/>
  <c r="K300" i="1" a="1"/>
  <c r="K300" i="1"/>
  <c r="L300" i="1" s="1"/>
  <c r="I300" i="1"/>
  <c r="H300" i="1"/>
  <c r="G300" i="1"/>
  <c r="F300" i="1"/>
  <c r="E300" i="1"/>
  <c r="D300" i="1"/>
  <c r="C300" i="1"/>
  <c r="J300" i="1" s="1"/>
  <c r="K299" i="1" a="1"/>
  <c r="K299" i="1"/>
  <c r="I299" i="1"/>
  <c r="H299" i="1"/>
  <c r="G299" i="1"/>
  <c r="F299" i="1"/>
  <c r="E299" i="1"/>
  <c r="D299" i="1"/>
  <c r="C299" i="1"/>
  <c r="J299" i="1" s="1"/>
  <c r="L299" i="1" s="1"/>
  <c r="K298" i="1" a="1"/>
  <c r="K298" i="1" s="1"/>
  <c r="I298" i="1"/>
  <c r="H298" i="1"/>
  <c r="G298" i="1"/>
  <c r="F298" i="1"/>
  <c r="E298" i="1"/>
  <c r="D298" i="1"/>
  <c r="C298" i="1"/>
  <c r="J298" i="1" s="1"/>
  <c r="K297" i="1" a="1"/>
  <c r="K297" i="1" s="1"/>
  <c r="L297" i="1" s="1"/>
  <c r="I297" i="1"/>
  <c r="H297" i="1"/>
  <c r="G297" i="1"/>
  <c r="F297" i="1"/>
  <c r="E297" i="1"/>
  <c r="D297" i="1"/>
  <c r="C297" i="1"/>
  <c r="J297" i="1" s="1"/>
  <c r="K296" i="1" a="1"/>
  <c r="K296" i="1" s="1"/>
  <c r="I296" i="1"/>
  <c r="H296" i="1"/>
  <c r="G296" i="1"/>
  <c r="F296" i="1"/>
  <c r="E296" i="1"/>
  <c r="D296" i="1"/>
  <c r="C296" i="1"/>
  <c r="J296" i="1" s="1"/>
  <c r="K295" i="1" a="1"/>
  <c r="K295" i="1" s="1"/>
  <c r="I295" i="1"/>
  <c r="H295" i="1"/>
  <c r="G295" i="1"/>
  <c r="F295" i="1"/>
  <c r="E295" i="1"/>
  <c r="D295" i="1"/>
  <c r="C295" i="1"/>
  <c r="J295" i="1" s="1"/>
  <c r="K294" i="1" a="1"/>
  <c r="K294" i="1" s="1"/>
  <c r="L294" i="1" s="1"/>
  <c r="I294" i="1"/>
  <c r="H294" i="1"/>
  <c r="G294" i="1"/>
  <c r="F294" i="1"/>
  <c r="E294" i="1"/>
  <c r="D294" i="1"/>
  <c r="C294" i="1"/>
  <c r="J294" i="1" s="1"/>
  <c r="K293" i="1" a="1"/>
  <c r="K293" i="1" s="1"/>
  <c r="I293" i="1"/>
  <c r="H293" i="1"/>
  <c r="G293" i="1"/>
  <c r="F293" i="1"/>
  <c r="E293" i="1"/>
  <c r="D293" i="1"/>
  <c r="C293" i="1"/>
  <c r="J293" i="1" s="1"/>
  <c r="K292" i="1" a="1"/>
  <c r="K292" i="1" s="1"/>
  <c r="I292" i="1"/>
  <c r="H292" i="1"/>
  <c r="G292" i="1"/>
  <c r="F292" i="1"/>
  <c r="E292" i="1"/>
  <c r="D292" i="1"/>
  <c r="C292" i="1"/>
  <c r="J292" i="1" s="1"/>
  <c r="K291" i="1" a="1"/>
  <c r="K291" i="1"/>
  <c r="L291" i="1" s="1"/>
  <c r="J291" i="1"/>
  <c r="I291" i="1"/>
  <c r="H291" i="1"/>
  <c r="G291" i="1"/>
  <c r="F291" i="1"/>
  <c r="E291" i="1"/>
  <c r="D291" i="1"/>
  <c r="C291" i="1"/>
  <c r="L290" i="1"/>
  <c r="K290" i="1" a="1"/>
  <c r="K290" i="1"/>
  <c r="J290" i="1"/>
  <c r="I290" i="1"/>
  <c r="H290" i="1"/>
  <c r="G290" i="1"/>
  <c r="F290" i="1"/>
  <c r="E290" i="1"/>
  <c r="D290" i="1"/>
  <c r="C290" i="1"/>
  <c r="K289" i="1" a="1"/>
  <c r="K289" i="1" s="1"/>
  <c r="I289" i="1"/>
  <c r="H289" i="1"/>
  <c r="G289" i="1"/>
  <c r="F289" i="1"/>
  <c r="E289" i="1"/>
  <c r="D289" i="1"/>
  <c r="B289" i="1"/>
  <c r="C289" i="1" s="1"/>
  <c r="J289" i="1" s="1"/>
  <c r="K288" i="1" a="1"/>
  <c r="K288" i="1" s="1"/>
  <c r="I288" i="1"/>
  <c r="J288" i="1" s="1"/>
  <c r="H288" i="1"/>
  <c r="L287" i="1"/>
  <c r="K287" i="1" a="1"/>
  <c r="K287" i="1"/>
  <c r="J287" i="1"/>
  <c r="I287" i="1"/>
  <c r="K286" i="1" a="1"/>
  <c r="K286" i="1"/>
  <c r="L286" i="1" s="1"/>
  <c r="I286" i="1"/>
  <c r="H286" i="1"/>
  <c r="G286" i="1"/>
  <c r="F286" i="1"/>
  <c r="E286" i="1"/>
  <c r="D286" i="1"/>
  <c r="C286" i="1"/>
  <c r="J286" i="1" s="1"/>
  <c r="K285" i="1" a="1"/>
  <c r="K285" i="1"/>
  <c r="L285" i="1" s="1"/>
  <c r="J285" i="1"/>
  <c r="I285" i="1"/>
  <c r="K284" i="1" a="1"/>
  <c r="K284" i="1"/>
  <c r="L284" i="1" s="1"/>
  <c r="I284" i="1"/>
  <c r="H284" i="1"/>
  <c r="G284" i="1"/>
  <c r="F284" i="1"/>
  <c r="E284" i="1"/>
  <c r="D284" i="1"/>
  <c r="C284" i="1"/>
  <c r="J284" i="1" s="1"/>
  <c r="K283" i="1" a="1"/>
  <c r="K283" i="1"/>
  <c r="L283" i="1" s="1"/>
  <c r="J283" i="1"/>
  <c r="I283" i="1"/>
  <c r="K282" i="1" a="1"/>
  <c r="K282" i="1" s="1"/>
  <c r="L282" i="1" s="1"/>
  <c r="I282" i="1"/>
  <c r="H282" i="1"/>
  <c r="G282" i="1"/>
  <c r="F282" i="1"/>
  <c r="E282" i="1"/>
  <c r="D282" i="1"/>
  <c r="C282" i="1"/>
  <c r="J282" i="1" s="1"/>
  <c r="K281" i="1" a="1"/>
  <c r="K281" i="1"/>
  <c r="L281" i="1" s="1"/>
  <c r="I281" i="1"/>
  <c r="H281" i="1"/>
  <c r="G281" i="1"/>
  <c r="F281" i="1"/>
  <c r="E281" i="1"/>
  <c r="D281" i="1"/>
  <c r="C281" i="1"/>
  <c r="J281" i="1" s="1"/>
  <c r="K280" i="1" a="1"/>
  <c r="K280" i="1" s="1"/>
  <c r="I280" i="1"/>
  <c r="H280" i="1"/>
  <c r="G280" i="1"/>
  <c r="F280" i="1"/>
  <c r="E280" i="1"/>
  <c r="D280" i="1"/>
  <c r="C280" i="1"/>
  <c r="J280" i="1" s="1"/>
  <c r="K279" i="1" a="1"/>
  <c r="K279" i="1" s="1"/>
  <c r="L279" i="1" s="1"/>
  <c r="I279" i="1"/>
  <c r="H279" i="1"/>
  <c r="G279" i="1"/>
  <c r="F279" i="1"/>
  <c r="E279" i="1"/>
  <c r="D279" i="1"/>
  <c r="C279" i="1"/>
  <c r="J279" i="1" s="1"/>
  <c r="K278" i="1" a="1"/>
  <c r="K278" i="1" s="1"/>
  <c r="L278" i="1" s="1"/>
  <c r="I278" i="1"/>
  <c r="H278" i="1"/>
  <c r="G278" i="1"/>
  <c r="F278" i="1"/>
  <c r="E278" i="1"/>
  <c r="D278" i="1"/>
  <c r="C278" i="1"/>
  <c r="J278" i="1" s="1"/>
  <c r="K277" i="1" a="1"/>
  <c r="K277" i="1"/>
  <c r="I277" i="1"/>
  <c r="H277" i="1"/>
  <c r="G277" i="1"/>
  <c r="F277" i="1"/>
  <c r="E277" i="1"/>
  <c r="D277" i="1"/>
  <c r="C277" i="1"/>
  <c r="J277" i="1" s="1"/>
  <c r="K276" i="1" a="1"/>
  <c r="K276" i="1"/>
  <c r="I276" i="1"/>
  <c r="H276" i="1"/>
  <c r="G276" i="1"/>
  <c r="F276" i="1"/>
  <c r="E276" i="1"/>
  <c r="D276" i="1"/>
  <c r="C276" i="1"/>
  <c r="J276" i="1" s="1"/>
  <c r="L276" i="1" s="1"/>
  <c r="K275" i="1" a="1"/>
  <c r="K275" i="1" s="1"/>
  <c r="L275" i="1" s="1"/>
  <c r="I275" i="1"/>
  <c r="H275" i="1"/>
  <c r="G275" i="1"/>
  <c r="F275" i="1"/>
  <c r="E275" i="1"/>
  <c r="D275" i="1"/>
  <c r="C275" i="1"/>
  <c r="J275" i="1" s="1"/>
  <c r="K274" i="1" a="1"/>
  <c r="K274" i="1"/>
  <c r="L274" i="1" s="1"/>
  <c r="I274" i="1"/>
  <c r="H274" i="1"/>
  <c r="G274" i="1"/>
  <c r="F274" i="1"/>
  <c r="E274" i="1"/>
  <c r="D274" i="1"/>
  <c r="C274" i="1"/>
  <c r="J274" i="1" s="1"/>
  <c r="K273" i="1" a="1"/>
  <c r="K273" i="1"/>
  <c r="L273" i="1" s="1"/>
  <c r="J273" i="1"/>
  <c r="I273" i="1"/>
  <c r="H273" i="1"/>
  <c r="G273" i="1"/>
  <c r="F273" i="1"/>
  <c r="E273" i="1"/>
  <c r="D273" i="1"/>
  <c r="C273" i="1"/>
  <c r="K272" i="1" a="1"/>
  <c r="K272" i="1" s="1"/>
  <c r="I272" i="1"/>
  <c r="H272" i="1"/>
  <c r="G272" i="1"/>
  <c r="F272" i="1"/>
  <c r="E272" i="1"/>
  <c r="D272" i="1"/>
  <c r="C272" i="1"/>
  <c r="J272" i="1" s="1"/>
  <c r="K271" i="1" a="1"/>
  <c r="K271" i="1" s="1"/>
  <c r="L271" i="1" s="1"/>
  <c r="I271" i="1"/>
  <c r="H271" i="1"/>
  <c r="G271" i="1"/>
  <c r="F271" i="1"/>
  <c r="E271" i="1"/>
  <c r="D271" i="1"/>
  <c r="C271" i="1"/>
  <c r="J271" i="1" s="1"/>
  <c r="K270" i="1" a="1"/>
  <c r="K270" i="1" s="1"/>
  <c r="I270" i="1"/>
  <c r="H270" i="1"/>
  <c r="G270" i="1"/>
  <c r="F270" i="1"/>
  <c r="E270" i="1"/>
  <c r="D270" i="1"/>
  <c r="C270" i="1"/>
  <c r="J270" i="1" s="1"/>
  <c r="K269" i="1" a="1"/>
  <c r="K269" i="1"/>
  <c r="I269" i="1"/>
  <c r="H269" i="1"/>
  <c r="G269" i="1"/>
  <c r="F269" i="1"/>
  <c r="E269" i="1"/>
  <c r="D269" i="1"/>
  <c r="C269" i="1"/>
  <c r="J269" i="1" s="1"/>
  <c r="K268" i="1" a="1"/>
  <c r="K268" i="1" s="1"/>
  <c r="L268" i="1" s="1"/>
  <c r="I268" i="1"/>
  <c r="H268" i="1"/>
  <c r="G268" i="1"/>
  <c r="F268" i="1"/>
  <c r="E268" i="1"/>
  <c r="D268" i="1"/>
  <c r="C268" i="1"/>
  <c r="J268" i="1" s="1"/>
  <c r="K267" i="1" a="1"/>
  <c r="K267" i="1" s="1"/>
  <c r="L267" i="1" s="1"/>
  <c r="I267" i="1"/>
  <c r="H267" i="1"/>
  <c r="G267" i="1"/>
  <c r="F267" i="1"/>
  <c r="E267" i="1"/>
  <c r="D267" i="1"/>
  <c r="C267" i="1"/>
  <c r="J267" i="1" s="1"/>
  <c r="K266" i="1" a="1"/>
  <c r="K266" i="1"/>
  <c r="I266" i="1"/>
  <c r="J266" i="1" s="1"/>
  <c r="K265" i="1" a="1"/>
  <c r="K265" i="1" s="1"/>
  <c r="I265" i="1"/>
  <c r="H265" i="1"/>
  <c r="G265" i="1"/>
  <c r="F265" i="1"/>
  <c r="E265" i="1"/>
  <c r="D265" i="1"/>
  <c r="C265" i="1"/>
  <c r="J265" i="1" s="1"/>
  <c r="K264" i="1" a="1"/>
  <c r="K264" i="1" s="1"/>
  <c r="I264" i="1"/>
  <c r="H264" i="1"/>
  <c r="G264" i="1"/>
  <c r="F264" i="1"/>
  <c r="E264" i="1"/>
  <c r="D264" i="1"/>
  <c r="C264" i="1"/>
  <c r="J264" i="1" s="1"/>
  <c r="K263" i="1" a="1"/>
  <c r="K263" i="1"/>
  <c r="I263" i="1"/>
  <c r="H263" i="1"/>
  <c r="G263" i="1"/>
  <c r="F263" i="1"/>
  <c r="E263" i="1"/>
  <c r="D263" i="1"/>
  <c r="C263" i="1"/>
  <c r="J263" i="1" s="1"/>
  <c r="L263" i="1" s="1"/>
  <c r="K262" i="1" a="1"/>
  <c r="K262" i="1" s="1"/>
  <c r="L262" i="1" s="1"/>
  <c r="I262" i="1"/>
  <c r="H262" i="1"/>
  <c r="G262" i="1"/>
  <c r="F262" i="1"/>
  <c r="E262" i="1"/>
  <c r="D262" i="1"/>
  <c r="C262" i="1"/>
  <c r="J262" i="1" s="1"/>
  <c r="K261" i="1" a="1"/>
  <c r="K261" i="1" s="1"/>
  <c r="I261" i="1"/>
  <c r="J261" i="1" s="1"/>
  <c r="K260" i="1" a="1"/>
  <c r="K260" i="1"/>
  <c r="L260" i="1" s="1"/>
  <c r="I260" i="1"/>
  <c r="J260" i="1" s="1"/>
  <c r="H260" i="1"/>
  <c r="G260" i="1"/>
  <c r="F260" i="1"/>
  <c r="E260" i="1"/>
  <c r="D260" i="1"/>
  <c r="C260" i="1"/>
  <c r="K259" i="1" a="1"/>
  <c r="K259" i="1" s="1"/>
  <c r="I259" i="1"/>
  <c r="H259" i="1"/>
  <c r="G259" i="1"/>
  <c r="F259" i="1"/>
  <c r="E259" i="1"/>
  <c r="D259" i="1"/>
  <c r="C259" i="1"/>
  <c r="J259" i="1" s="1"/>
  <c r="K258" i="1" a="1"/>
  <c r="K258" i="1" s="1"/>
  <c r="L258" i="1" s="1"/>
  <c r="I258" i="1"/>
  <c r="H258" i="1"/>
  <c r="G258" i="1"/>
  <c r="F258" i="1"/>
  <c r="E258" i="1"/>
  <c r="D258" i="1"/>
  <c r="C258" i="1"/>
  <c r="J258" i="1" s="1"/>
  <c r="K257" i="1" a="1"/>
  <c r="K257" i="1" s="1"/>
  <c r="I257" i="1"/>
  <c r="H257" i="1"/>
  <c r="G257" i="1"/>
  <c r="F257" i="1"/>
  <c r="E257" i="1"/>
  <c r="D257" i="1"/>
  <c r="C257" i="1"/>
  <c r="J257" i="1" s="1"/>
  <c r="K256" i="1" a="1"/>
  <c r="K256" i="1" s="1"/>
  <c r="I256" i="1"/>
  <c r="H256" i="1"/>
  <c r="G256" i="1"/>
  <c r="F256" i="1"/>
  <c r="E256" i="1"/>
  <c r="D256" i="1"/>
  <c r="C256" i="1"/>
  <c r="J256" i="1" s="1"/>
  <c r="K255" i="1" a="1"/>
  <c r="K255" i="1" s="1"/>
  <c r="L255" i="1" s="1"/>
  <c r="I255" i="1"/>
  <c r="H255" i="1"/>
  <c r="G255" i="1"/>
  <c r="F255" i="1"/>
  <c r="E255" i="1"/>
  <c r="D255" i="1"/>
  <c r="C255" i="1"/>
  <c r="J255" i="1" s="1"/>
  <c r="K254" i="1" a="1"/>
  <c r="K254" i="1"/>
  <c r="I254" i="1"/>
  <c r="H254" i="1"/>
  <c r="G254" i="1"/>
  <c r="F254" i="1"/>
  <c r="E254" i="1"/>
  <c r="D254" i="1"/>
  <c r="C254" i="1"/>
  <c r="J254" i="1" s="1"/>
  <c r="K253" i="1" a="1"/>
  <c r="K253" i="1"/>
  <c r="I253" i="1"/>
  <c r="H253" i="1"/>
  <c r="G253" i="1"/>
  <c r="F253" i="1"/>
  <c r="E253" i="1"/>
  <c r="D253" i="1"/>
  <c r="C253" i="1"/>
  <c r="J253" i="1" s="1"/>
  <c r="K252" i="1" a="1"/>
  <c r="K252" i="1"/>
  <c r="I252" i="1"/>
  <c r="J252" i="1" s="1"/>
  <c r="L252" i="1" s="1"/>
  <c r="H252" i="1"/>
  <c r="G252" i="1"/>
  <c r="F252" i="1"/>
  <c r="E252" i="1"/>
  <c r="D252" i="1"/>
  <c r="C252" i="1"/>
  <c r="K251" i="1" a="1"/>
  <c r="K251" i="1" s="1"/>
  <c r="I251" i="1"/>
  <c r="J251" i="1" s="1"/>
  <c r="H251" i="1"/>
  <c r="G251" i="1"/>
  <c r="F251" i="1"/>
  <c r="E251" i="1"/>
  <c r="D251" i="1"/>
  <c r="C251" i="1"/>
  <c r="K250" i="1" a="1"/>
  <c r="K250" i="1"/>
  <c r="L250" i="1" s="1"/>
  <c r="I250" i="1"/>
  <c r="J250" i="1" s="1"/>
  <c r="H250" i="1"/>
  <c r="G250" i="1"/>
  <c r="F250" i="1"/>
  <c r="E250" i="1"/>
  <c r="D250" i="1"/>
  <c r="C250" i="1"/>
  <c r="K249" i="1" a="1"/>
  <c r="K249" i="1"/>
  <c r="L249" i="1" s="1"/>
  <c r="J249" i="1"/>
  <c r="I249" i="1"/>
  <c r="H249" i="1"/>
  <c r="G249" i="1"/>
  <c r="F249" i="1"/>
  <c r="E249" i="1"/>
  <c r="D249" i="1"/>
  <c r="C249" i="1"/>
  <c r="K248" i="1" a="1"/>
  <c r="K248" i="1"/>
  <c r="L248" i="1" s="1"/>
  <c r="I248" i="1"/>
  <c r="J248" i="1" s="1"/>
  <c r="H248" i="1"/>
  <c r="G248" i="1"/>
  <c r="F248" i="1"/>
  <c r="E248" i="1"/>
  <c r="D248" i="1"/>
  <c r="C248" i="1"/>
  <c r="K247" i="1" a="1"/>
  <c r="K247" i="1"/>
  <c r="L247" i="1" s="1"/>
  <c r="I247" i="1"/>
  <c r="H247" i="1"/>
  <c r="G247" i="1"/>
  <c r="F247" i="1"/>
  <c r="E247" i="1"/>
  <c r="D247" i="1"/>
  <c r="C247" i="1"/>
  <c r="J247" i="1" s="1"/>
  <c r="K246" i="1" a="1"/>
  <c r="K246" i="1" s="1"/>
  <c r="I246" i="1"/>
  <c r="H246" i="1"/>
  <c r="G246" i="1"/>
  <c r="F246" i="1"/>
  <c r="E246" i="1"/>
  <c r="D246" i="1"/>
  <c r="C246" i="1"/>
  <c r="J246" i="1" s="1"/>
  <c r="K245" i="1" a="1"/>
  <c r="K245" i="1" s="1"/>
  <c r="L245" i="1" s="1"/>
  <c r="I245" i="1"/>
  <c r="J245" i="1" s="1"/>
  <c r="K244" i="1" a="1"/>
  <c r="K244" i="1"/>
  <c r="L244" i="1" s="1"/>
  <c r="I244" i="1"/>
  <c r="J244" i="1" s="1"/>
  <c r="H244" i="1"/>
  <c r="G244" i="1"/>
  <c r="F244" i="1"/>
  <c r="E244" i="1"/>
  <c r="D244" i="1"/>
  <c r="C244" i="1"/>
  <c r="K243" i="1" a="1"/>
  <c r="K243" i="1"/>
  <c r="L243" i="1" s="1"/>
  <c r="J243" i="1"/>
  <c r="I243" i="1"/>
  <c r="H243" i="1"/>
  <c r="G243" i="1"/>
  <c r="F243" i="1"/>
  <c r="E243" i="1"/>
  <c r="D243" i="1"/>
  <c r="C243" i="1"/>
  <c r="K242" i="1" a="1"/>
  <c r="K242" i="1"/>
  <c r="I242" i="1"/>
  <c r="J242" i="1" s="1"/>
  <c r="L242" i="1" s="1"/>
  <c r="H242" i="1"/>
  <c r="G242" i="1"/>
  <c r="F242" i="1"/>
  <c r="E242" i="1"/>
  <c r="D242" i="1"/>
  <c r="C242" i="1"/>
  <c r="K241" i="1" a="1"/>
  <c r="K241" i="1" s="1"/>
  <c r="L241" i="1" s="1"/>
  <c r="I241" i="1"/>
  <c r="H241" i="1"/>
  <c r="G241" i="1"/>
  <c r="F241" i="1"/>
  <c r="E241" i="1"/>
  <c r="D241" i="1"/>
  <c r="C241" i="1"/>
  <c r="J241" i="1" s="1"/>
  <c r="K240" i="1" a="1"/>
  <c r="K240" i="1" s="1"/>
  <c r="I240" i="1"/>
  <c r="H240" i="1"/>
  <c r="G240" i="1"/>
  <c r="F240" i="1"/>
  <c r="E240" i="1"/>
  <c r="D240" i="1"/>
  <c r="C240" i="1"/>
  <c r="J240" i="1" s="1"/>
  <c r="K239" i="1" a="1"/>
  <c r="K239" i="1" s="1"/>
  <c r="L239" i="1" s="1"/>
  <c r="I239" i="1"/>
  <c r="H239" i="1"/>
  <c r="G239" i="1"/>
  <c r="F239" i="1"/>
  <c r="E239" i="1"/>
  <c r="D239" i="1"/>
  <c r="C239" i="1"/>
  <c r="J239" i="1" s="1"/>
  <c r="K238" i="1" a="1"/>
  <c r="K238" i="1" s="1"/>
  <c r="L238" i="1" s="1"/>
  <c r="I238" i="1"/>
  <c r="H238" i="1"/>
  <c r="G238" i="1"/>
  <c r="F238" i="1"/>
  <c r="E238" i="1"/>
  <c r="D238" i="1"/>
  <c r="C238" i="1"/>
  <c r="J238" i="1" s="1"/>
  <c r="K237" i="1" a="1"/>
  <c r="K237" i="1" s="1"/>
  <c r="I237" i="1"/>
  <c r="H237" i="1"/>
  <c r="G237" i="1"/>
  <c r="F237" i="1"/>
  <c r="E237" i="1"/>
  <c r="D237" i="1"/>
  <c r="C237" i="1"/>
  <c r="J237" i="1" s="1"/>
  <c r="K236" i="1" a="1"/>
  <c r="K236" i="1"/>
  <c r="L236" i="1" s="1"/>
  <c r="I236" i="1"/>
  <c r="H236" i="1"/>
  <c r="G236" i="1"/>
  <c r="F236" i="1"/>
  <c r="E236" i="1"/>
  <c r="D236" i="1"/>
  <c r="C236" i="1"/>
  <c r="J236" i="1" s="1"/>
  <c r="K235" i="1" a="1"/>
  <c r="K235" i="1"/>
  <c r="L235" i="1" s="1"/>
  <c r="J235" i="1"/>
  <c r="I235" i="1"/>
  <c r="H235" i="1"/>
  <c r="G235" i="1"/>
  <c r="F235" i="1"/>
  <c r="E235" i="1"/>
  <c r="D235" i="1"/>
  <c r="C235" i="1"/>
  <c r="K234" i="1" a="1"/>
  <c r="K234" i="1"/>
  <c r="I234" i="1"/>
  <c r="J234" i="1" s="1"/>
  <c r="L234" i="1" s="1"/>
  <c r="H234" i="1"/>
  <c r="G234" i="1"/>
  <c r="F234" i="1"/>
  <c r="E234" i="1"/>
  <c r="D234" i="1"/>
  <c r="C234" i="1"/>
  <c r="K233" i="1" a="1"/>
  <c r="K233" i="1" s="1"/>
  <c r="I233" i="1"/>
  <c r="J233" i="1" s="1"/>
  <c r="H233" i="1"/>
  <c r="G233" i="1"/>
  <c r="F233" i="1"/>
  <c r="E233" i="1"/>
  <c r="D233" i="1"/>
  <c r="C233" i="1"/>
  <c r="K232" i="1" a="1"/>
  <c r="K232" i="1"/>
  <c r="L232" i="1" s="1"/>
  <c r="I232" i="1"/>
  <c r="J232" i="1" s="1"/>
  <c r="H232" i="1"/>
  <c r="G232" i="1"/>
  <c r="F232" i="1"/>
  <c r="E232" i="1"/>
  <c r="D232" i="1"/>
  <c r="C232" i="1"/>
  <c r="K231" i="1" a="1"/>
  <c r="K231" i="1"/>
  <c r="L231" i="1" s="1"/>
  <c r="J231" i="1"/>
  <c r="I231" i="1"/>
  <c r="K230" i="1" a="1"/>
  <c r="K230" i="1"/>
  <c r="I230" i="1"/>
  <c r="H230" i="1"/>
  <c r="G230" i="1"/>
  <c r="F230" i="1"/>
  <c r="E230" i="1"/>
  <c r="D230" i="1"/>
  <c r="C230" i="1"/>
  <c r="J230" i="1" s="1"/>
  <c r="K229" i="1" a="1"/>
  <c r="K229" i="1"/>
  <c r="L229" i="1" s="1"/>
  <c r="J229" i="1"/>
  <c r="I229" i="1"/>
  <c r="H229" i="1"/>
  <c r="G229" i="1"/>
  <c r="F229" i="1"/>
  <c r="E229" i="1"/>
  <c r="D229" i="1"/>
  <c r="C229" i="1"/>
  <c r="K228" i="1" a="1"/>
  <c r="K228" i="1"/>
  <c r="I228" i="1"/>
  <c r="J228" i="1" s="1"/>
  <c r="L228" i="1" s="1"/>
  <c r="H228" i="1"/>
  <c r="G228" i="1"/>
  <c r="F228" i="1"/>
  <c r="C228" i="1"/>
  <c r="K227" i="1" a="1"/>
  <c r="K227" i="1"/>
  <c r="L227" i="1" s="1"/>
  <c r="J227" i="1"/>
  <c r="I227" i="1"/>
  <c r="H227" i="1"/>
  <c r="G227" i="1"/>
  <c r="F227" i="1"/>
  <c r="E227" i="1"/>
  <c r="D227" i="1"/>
  <c r="C227" i="1"/>
  <c r="K226" i="1" a="1"/>
  <c r="K226" i="1"/>
  <c r="I226" i="1"/>
  <c r="J226" i="1" s="1"/>
  <c r="L226" i="1" s="1"/>
  <c r="H226" i="1"/>
  <c r="G226" i="1"/>
  <c r="F226" i="1"/>
  <c r="E226" i="1"/>
  <c r="D226" i="1"/>
  <c r="C226" i="1"/>
  <c r="K225" i="1" a="1"/>
  <c r="K225" i="1" s="1"/>
  <c r="L225" i="1" s="1"/>
  <c r="I225" i="1"/>
  <c r="H225" i="1"/>
  <c r="G225" i="1"/>
  <c r="F225" i="1"/>
  <c r="E225" i="1"/>
  <c r="D225" i="1"/>
  <c r="C225" i="1"/>
  <c r="J225" i="1" s="1"/>
  <c r="K224" i="1" a="1"/>
  <c r="K224" i="1" s="1"/>
  <c r="I224" i="1"/>
  <c r="H224" i="1"/>
  <c r="G224" i="1"/>
  <c r="F224" i="1"/>
  <c r="E224" i="1"/>
  <c r="D224" i="1"/>
  <c r="C224" i="1"/>
  <c r="J224" i="1" s="1"/>
  <c r="K223" i="1" a="1"/>
  <c r="K223" i="1" s="1"/>
  <c r="L223" i="1" s="1"/>
  <c r="J223" i="1"/>
  <c r="I223" i="1"/>
  <c r="H223" i="1"/>
  <c r="G223" i="1"/>
  <c r="F223" i="1"/>
  <c r="K222" i="1" a="1"/>
  <c r="K222" i="1"/>
  <c r="L222" i="1" s="1"/>
  <c r="J222" i="1"/>
  <c r="I222" i="1"/>
  <c r="H222" i="1"/>
  <c r="G222" i="1"/>
  <c r="F222" i="1"/>
  <c r="E222" i="1"/>
  <c r="D222" i="1"/>
  <c r="C222" i="1"/>
  <c r="K221" i="1" a="1"/>
  <c r="K221" i="1"/>
  <c r="I221" i="1"/>
  <c r="J221" i="1" s="1"/>
  <c r="L221" i="1" s="1"/>
  <c r="H221" i="1"/>
  <c r="G221" i="1"/>
  <c r="F221" i="1"/>
  <c r="E221" i="1"/>
  <c r="D221" i="1"/>
  <c r="C221" i="1"/>
  <c r="K220" i="1" a="1"/>
  <c r="K220" i="1" s="1"/>
  <c r="L220" i="1" s="1"/>
  <c r="I220" i="1"/>
  <c r="J220" i="1" s="1"/>
  <c r="H220" i="1"/>
  <c r="G220" i="1"/>
  <c r="F220" i="1"/>
  <c r="E220" i="1"/>
  <c r="D220" i="1"/>
  <c r="C220" i="1"/>
  <c r="K219" i="1" a="1"/>
  <c r="K219" i="1"/>
  <c r="I219" i="1"/>
  <c r="J219" i="1" s="1"/>
  <c r="K218" i="1" a="1"/>
  <c r="K218" i="1" s="1"/>
  <c r="I218" i="1"/>
  <c r="J218" i="1" s="1"/>
  <c r="K217" i="1" a="1"/>
  <c r="K217" i="1" s="1"/>
  <c r="I217" i="1"/>
  <c r="J217" i="1" s="1"/>
  <c r="H217" i="1"/>
  <c r="G217" i="1"/>
  <c r="F217" i="1"/>
  <c r="E217" i="1"/>
  <c r="D217" i="1"/>
  <c r="C217" i="1"/>
  <c r="K216" i="1" a="1"/>
  <c r="K216" i="1" s="1"/>
  <c r="L216" i="1" s="1"/>
  <c r="I216" i="1"/>
  <c r="H216" i="1"/>
  <c r="G216" i="1"/>
  <c r="F216" i="1"/>
  <c r="E216" i="1"/>
  <c r="D216" i="1"/>
  <c r="C216" i="1"/>
  <c r="J216" i="1" s="1"/>
  <c r="K215" i="1" a="1"/>
  <c r="K215" i="1" s="1"/>
  <c r="L215" i="1" s="1"/>
  <c r="I215" i="1"/>
  <c r="H215" i="1"/>
  <c r="G215" i="1"/>
  <c r="F215" i="1"/>
  <c r="E215" i="1"/>
  <c r="D215" i="1"/>
  <c r="C215" i="1"/>
  <c r="J215" i="1" s="1"/>
  <c r="K214" i="1" a="1"/>
  <c r="K214" i="1" s="1"/>
  <c r="L214" i="1" s="1"/>
  <c r="J214" i="1"/>
  <c r="I214" i="1"/>
  <c r="H214" i="1"/>
  <c r="K213" i="1" a="1"/>
  <c r="K213" i="1" s="1"/>
  <c r="L213" i="1" s="1"/>
  <c r="I213" i="1"/>
  <c r="J213" i="1" s="1"/>
  <c r="H213" i="1"/>
  <c r="G213" i="1"/>
  <c r="F213" i="1"/>
  <c r="E213" i="1"/>
  <c r="D213" i="1"/>
  <c r="C213" i="1"/>
  <c r="K212" i="1" a="1"/>
  <c r="K212" i="1"/>
  <c r="I212" i="1"/>
  <c r="H212" i="1"/>
  <c r="G212" i="1"/>
  <c r="F212" i="1"/>
  <c r="E212" i="1"/>
  <c r="D212" i="1"/>
  <c r="C212" i="1"/>
  <c r="J212" i="1" s="1"/>
  <c r="K211" i="1" a="1"/>
  <c r="K211" i="1"/>
  <c r="L211" i="1" s="1"/>
  <c r="J211" i="1"/>
  <c r="I211" i="1"/>
  <c r="H211" i="1"/>
  <c r="G211" i="1"/>
  <c r="F211" i="1"/>
  <c r="E211" i="1"/>
  <c r="D211" i="1"/>
  <c r="C211" i="1"/>
  <c r="K210" i="1" a="1"/>
  <c r="K210" i="1" s="1"/>
  <c r="L210" i="1" s="1"/>
  <c r="I210" i="1"/>
  <c r="H210" i="1"/>
  <c r="G210" i="1"/>
  <c r="F210" i="1"/>
  <c r="E210" i="1"/>
  <c r="D210" i="1"/>
  <c r="C210" i="1"/>
  <c r="J210" i="1" s="1"/>
  <c r="K209" i="1" a="1"/>
  <c r="K209" i="1" s="1"/>
  <c r="I209" i="1"/>
  <c r="H209" i="1"/>
  <c r="G209" i="1"/>
  <c r="F209" i="1"/>
  <c r="E209" i="1"/>
  <c r="D209" i="1"/>
  <c r="C209" i="1"/>
  <c r="J209" i="1" s="1"/>
  <c r="K208" i="1" a="1"/>
  <c r="K208" i="1" s="1"/>
  <c r="I208" i="1"/>
  <c r="H208" i="1"/>
  <c r="G208" i="1"/>
  <c r="F208" i="1"/>
  <c r="E208" i="1"/>
  <c r="D208" i="1"/>
  <c r="C208" i="1"/>
  <c r="J208" i="1" s="1"/>
  <c r="K207" i="1" a="1"/>
  <c r="K207" i="1" s="1"/>
  <c r="L207" i="1" s="1"/>
  <c r="I207" i="1"/>
  <c r="H207" i="1"/>
  <c r="G207" i="1"/>
  <c r="F207" i="1"/>
  <c r="E207" i="1"/>
  <c r="D207" i="1"/>
  <c r="C207" i="1"/>
  <c r="J207" i="1" s="1"/>
  <c r="K206" i="1" a="1"/>
  <c r="K206" i="1" s="1"/>
  <c r="L206" i="1" s="1"/>
  <c r="J206" i="1"/>
  <c r="I206" i="1"/>
  <c r="K205" i="1" a="1"/>
  <c r="K205" i="1"/>
  <c r="L205" i="1" s="1"/>
  <c r="J205" i="1"/>
  <c r="I205" i="1"/>
  <c r="K204" i="1" a="1"/>
  <c r="K204" i="1"/>
  <c r="L204" i="1" s="1"/>
  <c r="J204" i="1"/>
  <c r="I204" i="1"/>
  <c r="K203" i="1" a="1"/>
  <c r="K203" i="1" s="1"/>
  <c r="I203" i="1"/>
  <c r="H203" i="1"/>
  <c r="G203" i="1"/>
  <c r="F203" i="1"/>
  <c r="E203" i="1"/>
  <c r="D203" i="1"/>
  <c r="C203" i="1"/>
  <c r="J203" i="1" s="1"/>
  <c r="K202" i="1" a="1"/>
  <c r="K202" i="1" s="1"/>
  <c r="I202" i="1"/>
  <c r="H202" i="1"/>
  <c r="G202" i="1"/>
  <c r="F202" i="1"/>
  <c r="E202" i="1"/>
  <c r="D202" i="1"/>
  <c r="C202" i="1"/>
  <c r="J202" i="1" s="1"/>
  <c r="K201" i="1" a="1"/>
  <c r="K201" i="1" s="1"/>
  <c r="L201" i="1" s="1"/>
  <c r="I201" i="1"/>
  <c r="H201" i="1"/>
  <c r="G201" i="1"/>
  <c r="F201" i="1"/>
  <c r="E201" i="1"/>
  <c r="D201" i="1"/>
  <c r="C201" i="1"/>
  <c r="J201" i="1" s="1"/>
  <c r="K200" i="1" a="1"/>
  <c r="K200" i="1" s="1"/>
  <c r="I200" i="1"/>
  <c r="H200" i="1"/>
  <c r="G200" i="1"/>
  <c r="F200" i="1"/>
  <c r="E200" i="1"/>
  <c r="D200" i="1"/>
  <c r="C200" i="1"/>
  <c r="J200" i="1" s="1"/>
  <c r="K199" i="1" a="1"/>
  <c r="K199" i="1" s="1"/>
  <c r="I199" i="1"/>
  <c r="H199" i="1"/>
  <c r="G199" i="1"/>
  <c r="F199" i="1"/>
  <c r="E199" i="1"/>
  <c r="D199" i="1"/>
  <c r="C199" i="1"/>
  <c r="J199" i="1" s="1"/>
  <c r="K198" i="1" a="1"/>
  <c r="K198" i="1"/>
  <c r="L198" i="1" s="1"/>
  <c r="J198" i="1"/>
  <c r="I198" i="1"/>
  <c r="H198" i="1"/>
  <c r="G198" i="1"/>
  <c r="F198" i="1"/>
  <c r="C198" i="1"/>
  <c r="K197" i="1" a="1"/>
  <c r="K197" i="1" s="1"/>
  <c r="L197" i="1" s="1"/>
  <c r="I197" i="1"/>
  <c r="J197" i="1" s="1"/>
  <c r="H197" i="1"/>
  <c r="G197" i="1"/>
  <c r="F197" i="1"/>
  <c r="E197" i="1"/>
  <c r="D197" i="1"/>
  <c r="C197" i="1"/>
  <c r="K196" i="1" a="1"/>
  <c r="K196" i="1"/>
  <c r="L196" i="1" s="1"/>
  <c r="I196" i="1"/>
  <c r="J196" i="1" s="1"/>
  <c r="H196" i="1"/>
  <c r="G196" i="1"/>
  <c r="F196" i="1"/>
  <c r="E196" i="1"/>
  <c r="D196" i="1"/>
  <c r="C196" i="1"/>
  <c r="K195" i="1" a="1"/>
  <c r="K195" i="1"/>
  <c r="L195" i="1" s="1"/>
  <c r="J195" i="1"/>
  <c r="I195" i="1"/>
  <c r="H195" i="1"/>
  <c r="G195" i="1"/>
  <c r="F195" i="1"/>
  <c r="E195" i="1"/>
  <c r="D195" i="1"/>
  <c r="C195" i="1"/>
  <c r="K194" i="1" a="1"/>
  <c r="K194" i="1"/>
  <c r="I194" i="1"/>
  <c r="H194" i="1"/>
  <c r="G194" i="1"/>
  <c r="F194" i="1"/>
  <c r="E194" i="1"/>
  <c r="D194" i="1"/>
  <c r="C194" i="1"/>
  <c r="J194" i="1" s="1"/>
  <c r="L194" i="1" s="1"/>
  <c r="K193" i="1" a="1"/>
  <c r="K193" i="1" s="1"/>
  <c r="I193" i="1"/>
  <c r="H193" i="1"/>
  <c r="G193" i="1"/>
  <c r="F193" i="1"/>
  <c r="E193" i="1"/>
  <c r="D193" i="1"/>
  <c r="C193" i="1"/>
  <c r="J193" i="1" s="1"/>
  <c r="K192" i="1" a="1"/>
  <c r="K192" i="1" s="1"/>
  <c r="I192" i="1"/>
  <c r="J192" i="1" s="1"/>
  <c r="H192" i="1"/>
  <c r="G192" i="1"/>
  <c r="F192" i="1"/>
  <c r="K191" i="1" a="1"/>
  <c r="K191" i="1"/>
  <c r="L191" i="1" s="1"/>
  <c r="I191" i="1"/>
  <c r="H191" i="1"/>
  <c r="G191" i="1"/>
  <c r="F191" i="1"/>
  <c r="E191" i="1"/>
  <c r="D191" i="1"/>
  <c r="C191" i="1"/>
  <c r="J191" i="1" s="1"/>
  <c r="K190" i="1" a="1"/>
  <c r="K190" i="1"/>
  <c r="L190" i="1" s="1"/>
  <c r="J190" i="1"/>
  <c r="I190" i="1"/>
  <c r="H190" i="1"/>
  <c r="G190" i="1"/>
  <c r="F190" i="1"/>
  <c r="E190" i="1"/>
  <c r="D190" i="1"/>
  <c r="C190" i="1"/>
  <c r="K189" i="1" a="1"/>
  <c r="K189" i="1"/>
  <c r="L189" i="1" s="1"/>
  <c r="I189" i="1"/>
  <c r="J189" i="1" s="1"/>
  <c r="H189" i="1"/>
  <c r="G189" i="1"/>
  <c r="F189" i="1"/>
  <c r="E189" i="1"/>
  <c r="D189" i="1"/>
  <c r="C189" i="1"/>
  <c r="K188" i="1" a="1"/>
  <c r="K188" i="1" s="1"/>
  <c r="I188" i="1"/>
  <c r="J188" i="1" s="1"/>
  <c r="H188" i="1"/>
  <c r="G188" i="1"/>
  <c r="F188" i="1"/>
  <c r="E188" i="1"/>
  <c r="D188" i="1"/>
  <c r="C188" i="1"/>
  <c r="K187" i="1" a="1"/>
  <c r="K187" i="1"/>
  <c r="L187" i="1" s="1"/>
  <c r="I187" i="1"/>
  <c r="J187" i="1" s="1"/>
  <c r="H187" i="1"/>
  <c r="G187" i="1"/>
  <c r="F187" i="1"/>
  <c r="E187" i="1"/>
  <c r="D187" i="1"/>
  <c r="C187" i="1"/>
  <c r="K186" i="1" a="1"/>
  <c r="K186" i="1"/>
  <c r="L186" i="1" s="1"/>
  <c r="J186" i="1"/>
  <c r="I186" i="1"/>
  <c r="H186" i="1"/>
  <c r="G186" i="1"/>
  <c r="F186" i="1"/>
  <c r="E186" i="1"/>
  <c r="D186" i="1"/>
  <c r="C186" i="1"/>
  <c r="K185" i="1" a="1"/>
  <c r="K185" i="1" s="1"/>
  <c r="I185" i="1"/>
  <c r="H185" i="1"/>
  <c r="G185" i="1"/>
  <c r="F185" i="1"/>
  <c r="E185" i="1"/>
  <c r="D185" i="1"/>
  <c r="C185" i="1"/>
  <c r="J185" i="1" s="1"/>
  <c r="K184" i="1" a="1"/>
  <c r="K184" i="1" s="1"/>
  <c r="L184" i="1" s="1"/>
  <c r="I184" i="1"/>
  <c r="H184" i="1"/>
  <c r="G184" i="1"/>
  <c r="F184" i="1"/>
  <c r="E184" i="1"/>
  <c r="D184" i="1"/>
  <c r="C184" i="1"/>
  <c r="J184" i="1" s="1"/>
  <c r="K183" i="1" a="1"/>
  <c r="K183" i="1" s="1"/>
  <c r="I183" i="1"/>
  <c r="H183" i="1"/>
  <c r="G183" i="1"/>
  <c r="F183" i="1"/>
  <c r="E183" i="1"/>
  <c r="D183" i="1"/>
  <c r="C183" i="1"/>
  <c r="J183" i="1" s="1"/>
  <c r="K182" i="1" a="1"/>
  <c r="K182" i="1" s="1"/>
  <c r="I182" i="1"/>
  <c r="H182" i="1"/>
  <c r="G182" i="1"/>
  <c r="F182" i="1"/>
  <c r="E182" i="1"/>
  <c r="D182" i="1"/>
  <c r="C182" i="1"/>
  <c r="J182" i="1" s="1"/>
  <c r="K181" i="1" a="1"/>
  <c r="K181" i="1" s="1"/>
  <c r="L181" i="1" s="1"/>
  <c r="J181" i="1"/>
  <c r="I181" i="1"/>
  <c r="K180" i="1" a="1"/>
  <c r="K180" i="1"/>
  <c r="L180" i="1" s="1"/>
  <c r="J180" i="1"/>
  <c r="I180" i="1"/>
  <c r="H180" i="1"/>
  <c r="G180" i="1"/>
  <c r="F180" i="1"/>
  <c r="E180" i="1"/>
  <c r="D180" i="1"/>
  <c r="C180" i="1"/>
  <c r="K179" i="1" a="1"/>
  <c r="K179" i="1"/>
  <c r="I179" i="1"/>
  <c r="H179" i="1"/>
  <c r="G179" i="1"/>
  <c r="F179" i="1"/>
  <c r="E179" i="1"/>
  <c r="D179" i="1"/>
  <c r="C179" i="1"/>
  <c r="J179" i="1" s="1"/>
  <c r="L179" i="1" s="1"/>
  <c r="K178" i="1" a="1"/>
  <c r="K178" i="1" s="1"/>
  <c r="L178" i="1" s="1"/>
  <c r="I178" i="1"/>
  <c r="H178" i="1"/>
  <c r="G178" i="1"/>
  <c r="F178" i="1"/>
  <c r="E178" i="1"/>
  <c r="D178" i="1"/>
  <c r="C178" i="1"/>
  <c r="J178" i="1" s="1"/>
  <c r="K177" i="1" a="1"/>
  <c r="K177" i="1" s="1"/>
  <c r="I177" i="1"/>
  <c r="H177" i="1"/>
  <c r="G177" i="1"/>
  <c r="F177" i="1"/>
  <c r="E177" i="1"/>
  <c r="D177" i="1"/>
  <c r="C177" i="1"/>
  <c r="J177" i="1" s="1"/>
  <c r="K176" i="1" a="1"/>
  <c r="K176" i="1" s="1"/>
  <c r="L176" i="1" s="1"/>
  <c r="I176" i="1"/>
  <c r="H176" i="1"/>
  <c r="G176" i="1"/>
  <c r="F176" i="1"/>
  <c r="E176" i="1"/>
  <c r="D176" i="1"/>
  <c r="C176" i="1"/>
  <c r="J176" i="1" s="1"/>
  <c r="K175" i="1" a="1"/>
  <c r="K175" i="1" s="1"/>
  <c r="L175" i="1" s="1"/>
  <c r="I175" i="1"/>
  <c r="H175" i="1"/>
  <c r="G175" i="1"/>
  <c r="F175" i="1"/>
  <c r="E175" i="1"/>
  <c r="D175" i="1"/>
  <c r="C175" i="1"/>
  <c r="J175" i="1" s="1"/>
  <c r="K174" i="1" a="1"/>
  <c r="K174" i="1" s="1"/>
  <c r="I174" i="1"/>
  <c r="H174" i="1"/>
  <c r="G174" i="1"/>
  <c r="F174" i="1"/>
  <c r="E174" i="1"/>
  <c r="D174" i="1"/>
  <c r="C174" i="1"/>
  <c r="J174" i="1" s="1"/>
  <c r="K173" i="1" a="1"/>
  <c r="K173" i="1"/>
  <c r="L173" i="1" s="1"/>
  <c r="I173" i="1"/>
  <c r="H173" i="1"/>
  <c r="G173" i="1"/>
  <c r="F173" i="1"/>
  <c r="E173" i="1"/>
  <c r="D173" i="1"/>
  <c r="C173" i="1"/>
  <c r="J173" i="1" s="1"/>
  <c r="K172" i="1" a="1"/>
  <c r="K172" i="1"/>
  <c r="L172" i="1" s="1"/>
  <c r="J172" i="1"/>
  <c r="I172" i="1"/>
  <c r="H172" i="1"/>
  <c r="G172" i="1"/>
  <c r="F172" i="1"/>
  <c r="E172" i="1"/>
  <c r="D172" i="1"/>
  <c r="C172" i="1"/>
  <c r="K171" i="1" a="1"/>
  <c r="K171" i="1"/>
  <c r="L171" i="1" s="1"/>
  <c r="I171" i="1"/>
  <c r="J171" i="1" s="1"/>
  <c r="H171" i="1"/>
  <c r="G171" i="1"/>
  <c r="F171" i="1"/>
  <c r="E171" i="1"/>
  <c r="D171" i="1"/>
  <c r="C171" i="1"/>
  <c r="K170" i="1" a="1"/>
  <c r="K170" i="1" s="1"/>
  <c r="I170" i="1"/>
  <c r="J170" i="1" s="1"/>
  <c r="H170" i="1"/>
  <c r="G170" i="1"/>
  <c r="F170" i="1"/>
  <c r="E170" i="1"/>
  <c r="D170" i="1"/>
  <c r="C170" i="1"/>
  <c r="K169" i="1" a="1"/>
  <c r="K169" i="1"/>
  <c r="L169" i="1" s="1"/>
  <c r="I169" i="1"/>
  <c r="J169" i="1" s="1"/>
  <c r="H169" i="1"/>
  <c r="G169" i="1"/>
  <c r="F169" i="1"/>
  <c r="E169" i="1"/>
  <c r="D169" i="1"/>
  <c r="C169" i="1"/>
  <c r="K168" i="1" a="1"/>
  <c r="K168" i="1"/>
  <c r="L168" i="1" s="1"/>
  <c r="J168" i="1"/>
  <c r="I168" i="1"/>
  <c r="H168" i="1"/>
  <c r="G168" i="1"/>
  <c r="K167" i="1" a="1"/>
  <c r="K167" i="1" s="1"/>
  <c r="L167" i="1" s="1"/>
  <c r="J167" i="1"/>
  <c r="I167" i="1"/>
  <c r="K166" i="1" a="1"/>
  <c r="K166" i="1"/>
  <c r="L166" i="1" s="1"/>
  <c r="J166" i="1"/>
  <c r="I166" i="1"/>
  <c r="H166" i="1"/>
  <c r="G166" i="1"/>
  <c r="F166" i="1"/>
  <c r="E166" i="1"/>
  <c r="D166" i="1"/>
  <c r="C166" i="1"/>
  <c r="K165" i="1" a="1"/>
  <c r="K165" i="1" s="1"/>
  <c r="I165" i="1"/>
  <c r="H165" i="1"/>
  <c r="G165" i="1"/>
  <c r="F165" i="1"/>
  <c r="E165" i="1"/>
  <c r="D165" i="1"/>
  <c r="C165" i="1"/>
  <c r="J165" i="1" s="1"/>
  <c r="K164" i="1" a="1"/>
  <c r="K164" i="1" s="1"/>
  <c r="L164" i="1" s="1"/>
  <c r="I164" i="1"/>
  <c r="H164" i="1"/>
  <c r="G164" i="1"/>
  <c r="F164" i="1"/>
  <c r="E164" i="1"/>
  <c r="D164" i="1"/>
  <c r="C164" i="1"/>
  <c r="J164" i="1" s="1"/>
  <c r="K163" i="1" a="1"/>
  <c r="K163" i="1" s="1"/>
  <c r="L163" i="1" s="1"/>
  <c r="I163" i="1"/>
  <c r="H163" i="1"/>
  <c r="G163" i="1"/>
  <c r="F163" i="1"/>
  <c r="E163" i="1"/>
  <c r="D163" i="1"/>
  <c r="C163" i="1"/>
  <c r="J163" i="1" s="1"/>
  <c r="K162" i="1" a="1"/>
  <c r="K162" i="1" s="1"/>
  <c r="I162" i="1"/>
  <c r="H162" i="1"/>
  <c r="G162" i="1"/>
  <c r="F162" i="1"/>
  <c r="E162" i="1"/>
  <c r="D162" i="1"/>
  <c r="C162" i="1"/>
  <c r="J162" i="1" s="1"/>
  <c r="K161" i="1" a="1"/>
  <c r="K161" i="1" s="1"/>
  <c r="L161" i="1" s="1"/>
  <c r="I161" i="1"/>
  <c r="H161" i="1"/>
  <c r="G161" i="1"/>
  <c r="F161" i="1"/>
  <c r="E161" i="1"/>
  <c r="D161" i="1"/>
  <c r="C161" i="1"/>
  <c r="J161" i="1" s="1"/>
  <c r="K160" i="1" a="1"/>
  <c r="K160" i="1" s="1"/>
  <c r="L160" i="1" s="1"/>
  <c r="I160" i="1"/>
  <c r="H160" i="1"/>
  <c r="G160" i="1"/>
  <c r="F160" i="1"/>
  <c r="E160" i="1"/>
  <c r="D160" i="1"/>
  <c r="C160" i="1"/>
  <c r="J160" i="1" s="1"/>
  <c r="K159" i="1" a="1"/>
  <c r="K159" i="1"/>
  <c r="I159" i="1"/>
  <c r="H159" i="1"/>
  <c r="G159" i="1"/>
  <c r="F159" i="1"/>
  <c r="E159" i="1"/>
  <c r="D159" i="1"/>
  <c r="C159" i="1"/>
  <c r="J159" i="1" s="1"/>
  <c r="K158" i="1" a="1"/>
  <c r="K158" i="1"/>
  <c r="L158" i="1" s="1"/>
  <c r="J158" i="1"/>
  <c r="I158" i="1"/>
  <c r="H158" i="1"/>
  <c r="G158" i="1"/>
  <c r="F158" i="1"/>
  <c r="E158" i="1"/>
  <c r="D158" i="1"/>
  <c r="C158" i="1"/>
  <c r="K157" i="1" a="1"/>
  <c r="K157" i="1"/>
  <c r="I157" i="1"/>
  <c r="J157" i="1" s="1"/>
  <c r="H157" i="1"/>
  <c r="G157" i="1"/>
  <c r="F157" i="1"/>
  <c r="E157" i="1"/>
  <c r="D157" i="1"/>
  <c r="C157" i="1"/>
  <c r="K156" i="1" a="1"/>
  <c r="K156" i="1" s="1"/>
  <c r="L156" i="1" s="1"/>
  <c r="I156" i="1"/>
  <c r="J156" i="1" s="1"/>
  <c r="H156" i="1"/>
  <c r="G156" i="1"/>
  <c r="F156" i="1"/>
  <c r="E156" i="1"/>
  <c r="D156" i="1"/>
  <c r="C156" i="1"/>
  <c r="K155" i="1" a="1"/>
  <c r="K155" i="1"/>
  <c r="L155" i="1" s="1"/>
  <c r="I155" i="1"/>
  <c r="J155" i="1" s="1"/>
  <c r="H155" i="1"/>
  <c r="G155" i="1"/>
  <c r="F155" i="1"/>
  <c r="E155" i="1"/>
  <c r="D155" i="1"/>
  <c r="C155" i="1"/>
  <c r="K154" i="1" a="1"/>
  <c r="K154" i="1"/>
  <c r="L154" i="1" s="1"/>
  <c r="J154" i="1"/>
  <c r="I154" i="1"/>
  <c r="H154" i="1"/>
  <c r="G154" i="1"/>
  <c r="F154" i="1"/>
  <c r="E154" i="1"/>
  <c r="D154" i="1"/>
  <c r="C154" i="1"/>
  <c r="K153" i="1" a="1"/>
  <c r="K153" i="1" s="1"/>
  <c r="L153" i="1" s="1"/>
  <c r="I153" i="1"/>
  <c r="H153" i="1"/>
  <c r="G153" i="1"/>
  <c r="F153" i="1"/>
  <c r="E153" i="1"/>
  <c r="D153" i="1"/>
  <c r="C153" i="1"/>
  <c r="J153" i="1" s="1"/>
  <c r="K152" i="1" a="1"/>
  <c r="K152" i="1" s="1"/>
  <c r="I152" i="1"/>
  <c r="H152" i="1"/>
  <c r="G152" i="1"/>
  <c r="F152" i="1"/>
  <c r="E152" i="1"/>
  <c r="D152" i="1"/>
  <c r="C152" i="1"/>
  <c r="J152" i="1" s="1"/>
  <c r="K151" i="1" a="1"/>
  <c r="K151" i="1" s="1"/>
  <c r="I151" i="1"/>
  <c r="H151" i="1"/>
  <c r="G151" i="1"/>
  <c r="F151" i="1"/>
  <c r="E151" i="1"/>
  <c r="D151" i="1"/>
  <c r="C151" i="1"/>
  <c r="J151" i="1" s="1"/>
  <c r="K150" i="1" a="1"/>
  <c r="K150" i="1" s="1"/>
  <c r="L150" i="1" s="1"/>
  <c r="I150" i="1"/>
  <c r="H150" i="1"/>
  <c r="G150" i="1"/>
  <c r="F150" i="1"/>
  <c r="E150" i="1"/>
  <c r="D150" i="1"/>
  <c r="C150" i="1"/>
  <c r="J150" i="1" s="1"/>
  <c r="K149" i="1" a="1"/>
  <c r="K149" i="1" s="1"/>
  <c r="I149" i="1"/>
  <c r="H149" i="1"/>
  <c r="G149" i="1"/>
  <c r="F149" i="1"/>
  <c r="E149" i="1"/>
  <c r="D149" i="1"/>
  <c r="C149" i="1"/>
  <c r="J149" i="1" s="1"/>
  <c r="K148" i="1" a="1"/>
  <c r="K148" i="1" s="1"/>
  <c r="I148" i="1"/>
  <c r="H148" i="1"/>
  <c r="G148" i="1"/>
  <c r="F148" i="1"/>
  <c r="E148" i="1"/>
  <c r="D148" i="1"/>
  <c r="C148" i="1"/>
  <c r="J148" i="1" s="1"/>
  <c r="K147" i="1" a="1"/>
  <c r="K147" i="1"/>
  <c r="L147" i="1" s="1"/>
  <c r="I147" i="1"/>
  <c r="H147" i="1"/>
  <c r="G147" i="1"/>
  <c r="F147" i="1"/>
  <c r="E147" i="1"/>
  <c r="D147" i="1"/>
  <c r="C147" i="1"/>
  <c r="J147" i="1" s="1"/>
  <c r="K146" i="1" a="1"/>
  <c r="K146" i="1"/>
  <c r="L146" i="1" s="1"/>
  <c r="J146" i="1"/>
  <c r="I146" i="1"/>
  <c r="H146" i="1"/>
  <c r="G146" i="1"/>
  <c r="F146" i="1"/>
  <c r="E146" i="1"/>
  <c r="D146" i="1"/>
  <c r="C146" i="1"/>
  <c r="K145" i="1" a="1"/>
  <c r="K145" i="1"/>
  <c r="I145" i="1"/>
  <c r="J145" i="1" s="1"/>
  <c r="H145" i="1"/>
  <c r="G145" i="1"/>
  <c r="F145" i="1"/>
  <c r="E145" i="1"/>
  <c r="D145" i="1"/>
  <c r="C145" i="1"/>
  <c r="K144" i="1" a="1"/>
  <c r="K144" i="1" s="1"/>
  <c r="L144" i="1" s="1"/>
  <c r="I144" i="1"/>
  <c r="J144" i="1" s="1"/>
  <c r="H144" i="1"/>
  <c r="G144" i="1"/>
  <c r="F144" i="1"/>
  <c r="E144" i="1"/>
  <c r="D144" i="1"/>
  <c r="C144" i="1"/>
  <c r="K143" i="1" a="1"/>
  <c r="K143" i="1"/>
  <c r="I143" i="1"/>
  <c r="J143" i="1" s="1"/>
  <c r="H143" i="1"/>
  <c r="G143" i="1"/>
  <c r="F143" i="1"/>
  <c r="E143" i="1"/>
  <c r="D143" i="1"/>
  <c r="C143" i="1"/>
  <c r="K142" i="1" a="1"/>
  <c r="K142" i="1"/>
  <c r="L142" i="1" s="1"/>
  <c r="J142" i="1"/>
  <c r="I142" i="1"/>
  <c r="H142" i="1"/>
  <c r="G142" i="1"/>
  <c r="F142" i="1"/>
  <c r="E142" i="1"/>
  <c r="D142" i="1"/>
  <c r="C142" i="1"/>
  <c r="K141" i="1" a="1"/>
  <c r="K141" i="1" s="1"/>
  <c r="I141" i="1"/>
  <c r="H141" i="1"/>
  <c r="G141" i="1"/>
  <c r="F141" i="1"/>
  <c r="E141" i="1"/>
  <c r="D141" i="1"/>
  <c r="C141" i="1"/>
  <c r="J141" i="1" s="1"/>
  <c r="K140" i="1" a="1"/>
  <c r="K140" i="1" s="1"/>
  <c r="I140" i="1"/>
  <c r="H140" i="1"/>
  <c r="G140" i="1"/>
  <c r="F140" i="1"/>
  <c r="E140" i="1"/>
  <c r="D140" i="1"/>
  <c r="C140" i="1"/>
  <c r="J140" i="1" s="1"/>
  <c r="K139" i="1" a="1"/>
  <c r="K139" i="1" s="1"/>
  <c r="L139" i="1" s="1"/>
  <c r="J139" i="1"/>
  <c r="I139" i="1"/>
  <c r="H139" i="1"/>
  <c r="G139" i="1"/>
  <c r="F139" i="1"/>
  <c r="K138" i="1" a="1"/>
  <c r="K138" i="1"/>
  <c r="L138" i="1" s="1"/>
  <c r="J138" i="1"/>
  <c r="I138" i="1"/>
  <c r="G138" i="1"/>
  <c r="F138" i="1"/>
  <c r="E138" i="1"/>
  <c r="D138" i="1"/>
  <c r="C138" i="1"/>
  <c r="K137" i="1" a="1"/>
  <c r="K137" i="1"/>
  <c r="I137" i="1"/>
  <c r="J137" i="1" s="1"/>
  <c r="H137" i="1"/>
  <c r="G137" i="1"/>
  <c r="F137" i="1"/>
  <c r="E137" i="1"/>
  <c r="D137" i="1"/>
  <c r="C137" i="1"/>
  <c r="K136" i="1" a="1"/>
  <c r="K136" i="1" s="1"/>
  <c r="L136" i="1" s="1"/>
  <c r="I136" i="1"/>
  <c r="J136" i="1" s="1"/>
  <c r="H136" i="1"/>
  <c r="G136" i="1"/>
  <c r="F136" i="1"/>
  <c r="E136" i="1"/>
  <c r="D136" i="1"/>
  <c r="C136" i="1"/>
  <c r="K135" i="1" a="1"/>
  <c r="K135" i="1"/>
  <c r="I135" i="1"/>
  <c r="J135" i="1" s="1"/>
  <c r="H135" i="1"/>
  <c r="G135" i="1"/>
  <c r="F135" i="1"/>
  <c r="E135" i="1"/>
  <c r="D135" i="1"/>
  <c r="C135" i="1"/>
  <c r="K134" i="1" a="1"/>
  <c r="K134" i="1"/>
  <c r="L134" i="1" s="1"/>
  <c r="J134" i="1"/>
  <c r="I134" i="1"/>
  <c r="H134" i="1"/>
  <c r="G134" i="1"/>
  <c r="F134" i="1"/>
  <c r="E134" i="1"/>
  <c r="D134" i="1"/>
  <c r="C134" i="1"/>
  <c r="K133" i="1" a="1"/>
  <c r="K133" i="1" s="1"/>
  <c r="L133" i="1" s="1"/>
  <c r="I133" i="1"/>
  <c r="H133" i="1"/>
  <c r="G133" i="1"/>
  <c r="F133" i="1"/>
  <c r="E133" i="1"/>
  <c r="D133" i="1"/>
  <c r="C133" i="1"/>
  <c r="J133" i="1" s="1"/>
  <c r="K132" i="1" a="1"/>
  <c r="K132" i="1" s="1"/>
  <c r="L132" i="1" s="1"/>
  <c r="I132" i="1"/>
  <c r="H132" i="1"/>
  <c r="G132" i="1"/>
  <c r="F132" i="1"/>
  <c r="E132" i="1"/>
  <c r="D132" i="1"/>
  <c r="C132" i="1"/>
  <c r="J132" i="1" s="1"/>
  <c r="K131" i="1" a="1"/>
  <c r="K131" i="1" s="1"/>
  <c r="I131" i="1"/>
  <c r="H131" i="1"/>
  <c r="G131" i="1"/>
  <c r="F131" i="1"/>
  <c r="E131" i="1"/>
  <c r="D131" i="1"/>
  <c r="C131" i="1"/>
  <c r="J131" i="1" s="1"/>
  <c r="K130" i="1" a="1"/>
  <c r="K130" i="1" s="1"/>
  <c r="L130" i="1" s="1"/>
  <c r="I130" i="1"/>
  <c r="H130" i="1"/>
  <c r="G130" i="1"/>
  <c r="F130" i="1"/>
  <c r="E130" i="1"/>
  <c r="D130" i="1"/>
  <c r="C130" i="1"/>
  <c r="J130" i="1" s="1"/>
  <c r="K129" i="1" a="1"/>
  <c r="K129" i="1" s="1"/>
  <c r="L129" i="1" s="1"/>
  <c r="I129" i="1"/>
  <c r="H129" i="1"/>
  <c r="G129" i="1"/>
  <c r="F129" i="1"/>
  <c r="E129" i="1"/>
  <c r="D129" i="1"/>
  <c r="C129" i="1"/>
  <c r="J129" i="1" s="1"/>
  <c r="K128" i="1" a="1"/>
  <c r="K128" i="1" s="1"/>
  <c r="L128" i="1" s="1"/>
  <c r="J128" i="1"/>
  <c r="I128" i="1"/>
  <c r="H128" i="1"/>
  <c r="G128" i="1"/>
  <c r="F128" i="1"/>
  <c r="E128" i="1"/>
  <c r="D128" i="1"/>
  <c r="C128" i="1"/>
  <c r="K127" i="1" a="1"/>
  <c r="K127" i="1"/>
  <c r="L127" i="1" s="1"/>
  <c r="J127" i="1"/>
  <c r="I127" i="1"/>
  <c r="H127" i="1"/>
  <c r="G127" i="1"/>
  <c r="F127" i="1"/>
  <c r="E127" i="1"/>
  <c r="D127" i="1"/>
  <c r="C127" i="1"/>
  <c r="K126" i="1" a="1"/>
  <c r="K126" i="1"/>
  <c r="L126" i="1" s="1"/>
  <c r="J126" i="1"/>
  <c r="I126" i="1"/>
  <c r="H126" i="1"/>
  <c r="G126" i="1"/>
  <c r="F126" i="1"/>
  <c r="E126" i="1"/>
  <c r="D126" i="1"/>
  <c r="C126" i="1"/>
  <c r="K125" i="1" a="1"/>
  <c r="K125" i="1"/>
  <c r="I125" i="1"/>
  <c r="J125" i="1" s="1"/>
  <c r="K124" i="1" a="1"/>
  <c r="K124" i="1" s="1"/>
  <c r="L124" i="1" s="1"/>
  <c r="I124" i="1"/>
  <c r="H124" i="1"/>
  <c r="G124" i="1"/>
  <c r="F124" i="1"/>
  <c r="E124" i="1"/>
  <c r="D124" i="1"/>
  <c r="C124" i="1"/>
  <c r="J124" i="1" s="1"/>
  <c r="K123" i="1" a="1"/>
  <c r="K123" i="1" s="1"/>
  <c r="L123" i="1" s="1"/>
  <c r="I123" i="1"/>
  <c r="H123" i="1"/>
  <c r="G123" i="1"/>
  <c r="F123" i="1"/>
  <c r="E123" i="1"/>
  <c r="D123" i="1"/>
  <c r="C123" i="1"/>
  <c r="J123" i="1" s="1"/>
  <c r="K122" i="1" a="1"/>
  <c r="K122" i="1" s="1"/>
  <c r="I122" i="1"/>
  <c r="H122" i="1"/>
  <c r="G122" i="1"/>
  <c r="F122" i="1"/>
  <c r="E122" i="1"/>
  <c r="D122" i="1"/>
  <c r="C122" i="1"/>
  <c r="J122" i="1" s="1"/>
  <c r="K121" i="1" a="1"/>
  <c r="K121" i="1"/>
  <c r="L121" i="1" s="1"/>
  <c r="J121" i="1"/>
  <c r="I121" i="1"/>
  <c r="K120" i="1" a="1"/>
  <c r="K120" i="1"/>
  <c r="I120" i="1"/>
  <c r="H120" i="1"/>
  <c r="G120" i="1"/>
  <c r="F120" i="1"/>
  <c r="E120" i="1"/>
  <c r="D120" i="1"/>
  <c r="C120" i="1"/>
  <c r="J120" i="1" s="1"/>
  <c r="L120" i="1" s="1"/>
  <c r="K119" i="1" a="1"/>
  <c r="K119" i="1" s="1"/>
  <c r="I119" i="1"/>
  <c r="H119" i="1"/>
  <c r="G119" i="1"/>
  <c r="F119" i="1"/>
  <c r="E119" i="1"/>
  <c r="D119" i="1"/>
  <c r="C119" i="1"/>
  <c r="J119" i="1" s="1"/>
  <c r="K118" i="1" a="1"/>
  <c r="K118" i="1" s="1"/>
  <c r="L118" i="1" s="1"/>
  <c r="I118" i="1"/>
  <c r="H118" i="1"/>
  <c r="G118" i="1"/>
  <c r="F118" i="1"/>
  <c r="E118" i="1"/>
  <c r="D118" i="1"/>
  <c r="C118" i="1"/>
  <c r="J118" i="1" s="1"/>
  <c r="K117" i="1" a="1"/>
  <c r="K117" i="1" s="1"/>
  <c r="I117" i="1"/>
  <c r="H117" i="1"/>
  <c r="G117" i="1"/>
  <c r="F117" i="1"/>
  <c r="E117" i="1"/>
  <c r="D117" i="1"/>
  <c r="C117" i="1"/>
  <c r="J117" i="1" s="1"/>
  <c r="K116" i="1" a="1"/>
  <c r="K116" i="1" s="1"/>
  <c r="I116" i="1"/>
  <c r="H116" i="1"/>
  <c r="G116" i="1"/>
  <c r="F116" i="1"/>
  <c r="E116" i="1"/>
  <c r="D116" i="1"/>
  <c r="C116" i="1"/>
  <c r="J116" i="1" s="1"/>
  <c r="K115" i="1" a="1"/>
  <c r="K115" i="1" s="1"/>
  <c r="L115" i="1" s="1"/>
  <c r="I115" i="1"/>
  <c r="H115" i="1"/>
  <c r="G115" i="1"/>
  <c r="F115" i="1"/>
  <c r="E115" i="1"/>
  <c r="D115" i="1"/>
  <c r="C115" i="1"/>
  <c r="J115" i="1" s="1"/>
  <c r="K114" i="1" a="1"/>
  <c r="K114" i="1"/>
  <c r="L114" i="1" s="1"/>
  <c r="J114" i="1"/>
  <c r="I114" i="1"/>
  <c r="H114" i="1"/>
  <c r="G114" i="1"/>
  <c r="F114" i="1"/>
  <c r="E114" i="1"/>
  <c r="D114" i="1"/>
  <c r="C114" i="1"/>
  <c r="K113" i="1" a="1"/>
  <c r="K113" i="1"/>
  <c r="L113" i="1" s="1"/>
  <c r="J113" i="1"/>
  <c r="I113" i="1"/>
  <c r="H113" i="1"/>
  <c r="G113" i="1"/>
  <c r="F113" i="1"/>
  <c r="E113" i="1"/>
  <c r="D113" i="1"/>
  <c r="C113" i="1"/>
  <c r="K112" i="1" a="1"/>
  <c r="K112" i="1" s="1"/>
  <c r="I112" i="1"/>
  <c r="J112" i="1" s="1"/>
  <c r="H112" i="1"/>
  <c r="G112" i="1"/>
  <c r="F112" i="1"/>
  <c r="E112" i="1"/>
  <c r="D112" i="1"/>
  <c r="C112" i="1"/>
  <c r="K111" i="1" a="1"/>
  <c r="K111" i="1"/>
  <c r="I111" i="1"/>
  <c r="J111" i="1" s="1"/>
  <c r="H111" i="1"/>
  <c r="G111" i="1"/>
  <c r="F111" i="1"/>
  <c r="E111" i="1"/>
  <c r="D111" i="1"/>
  <c r="C111" i="1"/>
  <c r="K110" i="1" a="1"/>
  <c r="K110" i="1"/>
  <c r="L110" i="1" s="1"/>
  <c r="J110" i="1"/>
  <c r="I110" i="1"/>
  <c r="H110" i="1"/>
  <c r="G110" i="1"/>
  <c r="F110" i="1"/>
  <c r="E110" i="1"/>
  <c r="D110" i="1"/>
  <c r="C110" i="1"/>
  <c r="K109" i="1" a="1"/>
  <c r="K109" i="1" s="1"/>
  <c r="L109" i="1" s="1"/>
  <c r="I109" i="1"/>
  <c r="J109" i="1" s="1"/>
  <c r="H109" i="1"/>
  <c r="G109" i="1"/>
  <c r="F109" i="1"/>
  <c r="E109" i="1"/>
  <c r="D109" i="1"/>
  <c r="C109" i="1"/>
  <c r="K108" i="1" a="1"/>
  <c r="K108" i="1"/>
  <c r="I108" i="1"/>
  <c r="H108" i="1"/>
  <c r="G108" i="1"/>
  <c r="F108" i="1"/>
  <c r="E108" i="1"/>
  <c r="D108" i="1"/>
  <c r="C108" i="1"/>
  <c r="J108" i="1" s="1"/>
  <c r="K107" i="1" a="1"/>
  <c r="K107" i="1" s="1"/>
  <c r="L107" i="1" s="1"/>
  <c r="J107" i="1"/>
  <c r="I107" i="1"/>
  <c r="K106" i="1" a="1"/>
  <c r="K106" i="1" s="1"/>
  <c r="L106" i="1" s="1"/>
  <c r="I106" i="1"/>
  <c r="J106" i="1" s="1"/>
  <c r="H106" i="1"/>
  <c r="G106" i="1"/>
  <c r="F106" i="1"/>
  <c r="E106" i="1"/>
  <c r="D106" i="1"/>
  <c r="C106" i="1"/>
  <c r="K105" i="1" a="1"/>
  <c r="K105" i="1"/>
  <c r="L105" i="1" s="1"/>
  <c r="I105" i="1"/>
  <c r="J105" i="1" s="1"/>
  <c r="H105" i="1"/>
  <c r="G105" i="1"/>
  <c r="F105" i="1"/>
  <c r="E105" i="1"/>
  <c r="D105" i="1"/>
  <c r="C105" i="1"/>
  <c r="K104" i="1" a="1"/>
  <c r="K104" i="1"/>
  <c r="L104" i="1" s="1"/>
  <c r="J104" i="1"/>
  <c r="I104" i="1"/>
  <c r="K103" i="1" a="1"/>
  <c r="K103" i="1" s="1"/>
  <c r="L103" i="1" s="1"/>
  <c r="J103" i="1"/>
  <c r="I103" i="1"/>
  <c r="H103" i="1"/>
  <c r="G103" i="1"/>
  <c r="F103" i="1"/>
  <c r="E103" i="1"/>
  <c r="D103" i="1"/>
  <c r="C103" i="1"/>
  <c r="K102" i="1" a="1"/>
  <c r="K102" i="1"/>
  <c r="L102" i="1" s="1"/>
  <c r="J102" i="1"/>
  <c r="I102" i="1"/>
  <c r="H102" i="1"/>
  <c r="G102" i="1"/>
  <c r="F102" i="1"/>
  <c r="E102" i="1"/>
  <c r="D102" i="1"/>
  <c r="C102" i="1"/>
  <c r="K101" i="1" a="1"/>
  <c r="K101" i="1"/>
  <c r="L101" i="1" s="1"/>
  <c r="J101" i="1"/>
  <c r="I101" i="1"/>
  <c r="H101" i="1"/>
  <c r="G101" i="1"/>
  <c r="F101" i="1"/>
  <c r="E101" i="1"/>
  <c r="D101" i="1"/>
  <c r="C101" i="1"/>
  <c r="K100" i="1" a="1"/>
  <c r="K100" i="1" s="1"/>
  <c r="L100" i="1" s="1"/>
  <c r="I100" i="1"/>
  <c r="J100" i="1" s="1"/>
  <c r="H100" i="1"/>
  <c r="G100" i="1"/>
  <c r="F100" i="1"/>
  <c r="E100" i="1"/>
  <c r="D100" i="1"/>
  <c r="C100" i="1"/>
  <c r="K99" i="1" a="1"/>
  <c r="K99" i="1"/>
  <c r="I99" i="1"/>
  <c r="J99" i="1" s="1"/>
  <c r="H99" i="1"/>
  <c r="G99" i="1"/>
  <c r="F99" i="1"/>
  <c r="E99" i="1"/>
  <c r="D99" i="1"/>
  <c r="C99" i="1"/>
  <c r="K98" i="1" a="1"/>
  <c r="K98" i="1"/>
  <c r="J98" i="1"/>
  <c r="L98" i="1" s="1"/>
  <c r="I98" i="1"/>
  <c r="H98" i="1"/>
  <c r="G98" i="1"/>
  <c r="F98" i="1"/>
  <c r="E98" i="1"/>
  <c r="D98" i="1"/>
  <c r="C98" i="1"/>
  <c r="K97" i="1" a="1"/>
  <c r="K97" i="1" s="1"/>
  <c r="I97" i="1"/>
  <c r="H97" i="1"/>
  <c r="G97" i="1"/>
  <c r="F97" i="1"/>
  <c r="E97" i="1"/>
  <c r="D97" i="1"/>
  <c r="C97" i="1"/>
  <c r="J97" i="1" s="1"/>
  <c r="K96" i="1" a="1"/>
  <c r="K96" i="1"/>
  <c r="I96" i="1"/>
  <c r="H96" i="1"/>
  <c r="G96" i="1"/>
  <c r="F96" i="1"/>
  <c r="E96" i="1"/>
  <c r="D96" i="1"/>
  <c r="C96" i="1"/>
  <c r="J96" i="1" s="1"/>
  <c r="L96" i="1" s="1"/>
  <c r="K95" i="1" a="1"/>
  <c r="K95" i="1" s="1"/>
  <c r="L95" i="1" s="1"/>
  <c r="I95" i="1"/>
  <c r="H95" i="1"/>
  <c r="G95" i="1"/>
  <c r="F95" i="1"/>
  <c r="E95" i="1"/>
  <c r="D95" i="1"/>
  <c r="C95" i="1"/>
  <c r="J95" i="1" s="1"/>
  <c r="K94" i="1" a="1"/>
  <c r="K94" i="1" s="1"/>
  <c r="I94" i="1"/>
  <c r="H94" i="1"/>
  <c r="G94" i="1"/>
  <c r="F94" i="1"/>
  <c r="E94" i="1"/>
  <c r="D94" i="1"/>
  <c r="C94" i="1"/>
  <c r="J94" i="1" s="1"/>
  <c r="K93" i="1" a="1"/>
  <c r="K93" i="1" s="1"/>
  <c r="I93" i="1"/>
  <c r="H93" i="1"/>
  <c r="G93" i="1"/>
  <c r="F93" i="1"/>
  <c r="E93" i="1"/>
  <c r="D93" i="1"/>
  <c r="C93" i="1"/>
  <c r="J93" i="1" s="1"/>
  <c r="L92" i="1"/>
  <c r="K92" i="1" a="1"/>
  <c r="K92" i="1" s="1"/>
  <c r="I92" i="1"/>
  <c r="H92" i="1"/>
  <c r="G92" i="1"/>
  <c r="F92" i="1"/>
  <c r="E92" i="1"/>
  <c r="D92" i="1"/>
  <c r="C92" i="1"/>
  <c r="J92" i="1" s="1"/>
  <c r="K91" i="1" a="1"/>
  <c r="K91" i="1" s="1"/>
  <c r="L91" i="1" s="1"/>
  <c r="J91" i="1"/>
  <c r="I91" i="1"/>
  <c r="H91" i="1"/>
  <c r="G91" i="1"/>
  <c r="F91" i="1"/>
  <c r="E91" i="1"/>
  <c r="D91" i="1"/>
  <c r="C91" i="1"/>
  <c r="K90" i="1" a="1"/>
  <c r="K90" i="1"/>
  <c r="L90" i="1" s="1"/>
  <c r="J90" i="1"/>
  <c r="I90" i="1"/>
  <c r="H90" i="1"/>
  <c r="G90" i="1"/>
  <c r="F90" i="1"/>
  <c r="E90" i="1"/>
  <c r="D90" i="1"/>
  <c r="C90" i="1"/>
  <c r="K89" i="1" a="1"/>
  <c r="K89" i="1"/>
  <c r="J89" i="1"/>
  <c r="I89" i="1"/>
  <c r="H89" i="1"/>
  <c r="G89" i="1"/>
  <c r="F89" i="1"/>
  <c r="K88" i="1" a="1"/>
  <c r="K88" i="1" s="1"/>
  <c r="L88" i="1" s="1"/>
  <c r="I88" i="1"/>
  <c r="H88" i="1"/>
  <c r="G88" i="1"/>
  <c r="F88" i="1"/>
  <c r="E88" i="1"/>
  <c r="D88" i="1"/>
  <c r="C88" i="1"/>
  <c r="J88" i="1" s="1"/>
  <c r="K87" i="1" a="1"/>
  <c r="K87" i="1"/>
  <c r="I87" i="1"/>
  <c r="H87" i="1"/>
  <c r="G87" i="1"/>
  <c r="F87" i="1"/>
  <c r="E87" i="1"/>
  <c r="D87" i="1"/>
  <c r="C87" i="1"/>
  <c r="J87" i="1" s="1"/>
  <c r="K86" i="1" a="1"/>
  <c r="K86" i="1" s="1"/>
  <c r="I86" i="1"/>
  <c r="H86" i="1"/>
  <c r="G86" i="1"/>
  <c r="F86" i="1"/>
  <c r="E86" i="1"/>
  <c r="D86" i="1"/>
  <c r="C86" i="1"/>
  <c r="J86" i="1" s="1"/>
  <c r="K85" i="1" a="1"/>
  <c r="K85" i="1" s="1"/>
  <c r="I85" i="1"/>
  <c r="H85" i="1"/>
  <c r="G85" i="1"/>
  <c r="F85" i="1"/>
  <c r="E85" i="1"/>
  <c r="D85" i="1"/>
  <c r="C85" i="1"/>
  <c r="J85" i="1" s="1"/>
  <c r="K84" i="1" a="1"/>
  <c r="K84" i="1" s="1"/>
  <c r="I84" i="1"/>
  <c r="H84" i="1"/>
  <c r="G84" i="1"/>
  <c r="F84" i="1"/>
  <c r="E84" i="1"/>
  <c r="D84" i="1"/>
  <c r="C84" i="1"/>
  <c r="J84" i="1" s="1"/>
  <c r="L83" i="1"/>
  <c r="K83" i="1" a="1"/>
  <c r="K83" i="1" s="1"/>
  <c r="J83" i="1"/>
  <c r="I83" i="1"/>
  <c r="K82" i="1" a="1"/>
  <c r="K82" i="1" s="1"/>
  <c r="I82" i="1"/>
  <c r="H82" i="1"/>
  <c r="G82" i="1"/>
  <c r="F82" i="1"/>
  <c r="E82" i="1"/>
  <c r="D82" i="1"/>
  <c r="C82" i="1"/>
  <c r="J82" i="1" s="1"/>
  <c r="K81" i="1" a="1"/>
  <c r="K81" i="1"/>
  <c r="I81" i="1"/>
  <c r="H81" i="1"/>
  <c r="G81" i="1"/>
  <c r="F81" i="1"/>
  <c r="E81" i="1"/>
  <c r="D81" i="1"/>
  <c r="C81" i="1"/>
  <c r="J81" i="1" s="1"/>
  <c r="K80" i="1" a="1"/>
  <c r="K80" i="1" s="1"/>
  <c r="L80" i="1" s="1"/>
  <c r="I80" i="1"/>
  <c r="H80" i="1"/>
  <c r="G80" i="1"/>
  <c r="F80" i="1"/>
  <c r="E80" i="1"/>
  <c r="D80" i="1"/>
  <c r="C80" i="1"/>
  <c r="J80" i="1" s="1"/>
  <c r="K79" i="1" a="1"/>
  <c r="K79" i="1" s="1"/>
  <c r="I79" i="1"/>
  <c r="H79" i="1"/>
  <c r="G79" i="1"/>
  <c r="F79" i="1"/>
  <c r="E79" i="1"/>
  <c r="D79" i="1"/>
  <c r="C79" i="1"/>
  <c r="J79" i="1" s="1"/>
  <c r="K78" i="1" a="1"/>
  <c r="K78" i="1" s="1"/>
  <c r="I78" i="1"/>
  <c r="H78" i="1"/>
  <c r="G78" i="1"/>
  <c r="F78" i="1"/>
  <c r="E78" i="1"/>
  <c r="D78" i="1"/>
  <c r="C78" i="1"/>
  <c r="J78" i="1" s="1"/>
  <c r="K77" i="1" a="1"/>
  <c r="K77" i="1" s="1"/>
  <c r="L77" i="1" s="1"/>
  <c r="I77" i="1"/>
  <c r="H77" i="1"/>
  <c r="G77" i="1"/>
  <c r="F77" i="1"/>
  <c r="E77" i="1"/>
  <c r="D77" i="1"/>
  <c r="C77" i="1"/>
  <c r="J77" i="1" s="1"/>
  <c r="K76" i="1" a="1"/>
  <c r="K76" i="1" s="1"/>
  <c r="L76" i="1" s="1"/>
  <c r="I76" i="1"/>
  <c r="H76" i="1"/>
  <c r="G76" i="1"/>
  <c r="F76" i="1"/>
  <c r="E76" i="1"/>
  <c r="D76" i="1"/>
  <c r="C76" i="1"/>
  <c r="J76" i="1" s="1"/>
  <c r="K75" i="1" a="1"/>
  <c r="K75" i="1"/>
  <c r="L75" i="1" s="1"/>
  <c r="J75" i="1"/>
  <c r="I75" i="1"/>
  <c r="H75" i="1"/>
  <c r="G75" i="1"/>
  <c r="F75" i="1"/>
  <c r="E75" i="1"/>
  <c r="D75" i="1"/>
  <c r="C75" i="1"/>
  <c r="K74" i="1" a="1"/>
  <c r="K74" i="1"/>
  <c r="J74" i="1"/>
  <c r="I74" i="1"/>
  <c r="H74" i="1"/>
  <c r="G74" i="1"/>
  <c r="F74" i="1"/>
  <c r="E74" i="1"/>
  <c r="D74" i="1"/>
  <c r="C74" i="1"/>
  <c r="K73" i="1" a="1"/>
  <c r="K73" i="1" s="1"/>
  <c r="I73" i="1"/>
  <c r="J73" i="1" s="1"/>
  <c r="H73" i="1"/>
  <c r="G73" i="1"/>
  <c r="F73" i="1"/>
  <c r="E73" i="1"/>
  <c r="D73" i="1"/>
  <c r="C73" i="1"/>
  <c r="K72" i="1" a="1"/>
  <c r="K72" i="1"/>
  <c r="I72" i="1"/>
  <c r="J72" i="1" s="1"/>
  <c r="H72" i="1"/>
  <c r="G72" i="1"/>
  <c r="F72" i="1"/>
  <c r="E72" i="1"/>
  <c r="D72" i="1"/>
  <c r="C72" i="1"/>
  <c r="K71" i="1" a="1"/>
  <c r="K71" i="1"/>
  <c r="L71" i="1" s="1"/>
  <c r="J71" i="1"/>
  <c r="I71" i="1"/>
  <c r="H71" i="1"/>
  <c r="G71" i="1"/>
  <c r="F71" i="1"/>
  <c r="E71" i="1"/>
  <c r="D71" i="1"/>
  <c r="C71" i="1"/>
  <c r="K70" i="1" a="1"/>
  <c r="K70" i="1" s="1"/>
  <c r="I70" i="1"/>
  <c r="H70" i="1"/>
  <c r="G70" i="1"/>
  <c r="F70" i="1"/>
  <c r="E70" i="1"/>
  <c r="D70" i="1"/>
  <c r="C70" i="1"/>
  <c r="J70" i="1" s="1"/>
  <c r="K69" i="1" a="1"/>
  <c r="K69" i="1"/>
  <c r="L69" i="1" s="1"/>
  <c r="I69" i="1"/>
  <c r="H69" i="1"/>
  <c r="G69" i="1"/>
  <c r="F69" i="1"/>
  <c r="E69" i="1"/>
  <c r="D69" i="1"/>
  <c r="C69" i="1"/>
  <c r="J69" i="1" s="1"/>
  <c r="K68" i="1" a="1"/>
  <c r="K68" i="1" s="1"/>
  <c r="L68" i="1" s="1"/>
  <c r="I68" i="1"/>
  <c r="H68" i="1"/>
  <c r="G68" i="1"/>
  <c r="F68" i="1"/>
  <c r="E68" i="1"/>
  <c r="D68" i="1"/>
  <c r="C68" i="1"/>
  <c r="J68" i="1" s="1"/>
  <c r="K67" i="1" a="1"/>
  <c r="K67" i="1" s="1"/>
  <c r="I67" i="1"/>
  <c r="H67" i="1"/>
  <c r="G67" i="1"/>
  <c r="F67" i="1"/>
  <c r="E67" i="1"/>
  <c r="D67" i="1"/>
  <c r="C67" i="1"/>
  <c r="J67" i="1" s="1"/>
  <c r="K66" i="1" a="1"/>
  <c r="K66" i="1" s="1"/>
  <c r="L66" i="1" s="1"/>
  <c r="J66" i="1"/>
  <c r="I66" i="1"/>
  <c r="K65" i="1" a="1"/>
  <c r="K65" i="1"/>
  <c r="L65" i="1" s="1"/>
  <c r="J65" i="1"/>
  <c r="I65" i="1"/>
  <c r="H65" i="1"/>
  <c r="G65" i="1"/>
  <c r="F65" i="1"/>
  <c r="E65" i="1"/>
  <c r="D65" i="1"/>
  <c r="C65" i="1"/>
  <c r="K64" i="1" a="1"/>
  <c r="K64" i="1" s="1"/>
  <c r="L64" i="1" s="1"/>
  <c r="I64" i="1"/>
  <c r="H64" i="1"/>
  <c r="G64" i="1"/>
  <c r="F64" i="1"/>
  <c r="E64" i="1"/>
  <c r="D64" i="1"/>
  <c r="C64" i="1"/>
  <c r="J64" i="1" s="1"/>
  <c r="K63" i="1" a="1"/>
  <c r="K63" i="1"/>
  <c r="L63" i="1" s="1"/>
  <c r="I63" i="1"/>
  <c r="H63" i="1"/>
  <c r="G63" i="1"/>
  <c r="F63" i="1"/>
  <c r="E63" i="1"/>
  <c r="D63" i="1"/>
  <c r="C63" i="1"/>
  <c r="J63" i="1" s="1"/>
  <c r="K62" i="1" a="1"/>
  <c r="K62" i="1" s="1"/>
  <c r="I62" i="1"/>
  <c r="H62" i="1"/>
  <c r="G62" i="1"/>
  <c r="F62" i="1"/>
  <c r="E62" i="1"/>
  <c r="D62" i="1"/>
  <c r="C62" i="1"/>
  <c r="J62" i="1" s="1"/>
  <c r="K61" i="1" a="1"/>
  <c r="K61" i="1" s="1"/>
  <c r="I61" i="1"/>
  <c r="H61" i="1"/>
  <c r="G61" i="1"/>
  <c r="F61" i="1"/>
  <c r="E61" i="1"/>
  <c r="D61" i="1"/>
  <c r="C61" i="1"/>
  <c r="J61" i="1" s="1"/>
  <c r="L60" i="1"/>
  <c r="K60" i="1" a="1"/>
  <c r="K60" i="1" s="1"/>
  <c r="I60" i="1"/>
  <c r="H60" i="1"/>
  <c r="G60" i="1"/>
  <c r="F60" i="1"/>
  <c r="E60" i="1"/>
  <c r="D60" i="1"/>
  <c r="C60" i="1"/>
  <c r="J60" i="1" s="1"/>
  <c r="L59" i="1"/>
  <c r="K59" i="1" a="1"/>
  <c r="K59" i="1" s="1"/>
  <c r="J59" i="1"/>
  <c r="I59" i="1"/>
  <c r="K58" i="1" a="1"/>
  <c r="K58" i="1" s="1"/>
  <c r="I58" i="1"/>
  <c r="J58" i="1" s="1"/>
  <c r="H58" i="1"/>
  <c r="G58" i="1"/>
  <c r="F58" i="1"/>
  <c r="E58" i="1"/>
  <c r="D58" i="1"/>
  <c r="C58" i="1"/>
  <c r="K57" i="1" a="1"/>
  <c r="K57" i="1"/>
  <c r="I57" i="1"/>
  <c r="H57" i="1"/>
  <c r="G57" i="1"/>
  <c r="F57" i="1"/>
  <c r="E57" i="1"/>
  <c r="D57" i="1"/>
  <c r="C57" i="1"/>
  <c r="J57" i="1" s="1"/>
  <c r="K56" i="1" a="1"/>
  <c r="K56" i="1" s="1"/>
  <c r="L56" i="1" s="1"/>
  <c r="I56" i="1"/>
  <c r="H56" i="1"/>
  <c r="G56" i="1"/>
  <c r="F56" i="1"/>
  <c r="E56" i="1"/>
  <c r="D56" i="1"/>
  <c r="C56" i="1"/>
  <c r="J56" i="1" s="1"/>
  <c r="K55" i="1" a="1"/>
  <c r="K55" i="1" s="1"/>
  <c r="I55" i="1"/>
  <c r="H55" i="1"/>
  <c r="G55" i="1"/>
  <c r="F55" i="1"/>
  <c r="E55" i="1"/>
  <c r="D55" i="1"/>
  <c r="C55" i="1"/>
  <c r="J55" i="1" s="1"/>
  <c r="K54" i="1" a="1"/>
  <c r="K54" i="1" s="1"/>
  <c r="L54" i="1" s="1"/>
  <c r="I54" i="1"/>
  <c r="H54" i="1"/>
  <c r="G54" i="1"/>
  <c r="F54" i="1"/>
  <c r="E54" i="1"/>
  <c r="D54" i="1"/>
  <c r="C54" i="1"/>
  <c r="J54" i="1" s="1"/>
  <c r="K53" i="1" a="1"/>
  <c r="K53" i="1" s="1"/>
  <c r="L53" i="1" s="1"/>
  <c r="I53" i="1"/>
  <c r="H53" i="1"/>
  <c r="G53" i="1"/>
  <c r="F53" i="1"/>
  <c r="E53" i="1"/>
  <c r="D53" i="1"/>
  <c r="C53" i="1"/>
  <c r="J53" i="1" s="1"/>
  <c r="K52" i="1" a="1"/>
  <c r="K52" i="1"/>
  <c r="L52" i="1" s="1"/>
  <c r="I52" i="1"/>
  <c r="H52" i="1"/>
  <c r="G52" i="1"/>
  <c r="F52" i="1"/>
  <c r="E52" i="1"/>
  <c r="D52" i="1"/>
  <c r="C52" i="1"/>
  <c r="J52" i="1" s="1"/>
  <c r="K51" i="1" a="1"/>
  <c r="K51" i="1"/>
  <c r="L51" i="1" s="1"/>
  <c r="J51" i="1"/>
  <c r="I51" i="1"/>
  <c r="H51" i="1"/>
  <c r="G51" i="1"/>
  <c r="F51" i="1"/>
  <c r="E51" i="1"/>
  <c r="D51" i="1"/>
  <c r="C51" i="1"/>
  <c r="K50" i="1" a="1"/>
  <c r="K50" i="1"/>
  <c r="J50" i="1"/>
  <c r="L50" i="1" s="1"/>
  <c r="I50" i="1"/>
  <c r="H50" i="1"/>
  <c r="G50" i="1"/>
  <c r="F50" i="1"/>
  <c r="E50" i="1"/>
  <c r="D50" i="1"/>
  <c r="C50" i="1"/>
  <c r="K49" i="1" a="1"/>
  <c r="K49" i="1" s="1"/>
  <c r="L49" i="1" s="1"/>
  <c r="J49" i="1"/>
  <c r="I49" i="1"/>
  <c r="H49" i="1"/>
  <c r="G49" i="1"/>
  <c r="F49" i="1"/>
  <c r="E49" i="1"/>
  <c r="D49" i="1"/>
  <c r="C49" i="1"/>
  <c r="K48" i="1" a="1"/>
  <c r="K48" i="1"/>
  <c r="L48" i="1" s="1"/>
  <c r="I48" i="1"/>
  <c r="J48" i="1" s="1"/>
  <c r="H48" i="1"/>
  <c r="G48" i="1"/>
  <c r="F48" i="1"/>
  <c r="E48" i="1"/>
  <c r="D48" i="1"/>
  <c r="C48" i="1"/>
  <c r="K47" i="1" a="1"/>
  <c r="K47" i="1"/>
  <c r="L47" i="1" s="1"/>
  <c r="J47" i="1"/>
  <c r="I47" i="1"/>
  <c r="H47" i="1"/>
  <c r="G47" i="1"/>
  <c r="F47" i="1"/>
  <c r="E47" i="1"/>
  <c r="D47" i="1"/>
  <c r="C47" i="1"/>
  <c r="K46" i="1" a="1"/>
  <c r="K46" i="1" s="1"/>
  <c r="L46" i="1" s="1"/>
  <c r="I46" i="1"/>
  <c r="J46" i="1" s="1"/>
  <c r="H46" i="1"/>
  <c r="G46" i="1"/>
  <c r="F46" i="1"/>
  <c r="E46" i="1"/>
  <c r="D46" i="1"/>
  <c r="C46" i="1"/>
  <c r="K45" i="1" a="1"/>
  <c r="K45" i="1"/>
  <c r="L45" i="1" s="1"/>
  <c r="I45" i="1"/>
  <c r="J45" i="1" s="1"/>
  <c r="H45" i="1"/>
  <c r="G45" i="1"/>
  <c r="F45" i="1"/>
  <c r="K44" i="1" a="1"/>
  <c r="K44" i="1" s="1"/>
  <c r="L44" i="1" s="1"/>
  <c r="I44" i="1"/>
  <c r="H44" i="1"/>
  <c r="G44" i="1"/>
  <c r="F44" i="1"/>
  <c r="E44" i="1"/>
  <c r="D44" i="1"/>
  <c r="C44" i="1"/>
  <c r="J44" i="1" s="1"/>
  <c r="K43" i="1" a="1"/>
  <c r="K43" i="1" s="1"/>
  <c r="L43" i="1" s="1"/>
  <c r="J43" i="1"/>
  <c r="I43" i="1"/>
  <c r="H43" i="1"/>
  <c r="G43" i="1"/>
  <c r="F43" i="1"/>
  <c r="E43" i="1"/>
  <c r="D43" i="1"/>
  <c r="C43" i="1"/>
  <c r="K42" i="1" a="1"/>
  <c r="K42" i="1" s="1"/>
  <c r="I42" i="1"/>
  <c r="J42" i="1" s="1"/>
  <c r="H42" i="1"/>
  <c r="G42" i="1"/>
  <c r="F42" i="1"/>
  <c r="E42" i="1"/>
  <c r="D42" i="1"/>
  <c r="C42" i="1"/>
  <c r="K41" i="1" a="1"/>
  <c r="K41" i="1"/>
  <c r="L41" i="1" s="1"/>
  <c r="J41" i="1"/>
  <c r="I41" i="1"/>
  <c r="H41" i="1"/>
  <c r="G41" i="1"/>
  <c r="F41" i="1"/>
  <c r="E41" i="1"/>
  <c r="D41" i="1"/>
  <c r="C41" i="1"/>
  <c r="K40" i="1" a="1"/>
  <c r="K40" i="1" s="1"/>
  <c r="L40" i="1" s="1"/>
  <c r="I40" i="1"/>
  <c r="J40" i="1" s="1"/>
  <c r="H40" i="1"/>
  <c r="G40" i="1"/>
  <c r="F40" i="1"/>
  <c r="E40" i="1"/>
  <c r="D40" i="1"/>
  <c r="C40" i="1"/>
  <c r="K39" i="1" a="1"/>
  <c r="K39" i="1"/>
  <c r="L39" i="1" s="1"/>
  <c r="J39" i="1"/>
  <c r="I39" i="1"/>
  <c r="H39" i="1"/>
  <c r="G39" i="1"/>
  <c r="F39" i="1"/>
  <c r="E39" i="1"/>
  <c r="D39" i="1"/>
  <c r="C39" i="1"/>
  <c r="K38" i="1" a="1"/>
  <c r="K38" i="1"/>
  <c r="I38" i="1"/>
  <c r="J38" i="1" s="1"/>
  <c r="H38" i="1"/>
  <c r="G38" i="1"/>
  <c r="F38" i="1"/>
  <c r="E38" i="1"/>
  <c r="D38" i="1"/>
  <c r="C38" i="1"/>
  <c r="K37" i="1" a="1"/>
  <c r="K37" i="1" s="1"/>
  <c r="L37" i="1" s="1"/>
  <c r="I37" i="1"/>
  <c r="H37" i="1"/>
  <c r="G37" i="1"/>
  <c r="F37" i="1"/>
  <c r="E37" i="1"/>
  <c r="D37" i="1"/>
  <c r="C37" i="1"/>
  <c r="J37" i="1" s="1"/>
  <c r="K36" i="1" a="1"/>
  <c r="K36" i="1"/>
  <c r="L36" i="1" s="1"/>
  <c r="I36" i="1"/>
  <c r="H36" i="1"/>
  <c r="G36" i="1"/>
  <c r="F36" i="1"/>
  <c r="E36" i="1"/>
  <c r="D36" i="1"/>
  <c r="C36" i="1"/>
  <c r="J36" i="1" s="1"/>
  <c r="K35" i="1" a="1"/>
  <c r="K35" i="1" s="1"/>
  <c r="I35" i="1"/>
  <c r="H35" i="1"/>
  <c r="G35" i="1"/>
  <c r="F35" i="1"/>
  <c r="E35" i="1"/>
  <c r="D35" i="1"/>
  <c r="C35" i="1"/>
  <c r="J35" i="1" s="1"/>
  <c r="K34" i="1" a="1"/>
  <c r="K34" i="1" s="1"/>
  <c r="L34" i="1" s="1"/>
  <c r="I34" i="1"/>
  <c r="H34" i="1"/>
  <c r="G34" i="1"/>
  <c r="F34" i="1"/>
  <c r="E34" i="1"/>
  <c r="D34" i="1"/>
  <c r="C34" i="1"/>
  <c r="J34" i="1" s="1"/>
  <c r="K33" i="1" a="1"/>
  <c r="K33" i="1" s="1"/>
  <c r="I33" i="1"/>
  <c r="H33" i="1"/>
  <c r="G33" i="1"/>
  <c r="F33" i="1"/>
  <c r="E33" i="1"/>
  <c r="D33" i="1"/>
  <c r="C33" i="1"/>
  <c r="J33" i="1" s="1"/>
  <c r="L33" i="1" s="1"/>
  <c r="K32" i="1" a="1"/>
  <c r="K32" i="1"/>
  <c r="L32" i="1" s="1"/>
  <c r="I32" i="1"/>
  <c r="H32" i="1"/>
  <c r="G32" i="1"/>
  <c r="F32" i="1"/>
  <c r="E32" i="1"/>
  <c r="D32" i="1"/>
  <c r="C32" i="1"/>
  <c r="J32" i="1" s="1"/>
  <c r="K31" i="1" a="1"/>
  <c r="K31" i="1" s="1"/>
  <c r="I31" i="1"/>
  <c r="H31" i="1"/>
  <c r="G31" i="1"/>
  <c r="F31" i="1"/>
  <c r="E31" i="1"/>
  <c r="D31" i="1"/>
  <c r="C31" i="1"/>
  <c r="J31" i="1" s="1"/>
  <c r="K30" i="1" a="1"/>
  <c r="K30" i="1" s="1"/>
  <c r="L30" i="1" s="1"/>
  <c r="I30" i="1"/>
  <c r="H30" i="1"/>
  <c r="G30" i="1"/>
  <c r="F30" i="1"/>
  <c r="E30" i="1"/>
  <c r="D30" i="1"/>
  <c r="C30" i="1"/>
  <c r="J30" i="1" s="1"/>
  <c r="K29" i="1" a="1"/>
  <c r="K29" i="1"/>
  <c r="L29" i="1" s="1"/>
  <c r="J29" i="1"/>
  <c r="I29" i="1"/>
  <c r="H29" i="1"/>
  <c r="G29" i="1"/>
  <c r="F29" i="1"/>
  <c r="E29" i="1"/>
  <c r="D29" i="1"/>
  <c r="C29" i="1"/>
  <c r="K28" i="1" a="1"/>
  <c r="K28" i="1" s="1"/>
  <c r="L28" i="1" s="1"/>
  <c r="J28" i="1"/>
  <c r="I28" i="1"/>
  <c r="H28" i="1"/>
  <c r="G28" i="1"/>
  <c r="F28" i="1"/>
  <c r="E28" i="1"/>
  <c r="D28" i="1"/>
  <c r="C28" i="1"/>
  <c r="K27" i="1" a="1"/>
  <c r="K27" i="1"/>
  <c r="J27" i="1"/>
  <c r="I27" i="1"/>
  <c r="H27" i="1"/>
  <c r="G27" i="1"/>
  <c r="F27" i="1"/>
  <c r="E27" i="1"/>
  <c r="D27" i="1"/>
  <c r="C27" i="1"/>
  <c r="K26" i="1" a="1"/>
  <c r="K26" i="1"/>
  <c r="I26" i="1"/>
  <c r="J26" i="1" s="1"/>
  <c r="H26" i="1"/>
  <c r="G26" i="1"/>
  <c r="F26" i="1"/>
  <c r="E26" i="1"/>
  <c r="D26" i="1"/>
  <c r="C26" i="1"/>
  <c r="K25" i="1" a="1"/>
  <c r="K25" i="1" s="1"/>
  <c r="I25" i="1"/>
  <c r="H25" i="1"/>
  <c r="G25" i="1"/>
  <c r="F25" i="1"/>
  <c r="E25" i="1"/>
  <c r="D25" i="1"/>
  <c r="C25" i="1"/>
  <c r="J25" i="1" s="1"/>
  <c r="K24" i="1" a="1"/>
  <c r="K24" i="1"/>
  <c r="I24" i="1"/>
  <c r="H24" i="1"/>
  <c r="G24" i="1"/>
  <c r="F24" i="1"/>
  <c r="E24" i="1"/>
  <c r="D24" i="1"/>
  <c r="C24" i="1"/>
  <c r="J24" i="1" s="1"/>
  <c r="L23" i="1"/>
  <c r="K23" i="1" a="1"/>
  <c r="K23" i="1" s="1"/>
  <c r="I23" i="1"/>
  <c r="H23" i="1"/>
  <c r="G23" i="1"/>
  <c r="F23" i="1"/>
  <c r="E23" i="1"/>
  <c r="D23" i="1"/>
  <c r="C23" i="1"/>
  <c r="J23" i="1" s="1"/>
  <c r="L22" i="1"/>
  <c r="K22" i="1" a="1"/>
  <c r="K22" i="1" s="1"/>
  <c r="I22" i="1"/>
  <c r="H22" i="1"/>
  <c r="G22" i="1"/>
  <c r="F22" i="1"/>
  <c r="E22" i="1"/>
  <c r="D22" i="1"/>
  <c r="C22" i="1"/>
  <c r="J22" i="1" s="1"/>
  <c r="K21" i="1" a="1"/>
  <c r="K21" i="1" s="1"/>
  <c r="L21" i="1" s="1"/>
  <c r="I21" i="1"/>
  <c r="H21" i="1"/>
  <c r="G21" i="1"/>
  <c r="F21" i="1"/>
  <c r="E21" i="1"/>
  <c r="D21" i="1"/>
  <c r="C21" i="1"/>
  <c r="J21" i="1" s="1"/>
  <c r="K20" i="1" a="1"/>
  <c r="K20" i="1" s="1"/>
  <c r="I20" i="1"/>
  <c r="H20" i="1"/>
  <c r="G20" i="1"/>
  <c r="F20" i="1"/>
  <c r="E20" i="1"/>
  <c r="D20" i="1"/>
  <c r="C20" i="1"/>
  <c r="J20" i="1" s="1"/>
  <c r="K19" i="1" a="1"/>
  <c r="K19" i="1"/>
  <c r="I19" i="1"/>
  <c r="H19" i="1"/>
  <c r="G19" i="1"/>
  <c r="F19" i="1"/>
  <c r="E19" i="1"/>
  <c r="D19" i="1"/>
  <c r="C19" i="1"/>
  <c r="J19" i="1" s="1"/>
  <c r="L19" i="1" s="1"/>
  <c r="K18" i="1" a="1"/>
  <c r="K18" i="1" s="1"/>
  <c r="L18" i="1" s="1"/>
  <c r="I18" i="1"/>
  <c r="H18" i="1"/>
  <c r="G18" i="1"/>
  <c r="F18" i="1"/>
  <c r="E18" i="1"/>
  <c r="D18" i="1"/>
  <c r="C18" i="1"/>
  <c r="J18" i="1" s="1"/>
  <c r="K17" i="1" a="1"/>
  <c r="K17" i="1" s="1"/>
  <c r="L17" i="1" s="1"/>
  <c r="I17" i="1"/>
  <c r="J17" i="1" s="1"/>
  <c r="H17" i="1"/>
  <c r="G17" i="1"/>
  <c r="F17" i="1"/>
  <c r="E17" i="1"/>
  <c r="D17" i="1"/>
  <c r="C17" i="1"/>
  <c r="K16" i="1" a="1"/>
  <c r="K16" i="1"/>
  <c r="L16" i="1" s="1"/>
  <c r="J16" i="1"/>
  <c r="I16" i="1"/>
  <c r="H16" i="1"/>
  <c r="G16" i="1"/>
  <c r="F16" i="1"/>
  <c r="E16" i="1"/>
  <c r="D16" i="1"/>
  <c r="C16" i="1"/>
  <c r="K15" i="1" a="1"/>
  <c r="K15" i="1"/>
  <c r="I15" i="1"/>
  <c r="J15" i="1" s="1"/>
  <c r="H15" i="1"/>
  <c r="G15" i="1"/>
  <c r="F15" i="1"/>
  <c r="E15" i="1"/>
  <c r="D15" i="1"/>
  <c r="C15" i="1"/>
  <c r="K14" i="1" a="1"/>
  <c r="K14" i="1"/>
  <c r="J14" i="1"/>
  <c r="L14" i="1" s="1"/>
  <c r="I14" i="1"/>
  <c r="H14" i="1"/>
  <c r="G14" i="1"/>
  <c r="F14" i="1"/>
  <c r="E14" i="1"/>
  <c r="D14" i="1"/>
  <c r="C14" i="1"/>
  <c r="K13" i="1" a="1"/>
  <c r="K13" i="1" s="1"/>
  <c r="I13" i="1"/>
  <c r="H13" i="1"/>
  <c r="G13" i="1"/>
  <c r="F13" i="1"/>
  <c r="E13" i="1"/>
  <c r="D13" i="1"/>
  <c r="C13" i="1"/>
  <c r="J13" i="1" s="1"/>
  <c r="K12" i="1" a="1"/>
  <c r="K12" i="1"/>
  <c r="I12" i="1"/>
  <c r="H12" i="1"/>
  <c r="G12" i="1"/>
  <c r="F12" i="1"/>
  <c r="E12" i="1"/>
  <c r="D12" i="1"/>
  <c r="C12" i="1"/>
  <c r="J12" i="1" s="1"/>
  <c r="L12" i="1" s="1"/>
  <c r="K11" i="1" a="1"/>
  <c r="K11" i="1" s="1"/>
  <c r="I11" i="1"/>
  <c r="H11" i="1"/>
  <c r="G11" i="1"/>
  <c r="F11" i="1"/>
  <c r="E11" i="1"/>
  <c r="D11" i="1"/>
  <c r="C11" i="1"/>
  <c r="J11" i="1" s="1"/>
  <c r="L11" i="1" s="1"/>
  <c r="K10" i="1" a="1"/>
  <c r="K10" i="1"/>
  <c r="I10" i="1"/>
  <c r="J10" i="1" s="1"/>
  <c r="H10" i="1"/>
  <c r="G10" i="1"/>
  <c r="F10" i="1"/>
  <c r="E10" i="1"/>
  <c r="D10" i="1"/>
  <c r="C10" i="1"/>
  <c r="K9" i="1" a="1"/>
  <c r="K9" i="1"/>
  <c r="L9" i="1" s="1"/>
  <c r="J9" i="1"/>
  <c r="I9" i="1"/>
  <c r="H9" i="1"/>
  <c r="G9" i="1"/>
  <c r="F9" i="1"/>
  <c r="E9" i="1"/>
  <c r="D9" i="1"/>
  <c r="C9" i="1"/>
  <c r="K8" i="1" a="1"/>
  <c r="K8" i="1"/>
  <c r="I8" i="1"/>
  <c r="J8" i="1" s="1"/>
  <c r="H8" i="1"/>
  <c r="G8" i="1"/>
  <c r="F8" i="1"/>
  <c r="E8" i="1"/>
  <c r="D8" i="1"/>
  <c r="C8" i="1"/>
  <c r="K7" i="1" a="1"/>
  <c r="K7" i="1"/>
  <c r="L7" i="1" s="1"/>
  <c r="I7" i="1"/>
  <c r="J7" i="1" s="1"/>
  <c r="H7" i="1"/>
  <c r="G7" i="1"/>
  <c r="F7" i="1"/>
  <c r="E7" i="1"/>
  <c r="D7" i="1"/>
  <c r="C7" i="1"/>
  <c r="K6" i="1" a="1"/>
  <c r="K6" i="1" s="1"/>
  <c r="L6" i="1" s="1"/>
  <c r="I6" i="1"/>
  <c r="H6" i="1"/>
  <c r="G6" i="1"/>
  <c r="F6" i="1"/>
  <c r="E6" i="1"/>
  <c r="D6" i="1"/>
  <c r="C6" i="1"/>
  <c r="J6" i="1" s="1"/>
  <c r="K5" i="1" a="1"/>
  <c r="K5" i="1"/>
  <c r="I5" i="1"/>
  <c r="H5" i="1"/>
  <c r="G5" i="1"/>
  <c r="F5" i="1"/>
  <c r="E5" i="1"/>
  <c r="D5" i="1"/>
  <c r="C5" i="1"/>
  <c r="J5" i="1" s="1"/>
  <c r="K4" i="1" a="1"/>
  <c r="K4" i="1"/>
  <c r="I4" i="1"/>
  <c r="H4" i="1"/>
  <c r="G4" i="1"/>
  <c r="F4" i="1"/>
  <c r="E4" i="1"/>
  <c r="D4" i="1"/>
  <c r="C4" i="1"/>
  <c r="J4" i="1" s="1"/>
  <c r="L4" i="1" s="1"/>
  <c r="K3" i="1" a="1"/>
  <c r="K3" i="1" s="1"/>
  <c r="L3" i="1" s="1"/>
  <c r="I3" i="1"/>
  <c r="H3" i="1"/>
  <c r="G3" i="1"/>
  <c r="F3" i="1"/>
  <c r="E3" i="1"/>
  <c r="D3" i="1"/>
  <c r="C3" i="1"/>
  <c r="J3" i="1" s="1"/>
  <c r="L20" i="1" l="1"/>
  <c r="L42" i="1"/>
  <c r="L8" i="1"/>
  <c r="L31" i="1"/>
  <c r="L10" i="1"/>
  <c r="L5" i="1"/>
  <c r="L99" i="1"/>
  <c r="L143" i="1"/>
  <c r="L157" i="1"/>
  <c r="L219" i="1"/>
  <c r="L35" i="1"/>
  <c r="L85" i="1"/>
  <c r="L111" i="1"/>
  <c r="L125" i="1"/>
  <c r="L188" i="1"/>
  <c r="L57" i="1"/>
  <c r="L72" i="1"/>
  <c r="L38" i="1"/>
  <c r="L251" i="1"/>
  <c r="L15" i="1"/>
  <c r="L27" i="1"/>
  <c r="L62" i="1"/>
  <c r="L79" i="1"/>
  <c r="L82" i="1"/>
  <c r="L84" i="1"/>
  <c r="L87" i="1"/>
  <c r="L94" i="1"/>
  <c r="L135" i="1"/>
  <c r="L145" i="1"/>
  <c r="L149" i="1"/>
  <c r="L152" i="1"/>
  <c r="L209" i="1"/>
  <c r="L254" i="1"/>
  <c r="L26" i="1"/>
  <c r="L97" i="1"/>
  <c r="L117" i="1"/>
  <c r="L141" i="1"/>
  <c r="L183" i="1"/>
  <c r="L193" i="1"/>
  <c r="L200" i="1"/>
  <c r="L203" i="1"/>
  <c r="L224" i="1"/>
  <c r="L246" i="1"/>
  <c r="L257" i="1"/>
  <c r="L265" i="1"/>
  <c r="L270" i="1"/>
  <c r="L277" i="1"/>
  <c r="L289" i="1"/>
  <c r="L13" i="1"/>
  <c r="L67" i="1"/>
  <c r="L122" i="1"/>
  <c r="L131" i="1"/>
  <c r="L159" i="1"/>
  <c r="L212" i="1"/>
  <c r="L280" i="1"/>
  <c r="L293" i="1"/>
  <c r="L296" i="1"/>
  <c r="L61" i="1"/>
  <c r="L70" i="1"/>
  <c r="L74" i="1"/>
  <c r="L78" i="1"/>
  <c r="L81" i="1"/>
  <c r="L89" i="1"/>
  <c r="L162" i="1"/>
  <c r="L165" i="1"/>
  <c r="L170" i="1"/>
  <c r="L174" i="1"/>
  <c r="L177" i="1"/>
  <c r="L217" i="1"/>
  <c r="L233" i="1"/>
  <c r="L237" i="1"/>
  <c r="L240" i="1"/>
  <c r="L253" i="1"/>
  <c r="L266" i="1"/>
  <c r="L25" i="1"/>
  <c r="L86" i="1"/>
  <c r="L93" i="1"/>
  <c r="L148" i="1"/>
  <c r="L151" i="1"/>
  <c r="L208" i="1"/>
  <c r="L261" i="1"/>
  <c r="L269" i="1"/>
  <c r="L306" i="1"/>
  <c r="L309" i="1"/>
  <c r="L312" i="1"/>
  <c r="L55" i="1"/>
  <c r="L108" i="1"/>
  <c r="L112" i="1"/>
  <c r="L116" i="1"/>
  <c r="L119" i="1"/>
  <c r="L137" i="1"/>
  <c r="L140" i="1"/>
  <c r="L182" i="1"/>
  <c r="L185" i="1"/>
  <c r="L192" i="1"/>
  <c r="L199" i="1"/>
  <c r="L202" i="1"/>
  <c r="L218" i="1"/>
  <c r="L230" i="1"/>
  <c r="L256" i="1"/>
  <c r="L259" i="1"/>
  <c r="L264" i="1"/>
  <c r="L272" i="1"/>
  <c r="L288" i="1"/>
  <c r="L314" i="1"/>
  <c r="L317" i="1"/>
  <c r="L320" i="1"/>
  <c r="L24" i="1"/>
  <c r="L58" i="1"/>
  <c r="L73" i="1"/>
  <c r="L292" i="1"/>
  <c r="L295" i="1"/>
  <c r="L298" i="1"/>
  <c r="L323" i="1"/>
</calcChain>
</file>

<file path=xl/sharedStrings.xml><?xml version="1.0" encoding="utf-8"?>
<sst xmlns="http://schemas.openxmlformats.org/spreadsheetml/2006/main" count="10668" uniqueCount="2307">
  <si>
    <t>MARCA</t>
  </si>
  <si>
    <t>RMF 2023</t>
  </si>
  <si>
    <t>RMF 2022</t>
  </si>
  <si>
    <t>RMF 2021</t>
  </si>
  <si>
    <t>RMF 2020</t>
  </si>
  <si>
    <t>RMF 2019</t>
  </si>
  <si>
    <t>RMF 2018</t>
  </si>
  <si>
    <t>ALERTA SANITARIA (SI APARECE LA MARCA, NO APARECE)</t>
  </si>
  <si>
    <t>Ubicación (2023)</t>
  </si>
  <si>
    <t>Anterior (2017-19)</t>
  </si>
  <si>
    <t>Comparación</t>
  </si>
  <si>
    <t>LEGAL 2023</t>
  </si>
  <si>
    <t>LEGAL 2017-19</t>
  </si>
  <si>
    <t>{1</t>
  </si>
  <si>
    <t>NO</t>
  </si>
  <si>
    <t>{2</t>
  </si>
  <si>
    <t>Ace Club</t>
  </si>
  <si>
    <t>{3</t>
  </si>
  <si>
    <t>Admiral</t>
  </si>
  <si>
    <t>{4</t>
  </si>
  <si>
    <t>After hours</t>
  </si>
  <si>
    <t>{5</t>
  </si>
  <si>
    <t>Alamo</t>
  </si>
  <si>
    <t>{6</t>
  </si>
  <si>
    <t>Alas</t>
  </si>
  <si>
    <t>SI</t>
  </si>
  <si>
    <t>{7</t>
  </si>
  <si>
    <t>Amsterdam</t>
  </si>
  <si>
    <t>{8</t>
  </si>
  <si>
    <t>Anchor</t>
  </si>
  <si>
    <t>{9</t>
  </si>
  <si>
    <t>Aristocrat</t>
  </si>
  <si>
    <t>{10</t>
  </si>
  <si>
    <t>Armada</t>
  </si>
  <si>
    <t>{11</t>
  </si>
  <si>
    <t>Ashford Blue</t>
  </si>
  <si>
    <t>{12</t>
  </si>
  <si>
    <t>AX Full Flavor</t>
  </si>
  <si>
    <t>{13</t>
  </si>
  <si>
    <t>B&amp;B (Bulls &amp; Bears)</t>
  </si>
  <si>
    <t>{14</t>
  </si>
  <si>
    <t>B&amp;J</t>
  </si>
  <si>
    <t>{15</t>
  </si>
  <si>
    <t>Baronet</t>
  </si>
  <si>
    <t>{16</t>
  </si>
  <si>
    <t>Benson &amp; Hedges</t>
  </si>
  <si>
    <t>{17</t>
  </si>
  <si>
    <t>Bentley</t>
  </si>
  <si>
    <t>{18</t>
  </si>
  <si>
    <t>Biasha Nise</t>
  </si>
  <si>
    <t>{19</t>
  </si>
  <si>
    <t>Big Chief</t>
  </si>
  <si>
    <t>{20</t>
  </si>
  <si>
    <t>Birmingham</t>
  </si>
  <si>
    <t>{21</t>
  </si>
  <si>
    <t>Black and White</t>
  </si>
  <si>
    <t>{22</t>
  </si>
  <si>
    <t>Black Horse Stallion</t>
  </si>
  <si>
    <t>{23</t>
  </si>
  <si>
    <t>Black Jack</t>
  </si>
  <si>
    <t>{24</t>
  </si>
  <si>
    <t>Blend Type Box</t>
  </si>
  <si>
    <t>{25</t>
  </si>
  <si>
    <t>Blitz</t>
  </si>
  <si>
    <t>{26</t>
  </si>
  <si>
    <t>Blue River</t>
  </si>
  <si>
    <t>{27</t>
  </si>
  <si>
    <t>Boaz</t>
  </si>
  <si>
    <t>{28</t>
  </si>
  <si>
    <t>Bohemios</t>
  </si>
  <si>
    <t>{29</t>
  </si>
  <si>
    <t>Boots</t>
  </si>
  <si>
    <t>{30</t>
  </si>
  <si>
    <t>Botas</t>
  </si>
  <si>
    <t>{31</t>
  </si>
  <si>
    <t>Brass</t>
  </si>
  <si>
    <t>{32</t>
  </si>
  <si>
    <t>Bright</t>
  </si>
  <si>
    <t>{33</t>
  </si>
  <si>
    <t>Bronco</t>
  </si>
  <si>
    <t>{34</t>
  </si>
  <si>
    <t>Buffalo</t>
  </si>
  <si>
    <t>{35</t>
  </si>
  <si>
    <t>Bull's eye</t>
  </si>
  <si>
    <t>{36</t>
  </si>
  <si>
    <t>Bulls</t>
  </si>
  <si>
    <t>{37</t>
  </si>
  <si>
    <t>Burton</t>
  </si>
  <si>
    <t>{38</t>
  </si>
  <si>
    <t>Caesar Park</t>
  </si>
  <si>
    <t>{39</t>
  </si>
  <si>
    <t>Camel</t>
  </si>
  <si>
    <t>{40</t>
  </si>
  <si>
    <t>Capital</t>
  </si>
  <si>
    <t>{41</t>
  </si>
  <si>
    <t>Capri</t>
  </si>
  <si>
    <t>{42</t>
  </si>
  <si>
    <t>Casino Royale</t>
  </si>
  <si>
    <t>{43</t>
  </si>
  <si>
    <t>Champ</t>
  </si>
  <si>
    <t>{44</t>
  </si>
  <si>
    <t>Chelsea</t>
  </si>
  <si>
    <t>{45</t>
  </si>
  <si>
    <t>Cherry</t>
  </si>
  <si>
    <t>{46</t>
  </si>
  <si>
    <t>Chess</t>
  </si>
  <si>
    <t>{47</t>
  </si>
  <si>
    <t>Chesterfield</t>
  </si>
  <si>
    <t>{48</t>
  </si>
  <si>
    <t>Chiapas</t>
  </si>
  <si>
    <t>{49</t>
  </si>
  <si>
    <t>Chicago</t>
  </si>
  <si>
    <t>{50</t>
  </si>
  <si>
    <t>Cig One</t>
  </si>
  <si>
    <t>{51</t>
  </si>
  <si>
    <t>Cohiba</t>
  </si>
  <si>
    <t>{52</t>
  </si>
  <si>
    <t>Comanches</t>
  </si>
  <si>
    <t>{53</t>
  </si>
  <si>
    <t>Compass</t>
  </si>
  <si>
    <t>{54</t>
  </si>
  <si>
    <t>D&amp;J</t>
  </si>
  <si>
    <t>{55</t>
  </si>
  <si>
    <t>D&amp;Y</t>
  </si>
  <si>
    <t>{56</t>
  </si>
  <si>
    <t>Dalton</t>
  </si>
  <si>
    <t>{57</t>
  </si>
  <si>
    <t>Dark</t>
  </si>
  <si>
    <t xml:space="preserve">*aparece como variante de otras marcas unicamnete </t>
  </si>
  <si>
    <t>{58</t>
  </si>
  <si>
    <t>Dart</t>
  </si>
  <si>
    <t>{59</t>
  </si>
  <si>
    <t>Deal</t>
  </si>
  <si>
    <t>{60</t>
  </si>
  <si>
    <t>Del Prado</t>
  </si>
  <si>
    <t>{61</t>
  </si>
  <si>
    <t>Delicados</t>
  </si>
  <si>
    <t>{62</t>
  </si>
  <si>
    <t>Denim</t>
  </si>
  <si>
    <t>{63</t>
  </si>
  <si>
    <t>Domino</t>
  </si>
  <si>
    <t>{64</t>
  </si>
  <si>
    <t>Double</t>
  </si>
  <si>
    <t>* double hapiness¿</t>
  </si>
  <si>
    <t>{65</t>
  </si>
  <si>
    <t>Dragon</t>
  </si>
  <si>
    <t>{66</t>
  </si>
  <si>
    <t>Dunhill</t>
  </si>
  <si>
    <t>{67</t>
  </si>
  <si>
    <t>Dunston</t>
  </si>
  <si>
    <t>{68</t>
  </si>
  <si>
    <t>DY Classic</t>
  </si>
  <si>
    <t>{69</t>
  </si>
  <si>
    <t>Easy</t>
  </si>
  <si>
    <t>{70</t>
  </si>
  <si>
    <t>Economicos</t>
  </si>
  <si>
    <t>{71</t>
  </si>
  <si>
    <t>Eiffel</t>
  </si>
  <si>
    <t>{72</t>
  </si>
  <si>
    <t>El Capo</t>
  </si>
  <si>
    <t>{73</t>
  </si>
  <si>
    <t>El Elegante</t>
  </si>
  <si>
    <t>{74</t>
  </si>
  <si>
    <t>El Rey</t>
  </si>
  <si>
    <t>{75</t>
  </si>
  <si>
    <t>Elephant</t>
  </si>
  <si>
    <t>{76</t>
  </si>
  <si>
    <t>Elite</t>
  </si>
  <si>
    <t>{77</t>
  </si>
  <si>
    <t>Empire</t>
  </si>
  <si>
    <t>{78</t>
  </si>
  <si>
    <t>Esparta</t>
  </si>
  <si>
    <t>{79</t>
  </si>
  <si>
    <t>Euro</t>
  </si>
  <si>
    <t>{80</t>
  </si>
  <si>
    <t>Evidence</t>
  </si>
  <si>
    <t>{81</t>
  </si>
  <si>
    <t>Exactos</t>
  </si>
  <si>
    <t>*aparece unicamente como variante de marca pall mall(pall mall exctos)</t>
  </si>
  <si>
    <t>{82</t>
  </si>
  <si>
    <t>Fama</t>
  </si>
  <si>
    <t>{83</t>
  </si>
  <si>
    <t>Faros</t>
  </si>
  <si>
    <t>{84</t>
  </si>
  <si>
    <t>Farstar</t>
  </si>
  <si>
    <t>{85</t>
  </si>
  <si>
    <t>Fiesta</t>
  </si>
  <si>
    <t>{86</t>
  </si>
  <si>
    <t>Fire Dance</t>
  </si>
  <si>
    <t>{87</t>
  </si>
  <si>
    <t>Flash</t>
  </si>
  <si>
    <t>*Flash aparece como variante de la marca camel</t>
  </si>
  <si>
    <t>{88</t>
  </si>
  <si>
    <t>Flore</t>
  </si>
  <si>
    <t>{89</t>
  </si>
  <si>
    <t>Forastero</t>
  </si>
  <si>
    <t>{90</t>
  </si>
  <si>
    <t>Fortuna</t>
  </si>
  <si>
    <t>{91</t>
  </si>
  <si>
    <t>Fox</t>
  </si>
  <si>
    <t>{92</t>
  </si>
  <si>
    <t>Fugitivo</t>
  </si>
  <si>
    <t>{93</t>
  </si>
  <si>
    <t>FX</t>
  </si>
  <si>
    <t>{94</t>
  </si>
  <si>
    <t>Garañon</t>
  </si>
  <si>
    <t>{95</t>
  </si>
  <si>
    <t>GD</t>
  </si>
  <si>
    <t>{96</t>
  </si>
  <si>
    <t>Gem</t>
  </si>
  <si>
    <t>{97</t>
  </si>
  <si>
    <t>General</t>
  </si>
  <si>
    <t>{98</t>
  </si>
  <si>
    <t>Gentori</t>
  </si>
  <si>
    <t>{99</t>
  </si>
  <si>
    <t>Glory</t>
  </si>
  <si>
    <t>{100</t>
  </si>
  <si>
    <t>Goal</t>
  </si>
  <si>
    <t>{101</t>
  </si>
  <si>
    <t>Godmans</t>
  </si>
  <si>
    <t>{102</t>
  </si>
  <si>
    <t>Gold</t>
  </si>
  <si>
    <t>*aparece como variante de marca Marlboro, Gold Rush vainilla Gold Rush Cherry y Benson &amp; Hedges Gold</t>
  </si>
  <si>
    <t>{103</t>
  </si>
  <si>
    <t>Gold King</t>
  </si>
  <si>
    <t>{104</t>
  </si>
  <si>
    <t>Gold Seal</t>
  </si>
  <si>
    <t>{105</t>
  </si>
  <si>
    <t>Golden</t>
  </si>
  <si>
    <t>{106</t>
  </si>
  <si>
    <t>Golden deer</t>
  </si>
  <si>
    <t>{107</t>
  </si>
  <si>
    <t>Goldman</t>
  </si>
  <si>
    <t>{108</t>
  </si>
  <si>
    <t>Goldmans</t>
  </si>
  <si>
    <t>{109</t>
  </si>
  <si>
    <t>Golf</t>
  </si>
  <si>
    <t>{110</t>
  </si>
  <si>
    <t>GP</t>
  </si>
  <si>
    <t>{111</t>
  </si>
  <si>
    <t>Gratos</t>
  </si>
  <si>
    <t>{112</t>
  </si>
  <si>
    <t>GT One</t>
  </si>
  <si>
    <t>{113</t>
  </si>
  <si>
    <t>Hanhello</t>
  </si>
  <si>
    <t>{114</t>
  </si>
  <si>
    <t>Harvest</t>
  </si>
  <si>
    <t>{115</t>
  </si>
  <si>
    <t>Hatemen</t>
  </si>
  <si>
    <t>{116</t>
  </si>
  <si>
    <t>Hobby</t>
  </si>
  <si>
    <t>{117</t>
  </si>
  <si>
    <t>Hollywood</t>
  </si>
  <si>
    <t>{118</t>
  </si>
  <si>
    <t>Horseman</t>
  </si>
  <si>
    <t>{119</t>
  </si>
  <si>
    <t>Ibiza</t>
  </si>
  <si>
    <t>*se encuentra unicamente como una variante de Pall Mall (Pall Mall XL Ibiza Sunset)</t>
  </si>
  <si>
    <t>{120</t>
  </si>
  <si>
    <t>Indy</t>
  </si>
  <si>
    <t>{121</t>
  </si>
  <si>
    <t>Jaipur</t>
  </si>
  <si>
    <t>{122</t>
  </si>
  <si>
    <t>Jaisalmer</t>
  </si>
  <si>
    <t>{123</t>
  </si>
  <si>
    <t>Jet</t>
  </si>
  <si>
    <t>{124</t>
  </si>
  <si>
    <t>Joe´s</t>
  </si>
  <si>
    <t>{125</t>
  </si>
  <si>
    <t>John Black</t>
  </si>
  <si>
    <t>{126</t>
  </si>
  <si>
    <t>Joker</t>
  </si>
  <si>
    <t>{127</t>
  </si>
  <si>
    <t>Juditas</t>
  </si>
  <si>
    <t>{128</t>
  </si>
  <si>
    <t>Kalimaya</t>
  </si>
  <si>
    <t>{129</t>
  </si>
  <si>
    <t>Kans</t>
  </si>
  <si>
    <t>{130</t>
  </si>
  <si>
    <t>Kent</t>
  </si>
  <si>
    <t>{131</t>
  </si>
  <si>
    <t>Keris</t>
  </si>
  <si>
    <t>{132</t>
  </si>
  <si>
    <t>Keys</t>
  </si>
  <si>
    <t>{133</t>
  </si>
  <si>
    <t>Kings</t>
  </si>
  <si>
    <t>{134</t>
  </si>
  <si>
    <t>Lakes</t>
  </si>
  <si>
    <t>{135</t>
  </si>
  <si>
    <t>Laredo</t>
  </si>
  <si>
    <t>{136</t>
  </si>
  <si>
    <t>LD</t>
  </si>
  <si>
    <t>{137</t>
  </si>
  <si>
    <t>Legend</t>
  </si>
  <si>
    <t>*Se encuentra como variante de la marca Gurkhacomo "Gurkha Legend"</t>
  </si>
  <si>
    <t>{138</t>
  </si>
  <si>
    <t>Leone</t>
  </si>
  <si>
    <t>{139</t>
  </si>
  <si>
    <t>LG Premium</t>
  </si>
  <si>
    <t>{140</t>
  </si>
  <si>
    <t>Link</t>
  </si>
  <si>
    <t>{141</t>
  </si>
  <si>
    <t>Lucky Strike</t>
  </si>
  <si>
    <t>{142</t>
  </si>
  <si>
    <t>LδM</t>
  </si>
  <si>
    <t>{143</t>
  </si>
  <si>
    <t>M1 Classic</t>
  </si>
  <si>
    <t>{144</t>
  </si>
  <si>
    <t>Macpole</t>
  </si>
  <si>
    <t>{145</t>
  </si>
  <si>
    <t>Madison</t>
  </si>
  <si>
    <t>{146</t>
  </si>
  <si>
    <t>Majestic</t>
  </si>
  <si>
    <t>{147</t>
  </si>
  <si>
    <t>Makro</t>
  </si>
  <si>
    <t>{148</t>
  </si>
  <si>
    <t>Malaga</t>
  </si>
  <si>
    <t>{149</t>
  </si>
  <si>
    <t>Malverde</t>
  </si>
  <si>
    <t>{150</t>
  </si>
  <si>
    <t>Manitou</t>
  </si>
  <si>
    <t>{151</t>
  </si>
  <si>
    <t>Marathon</t>
  </si>
  <si>
    <t>{152</t>
  </si>
  <si>
    <t>Marble</t>
  </si>
  <si>
    <t>{153</t>
  </si>
  <si>
    <t>Maria y Juana</t>
  </si>
  <si>
    <t>{154</t>
  </si>
  <si>
    <t>Maribon</t>
  </si>
  <si>
    <t>{155</t>
  </si>
  <si>
    <t>Marlboro</t>
  </si>
  <si>
    <t>{156</t>
  </si>
  <si>
    <t>Marley</t>
  </si>
  <si>
    <t>{157</t>
  </si>
  <si>
    <t>Marley King</t>
  </si>
  <si>
    <t>{158</t>
  </si>
  <si>
    <t>Marshal</t>
  </si>
  <si>
    <t>{159</t>
  </si>
  <si>
    <t>Marvel</t>
  </si>
  <si>
    <t>{160</t>
  </si>
  <si>
    <t>MaryPole</t>
  </si>
  <si>
    <t>{161</t>
  </si>
  <si>
    <t>Max X</t>
  </si>
  <si>
    <t>{162</t>
  </si>
  <si>
    <t>Medusa</t>
  </si>
  <si>
    <t>{163</t>
  </si>
  <si>
    <t>Merce</t>
  </si>
  <si>
    <t>{164</t>
  </si>
  <si>
    <t>Meridian</t>
  </si>
  <si>
    <t>{165</t>
  </si>
  <si>
    <t>Mex</t>
  </si>
  <si>
    <t>*se encuentra unicamnete como "Mexican", "botas Tex Mex" y "AJ Fernandez New World Mex-Ros"</t>
  </si>
  <si>
    <t>{166</t>
  </si>
  <si>
    <t>Miami</t>
  </si>
  <si>
    <t>{167</t>
  </si>
  <si>
    <t>Millionaire</t>
  </si>
  <si>
    <t>{168</t>
  </si>
  <si>
    <t>Minister</t>
  </si>
  <si>
    <t>{169</t>
  </si>
  <si>
    <t>Mister</t>
  </si>
  <si>
    <t>{170</t>
  </si>
  <si>
    <t>Miura</t>
  </si>
  <si>
    <t>{171</t>
  </si>
  <si>
    <t>Modern</t>
  </si>
  <si>
    <t>{172</t>
  </si>
  <si>
    <t>Montana</t>
  </si>
  <si>
    <t>{173</t>
  </si>
  <si>
    <t>Monteral</t>
  </si>
  <si>
    <t>{174</t>
  </si>
  <si>
    <t>More</t>
  </si>
  <si>
    <t>{175</t>
  </si>
  <si>
    <t>MTH</t>
  </si>
  <si>
    <t>{176</t>
  </si>
  <si>
    <t>Muratti</t>
  </si>
  <si>
    <t>{177</t>
  </si>
  <si>
    <t>Native</t>
  </si>
  <si>
    <t>{178</t>
  </si>
  <si>
    <t>Navy</t>
  </si>
  <si>
    <t>{179</t>
  </si>
  <si>
    <t>ND</t>
  </si>
  <si>
    <t>{180</t>
  </si>
  <si>
    <t>Nelson Royal</t>
  </si>
  <si>
    <t>{181</t>
  </si>
  <si>
    <t>Nise</t>
  </si>
  <si>
    <t>{182</t>
  </si>
  <si>
    <t>Open</t>
  </si>
  <si>
    <t>{183</t>
  </si>
  <si>
    <t>Outlaw</t>
  </si>
  <si>
    <t>{184</t>
  </si>
  <si>
    <t>Pacific</t>
  </si>
  <si>
    <t>{185</t>
  </si>
  <si>
    <t>Palenque</t>
  </si>
  <si>
    <t>{186</t>
  </si>
  <si>
    <t>Palermo</t>
  </si>
  <si>
    <t>{187</t>
  </si>
  <si>
    <t>Pall Mall</t>
  </si>
  <si>
    <t>{188</t>
  </si>
  <si>
    <t>Palmar</t>
  </si>
  <si>
    <t>{189</t>
  </si>
  <si>
    <t>Paradize</t>
  </si>
  <si>
    <t>{190</t>
  </si>
  <si>
    <t>Park</t>
  </si>
  <si>
    <t>{191</t>
  </si>
  <si>
    <t>Parliament</t>
  </si>
  <si>
    <t>{192</t>
  </si>
  <si>
    <t>Patrol</t>
  </si>
  <si>
    <t>{193</t>
  </si>
  <si>
    <t>Peninsula</t>
  </si>
  <si>
    <t>{194</t>
  </si>
  <si>
    <t>Pilotos</t>
  </si>
  <si>
    <t>{195</t>
  </si>
  <si>
    <t>Pitbull</t>
  </si>
  <si>
    <t>{196</t>
  </si>
  <si>
    <t>Platinum</t>
  </si>
  <si>
    <t>*Platinum aparece como variante de Rocky Patel (Rocky Patel Platinum)208-2022 en adelante</t>
  </si>
  <si>
    <t>{197</t>
  </si>
  <si>
    <t>Poker</t>
  </si>
  <si>
    <t>{198</t>
  </si>
  <si>
    <t>Police</t>
  </si>
  <si>
    <t>{199</t>
  </si>
  <si>
    <t>Polo</t>
  </si>
  <si>
    <t>{200</t>
  </si>
  <si>
    <t>Popular</t>
  </si>
  <si>
    <t>{201</t>
  </si>
  <si>
    <t>Poseidon</t>
  </si>
  <si>
    <t>{202</t>
  </si>
  <si>
    <t>Premium</t>
  </si>
  <si>
    <t>{203</t>
  </si>
  <si>
    <t>Premium Blend</t>
  </si>
  <si>
    <t>*Variante de marca Sheriff(Sheriff, Premium Blend, 20’s)</t>
  </si>
  <si>
    <t>{204</t>
  </si>
  <si>
    <t>President</t>
  </si>
  <si>
    <t>{205</t>
  </si>
  <si>
    <t>Presidente</t>
  </si>
  <si>
    <t>* Unicamnete se encuentra como "Presidentes"</t>
  </si>
  <si>
    <t>{206</t>
  </si>
  <si>
    <t>Prestige</t>
  </si>
  <si>
    <t>{207</t>
  </si>
  <si>
    <t>Pride</t>
  </si>
  <si>
    <t>{208</t>
  </si>
  <si>
    <t>Pyramid</t>
  </si>
  <si>
    <t>{209</t>
  </si>
  <si>
    <t>Racer</t>
  </si>
  <si>
    <t>{210</t>
  </si>
  <si>
    <t>Raleigh</t>
  </si>
  <si>
    <t>{211</t>
  </si>
  <si>
    <t>Raly</t>
  </si>
  <si>
    <t>{212</t>
  </si>
  <si>
    <t>Ranger</t>
  </si>
  <si>
    <t>{213</t>
  </si>
  <si>
    <t>Razor</t>
  </si>
  <si>
    <t>{214</t>
  </si>
  <si>
    <t>Red Smoke</t>
  </si>
  <si>
    <t>{215</t>
  </si>
  <si>
    <t>Reef</t>
  </si>
  <si>
    <t>{216</t>
  </si>
  <si>
    <t>Regular</t>
  </si>
  <si>
    <t>{217</t>
  </si>
  <si>
    <t>Rey</t>
  </si>
  <si>
    <t>{218</t>
  </si>
  <si>
    <t>RGD</t>
  </si>
  <si>
    <t>{219</t>
  </si>
  <si>
    <t>Richman Royal</t>
  </si>
  <si>
    <t>{220</t>
  </si>
  <si>
    <t>River</t>
  </si>
  <si>
    <t>{221</t>
  </si>
  <si>
    <t>Rock</t>
  </si>
  <si>
    <t>{222</t>
  </si>
  <si>
    <t>Rodeo</t>
  </si>
  <si>
    <t>{223</t>
  </si>
  <si>
    <t>Roma</t>
  </si>
  <si>
    <t>SÍ</t>
  </si>
  <si>
    <t>*ERROR: NO APARECE ROMA EN ALERTA SANITARIA- CORREGIR</t>
  </si>
  <si>
    <t>{224</t>
  </si>
  <si>
    <t>Roman</t>
  </si>
  <si>
    <t>{225</t>
  </si>
  <si>
    <t>Rose</t>
  </si>
  <si>
    <t>{226</t>
  </si>
  <si>
    <t>Royal</t>
  </si>
  <si>
    <t>{227</t>
  </si>
  <si>
    <t>Royals Maiwand</t>
  </si>
  <si>
    <t>{228</t>
  </si>
  <si>
    <t>Rube Club</t>
  </si>
  <si>
    <t>{229</t>
  </si>
  <si>
    <t>Ruby</t>
  </si>
  <si>
    <t xml:space="preserve"> *Ruby se encuentra como varinte de la marca Marlboro (</t>
  </si>
  <si>
    <t>Marlboro Rubyfresh Fusion Blast 100 Box 20</t>
  </si>
  <si>
    <t>{230</t>
  </si>
  <si>
    <t>S&amp;L</t>
  </si>
  <si>
    <t>Marlboro Double Fusion Ruby (2.5) 100 Box 14</t>
  </si>
  <si>
    <t>{231</t>
  </si>
  <si>
    <t>Sabre Lights</t>
  </si>
  <si>
    <t>{232</t>
  </si>
  <si>
    <t>Safari</t>
  </si>
  <si>
    <t>{233</t>
  </si>
  <si>
    <t>Salem</t>
  </si>
  <si>
    <t>{234</t>
  </si>
  <si>
    <t>San Marino</t>
  </si>
  <si>
    <t>{235</t>
  </si>
  <si>
    <t>Sandía</t>
  </si>
  <si>
    <t>{236</t>
  </si>
  <si>
    <t>Santorini</t>
  </si>
  <si>
    <t>{237</t>
  </si>
  <si>
    <t>Scenic 101</t>
  </si>
  <si>
    <t>{238</t>
  </si>
  <si>
    <t>Selva negra</t>
  </si>
  <si>
    <t>{239</t>
  </si>
  <si>
    <t>Seneca</t>
  </si>
  <si>
    <t>{240</t>
  </si>
  <si>
    <t>Shark</t>
  </si>
  <si>
    <t>{241</t>
  </si>
  <si>
    <t>Sheriff</t>
  </si>
  <si>
    <t>{242</t>
  </si>
  <si>
    <t>Siempre Menthol</t>
  </si>
  <si>
    <t>{243</t>
  </si>
  <si>
    <t>Silver</t>
  </si>
  <si>
    <t>*Silver solo se encuentra como variante de otras marcas (West Silver Ks Box 20, This Silver+, Kent Silver Five H.L. y Camel Silver</t>
  </si>
  <si>
    <t>{244</t>
  </si>
  <si>
    <t>Single Stick</t>
  </si>
  <si>
    <t>{245</t>
  </si>
  <si>
    <t>Skydancer</t>
  </si>
  <si>
    <t>{246</t>
  </si>
  <si>
    <t>Smokers Leaf</t>
  </si>
  <si>
    <t>{247</t>
  </si>
  <si>
    <t>Soberano</t>
  </si>
  <si>
    <t>{248</t>
  </si>
  <si>
    <t>Speed</t>
  </si>
  <si>
    <t>{249</t>
  </si>
  <si>
    <t>Speedway</t>
  </si>
  <si>
    <t>*ERROR: SÍ APARECE SPEEDWAY EN ALERTA SANITARIA- CORREGIR</t>
  </si>
  <si>
    <t>{250</t>
  </si>
  <si>
    <t>Stallion</t>
  </si>
  <si>
    <t>*ERROR: NO APARECE STALLION EN ALERTA SANITARIA- CORREGIR</t>
  </si>
  <si>
    <t>{251</t>
  </si>
  <si>
    <t>Sterling Exvclusive Edition</t>
  </si>
  <si>
    <t>{252</t>
  </si>
  <si>
    <t>Strand</t>
  </si>
  <si>
    <t>{253</t>
  </si>
  <si>
    <t>SunCity Menthol</t>
  </si>
  <si>
    <t>{254</t>
  </si>
  <si>
    <t>Supreme</t>
  </si>
  <si>
    <t>{255</t>
  </si>
  <si>
    <t>Swift</t>
  </si>
  <si>
    <t>{256</t>
  </si>
  <si>
    <t>This</t>
  </si>
  <si>
    <t>{257</t>
  </si>
  <si>
    <t>Tiger</t>
  </si>
  <si>
    <t>{258</t>
  </si>
  <si>
    <t>Tijuana</t>
  </si>
  <si>
    <t>{259</t>
  </si>
  <si>
    <t>Time</t>
  </si>
  <si>
    <t xml:space="preserve">*Time aparece como variante de las siguientes marcas </t>
  </si>
  <si>
    <t>Show Time Verdes KSB 20</t>
  </si>
  <si>
    <t>{260</t>
  </si>
  <si>
    <t>Top 20</t>
  </si>
  <si>
    <t>Show Time Rojos KSB 20</t>
  </si>
  <si>
    <t>{261</t>
  </si>
  <si>
    <t>Tornado</t>
  </si>
  <si>
    <t>Show Time Dorados KSB 20</t>
  </si>
  <si>
    <t>{262</t>
  </si>
  <si>
    <t>Trident</t>
  </si>
  <si>
    <t>Show Time Azules KSB 20</t>
  </si>
  <si>
    <t>{263</t>
  </si>
  <si>
    <t>Trotter</t>
  </si>
  <si>
    <t>Prime Time Vainilla</t>
  </si>
  <si>
    <t>{264</t>
  </si>
  <si>
    <t>Troy</t>
  </si>
  <si>
    <t>*La marca "Troy" no aparece, solo "Troya"</t>
  </si>
  <si>
    <t>Prime Time Cherry</t>
  </si>
  <si>
    <t>{265</t>
  </si>
  <si>
    <t>U5</t>
  </si>
  <si>
    <t>{266</t>
  </si>
  <si>
    <t>Ultima</t>
  </si>
  <si>
    <t>{267</t>
  </si>
  <si>
    <t>USA Gold</t>
  </si>
  <si>
    <t>{268</t>
  </si>
  <si>
    <t>USA Platinum</t>
  </si>
  <si>
    <t>{269</t>
  </si>
  <si>
    <t>V8</t>
  </si>
  <si>
    <t>{270</t>
  </si>
  <si>
    <t>Valentine</t>
  </si>
  <si>
    <t>{271</t>
  </si>
  <si>
    <t>Valentino</t>
  </si>
  <si>
    <t>{272</t>
  </si>
  <si>
    <t>Vantage</t>
  </si>
  <si>
    <t>{273</t>
  </si>
  <si>
    <t>Vantage Silver</t>
  </si>
  <si>
    <t>{274</t>
  </si>
  <si>
    <t>Vaquero</t>
  </si>
  <si>
    <t>{275</t>
  </si>
  <si>
    <t>Venice</t>
  </si>
  <si>
    <t>{276</t>
  </si>
  <si>
    <t>Viceroy</t>
  </si>
  <si>
    <t>{277</t>
  </si>
  <si>
    <t>VIP</t>
  </si>
  <si>
    <t>{278</t>
  </si>
  <si>
    <t>Walden</t>
  </si>
  <si>
    <t>{279</t>
  </si>
  <si>
    <t>West</t>
  </si>
  <si>
    <t>*ERROR: NO APARECE WEST EN ALERTA SANITARIA- CORREGIR</t>
  </si>
  <si>
    <t>{280</t>
  </si>
  <si>
    <t>White Stone</t>
  </si>
  <si>
    <t>{281</t>
  </si>
  <si>
    <t>Win</t>
  </si>
  <si>
    <t>{282</t>
  </si>
  <si>
    <t>Winner</t>
  </si>
  <si>
    <t>{283</t>
  </si>
  <si>
    <t>Wins</t>
  </si>
  <si>
    <t>{284</t>
  </si>
  <si>
    <t>Winston</t>
  </si>
  <si>
    <t>{285</t>
  </si>
  <si>
    <t>XL</t>
  </si>
  <si>
    <t>*XL se encuentra como variante de marca Pall Mall XL Fresh HL</t>
  </si>
  <si>
    <t>{286</t>
  </si>
  <si>
    <t>XO</t>
  </si>
  <si>
    <t>Action</t>
  </si>
  <si>
    <t>Bahrein</t>
  </si>
  <si>
    <t>Cali</t>
  </si>
  <si>
    <t>Catalina</t>
  </si>
  <si>
    <t>*ERROR: CREO QUE CATALINO ES NUEVA, NO LA ENCUENTRO EN ARCHIVO PREVIO</t>
  </si>
  <si>
    <t>Denver</t>
  </si>
  <si>
    <t>Dos</t>
  </si>
  <si>
    <t>Ejecutivos</t>
  </si>
  <si>
    <t>Encanto</t>
  </si>
  <si>
    <t>H. Upmann</t>
  </si>
  <si>
    <t>Heris</t>
  </si>
  <si>
    <t>Iplay</t>
  </si>
  <si>
    <t>*Aparece una marca Mac Baren</t>
  </si>
  <si>
    <t>J&amp;J</t>
  </si>
  <si>
    <t>JPA</t>
  </si>
  <si>
    <t>Kentucky Select</t>
  </si>
  <si>
    <t>King Mountain</t>
  </si>
  <si>
    <t>MX Style</t>
  </si>
  <si>
    <t>MXM</t>
  </si>
  <si>
    <t>Mac</t>
  </si>
  <si>
    <t>Manchester</t>
  </si>
  <si>
    <t>Mariborn</t>
  </si>
  <si>
    <t>Marino</t>
  </si>
  <si>
    <t>Maverick</t>
  </si>
  <si>
    <t>MayPole</t>
  </si>
  <si>
    <t>Maypole</t>
  </si>
  <si>
    <t>Mexico Spirit</t>
  </si>
  <si>
    <t>Montreal</t>
  </si>
  <si>
    <t>Norton</t>
  </si>
  <si>
    <t>Oscar</t>
  </si>
  <si>
    <t>Patroncito</t>
  </si>
  <si>
    <t>Portman</t>
  </si>
  <si>
    <t>Senator</t>
  </si>
  <si>
    <t>Sonora</t>
  </si>
  <si>
    <t>Studio54</t>
  </si>
  <si>
    <t>“GD”</t>
  </si>
  <si>
    <t>Abam Churchills 48 x 7’’</t>
  </si>
  <si>
    <t>Abam Coronas 43 x 6’’</t>
  </si>
  <si>
    <t>Abam Doble Corona 50 x 8’’</t>
  </si>
  <si>
    <t>Abam Entreatos 43 x 4’’</t>
  </si>
  <si>
    <t>Abam Gran Corona “A” 47 x 9 ¼’’</t>
  </si>
  <si>
    <t>Abam Lanceros 38 x 7 ½”</t>
  </si>
  <si>
    <t>Abam Marevas 42 x 5’’</t>
  </si>
  <si>
    <t>Abam Piccolinos</t>
  </si>
  <si>
    <t>Abam Reserva Especial 50 x 6 ½”</t>
  </si>
  <si>
    <t>Abam Robustos 50 x 5’’</t>
  </si>
  <si>
    <t>Abam Short Perfect 54 x 5 ¼” Naturales</t>
  </si>
  <si>
    <t>Abam Short Robustos 50 x 4’’</t>
  </si>
  <si>
    <t>Abam Torpedos 52 x 6’’</t>
  </si>
  <si>
    <t>Abam Torpedos 52 x 6’’ Claros (25/1)</t>
  </si>
  <si>
    <t>Abam Torpedos 52 x 6’’ Maduros (25/1)</t>
  </si>
  <si>
    <t>Alas con Filtro</t>
  </si>
  <si>
    <t>Alas Extra</t>
  </si>
  <si>
    <t>Alferez</t>
  </si>
  <si>
    <t>Alitas 15´s</t>
  </si>
  <si>
    <t>Almirante Azul KS Box 20</t>
  </si>
  <si>
    <t>Almirante Blanco KS Box 20</t>
  </si>
  <si>
    <t>Almirante Rojo KS Box 20</t>
  </si>
  <si>
    <t>Alois Poschll</t>
  </si>
  <si>
    <t>Amero Azules KSB 20</t>
  </si>
  <si>
    <t>Amero Dorados KSB 20</t>
  </si>
  <si>
    <t>Amero Rojos KSB 20</t>
  </si>
  <si>
    <t>Amero Verdes KSB 20</t>
  </si>
  <si>
    <t>Andaluz Azul KS Box 20</t>
  </si>
  <si>
    <t>Andaluz Blanco KS Box 20</t>
  </si>
  <si>
    <t>Andaluz Rojo KS Box 20</t>
  </si>
  <si>
    <t>Angelo Azules KSB 20</t>
  </si>
  <si>
    <t>Angelo Dorados KSB 20</t>
  </si>
  <si>
    <t>Angelo Rojos KSB 20</t>
  </si>
  <si>
    <t>Angelo Verdes KSB 20</t>
  </si>
  <si>
    <t>Aniversario</t>
  </si>
  <si>
    <t>Aniversario Azul KS Box 20</t>
  </si>
  <si>
    <t>Aniversario Rojo KS Box 20</t>
  </si>
  <si>
    <t>Apaluza Azul KS Box 20</t>
  </si>
  <si>
    <t>Apaluza Blanco KS Box 20</t>
  </si>
  <si>
    <t>Apaluza Rojo KS Box 20</t>
  </si>
  <si>
    <t>Armada Azules KSB 20</t>
  </si>
  <si>
    <t>Armada Dorados KSB 20</t>
  </si>
  <si>
    <t>Armada Rojos KSB 20</t>
  </si>
  <si>
    <t>Armada Verdes KSB 20</t>
  </si>
  <si>
    <t>Aromas de San Andrés</t>
  </si>
  <si>
    <t>Aromaticos 13.5 x 48 x 7</t>
  </si>
  <si>
    <t>Arturo Fuente</t>
  </si>
  <si>
    <t>Avo</t>
  </si>
  <si>
    <t>Az</t>
  </si>
  <si>
    <t>Azabache Cajetilla Dura</t>
  </si>
  <si>
    <t>Azabache Cajetilla Suave</t>
  </si>
  <si>
    <t>Bahrein Azul KS Box 20</t>
  </si>
  <si>
    <t>Bahrein Blanco KS Box 20</t>
  </si>
  <si>
    <t>Bahrein Dorado KS Box 20</t>
  </si>
  <si>
    <t>Bahrein Rojo KS Box 20</t>
  </si>
  <si>
    <t>Bali C.S.</t>
  </si>
  <si>
    <t>Baronet KS BOX 14</t>
  </si>
  <si>
    <t>Baronet Regular F.T.</t>
  </si>
  <si>
    <t>Batey Canonazo 52 x 144</t>
  </si>
  <si>
    <t>Batey Corona 46 x 130</t>
  </si>
  <si>
    <t>Batey Hermoso 54 x 135</t>
  </si>
  <si>
    <t>Batey Mareva 42 x 132</t>
  </si>
  <si>
    <t>Batey Petit Piramide 52 x 125</t>
  </si>
  <si>
    <t>Batey Piramide 52 x 160</t>
  </si>
  <si>
    <t>Batey Prominente 49 x 180</t>
  </si>
  <si>
    <t>Batey Robusto 50 x 124</t>
  </si>
  <si>
    <t>Batey Short Churchill 54 x 110</t>
  </si>
  <si>
    <t>Batey Sublime 54 x 164</t>
  </si>
  <si>
    <t>Belinda</t>
  </si>
  <si>
    <t>Belmondo</t>
  </si>
  <si>
    <t>Benson &amp; Hedges 100 M.M. Ment.</t>
  </si>
  <si>
    <t>Benson &amp; Hedges Crystal Blue SLI 100 Box 20</t>
  </si>
  <si>
    <t>Benson &amp; Hedges Crystal Violet SLI 100 Box 20</t>
  </si>
  <si>
    <t>Benson &amp; Hedges Fine Gold 100</t>
  </si>
  <si>
    <t>Benson &amp; Hedges Fine Mnt 100</t>
  </si>
  <si>
    <t>Benson &amp; Hedges Gold 100</t>
  </si>
  <si>
    <t>Benson &amp; Hedges Gold 100 Box 14</t>
  </si>
  <si>
    <t>Benson &amp; Hedges Gold Pearl 100 Box 20</t>
  </si>
  <si>
    <t>Benson &amp; Hedges Menthol 100 F.T.</t>
  </si>
  <si>
    <t>Benson &amp; Hedges MNT 100 Box 14</t>
  </si>
  <si>
    <t>Benson &amp; Hedges Pearl Capsule Mnt 100 Box 20</t>
  </si>
  <si>
    <t>Benson &amp; Hedges Polar Blue Mnt 100´s Box 14´s</t>
  </si>
  <si>
    <t>Benson &amp; Hedges Polar Blue Mnt 100´s Box 20´s</t>
  </si>
  <si>
    <t>Benson &amp; Hedges Polar Ice Mnt 100 Box 20</t>
  </si>
  <si>
    <t>Benson &amp; Hedges Polarpearl Mnt 100 RCB 20</t>
  </si>
  <si>
    <t>Benson &amp; Hedges UNO 100 LSB 14</t>
  </si>
  <si>
    <t>Benson &amp; Hedges UNO Mnt 100 LSB 14</t>
  </si>
  <si>
    <t>Beverly Azules KSB 20</t>
  </si>
  <si>
    <t>Beverly Dorados KSB 20</t>
  </si>
  <si>
    <t>Beverly Rojos KSB 20</t>
  </si>
  <si>
    <t>Beverly Verdes KSB 20</t>
  </si>
  <si>
    <t>Black Devil</t>
  </si>
  <si>
    <t>Black Jack Azules KSB 20</t>
  </si>
  <si>
    <t>Black Jack Dorados KSB 20</t>
  </si>
  <si>
    <t>Black Jack Rojos KSB 20</t>
  </si>
  <si>
    <t>Black Jack Verdes KSB 20</t>
  </si>
  <si>
    <t>Black Vessel Wood Tip Cherry</t>
  </si>
  <si>
    <t>Black Vessel Wood Tip Premium Black</t>
  </si>
  <si>
    <t>Black Vessel Wood Tip Vainilla</t>
  </si>
  <si>
    <t>Blackstone</t>
  </si>
  <si>
    <t>Bohemios 14s</t>
  </si>
  <si>
    <t>Bohemios Ff</t>
  </si>
  <si>
    <t>Bolivar</t>
  </si>
  <si>
    <t>Boots FF 20s 83MM CD</t>
  </si>
  <si>
    <t>Boots LI 20s 83MM CD</t>
  </si>
  <si>
    <t>Borkum Riff</t>
  </si>
  <si>
    <t>Boston</t>
  </si>
  <si>
    <t>Botas Azules KSB 20</t>
  </si>
  <si>
    <t>Botas Blancos KSB 20</t>
  </si>
  <si>
    <t>Botas Dorados KSB 20</t>
  </si>
  <si>
    <t>Botas MX KSB 20</t>
  </si>
  <si>
    <t>Botas Pink KSB 20</t>
  </si>
  <si>
    <t>Botas Premium KSB 20</t>
  </si>
  <si>
    <t>Botas Rojos KSB 20</t>
  </si>
  <si>
    <t>Botas Tex Mex KSB 20</t>
  </si>
  <si>
    <t>Botas Vaqueras KSB 20</t>
  </si>
  <si>
    <t>Botas Verdes KSB 20</t>
  </si>
  <si>
    <t>Bravado</t>
  </si>
  <si>
    <t>Brush Creek</t>
  </si>
  <si>
    <t>Btf Limitada Corona 46 x 130</t>
  </si>
  <si>
    <t>Btf Limitada Corona Larga 50 x 124</t>
  </si>
  <si>
    <t>Btf Limitada Doble Robusto 52 x 144</t>
  </si>
  <si>
    <t>Btf Limitada Petit Piramide 52 x 125</t>
  </si>
  <si>
    <t>Btf Limitada Prominente 49 x 180</t>
  </si>
  <si>
    <t>Btf Limitada Robusto 54 x 135</t>
  </si>
  <si>
    <t>Btf Limitada Short Churchill 54 x 110</t>
  </si>
  <si>
    <t>Btf Limitada Sublime 54 x 164</t>
  </si>
  <si>
    <t>Btf Reserva Corona 46 x 130</t>
  </si>
  <si>
    <t>Btf Reserva Corona Larga 50 x 124</t>
  </si>
  <si>
    <t>Btf Reserva Doble Robusto 52 x 144</t>
  </si>
  <si>
    <t>Btf Reserva Petit Piramide 52 x 125</t>
  </si>
  <si>
    <t>Btf Reserva Piramides 52 x 160</t>
  </si>
  <si>
    <t>Btf Reserva Prominente 49 x 180</t>
  </si>
  <si>
    <t>Btf Reserva Robusto 54 x 135</t>
  </si>
  <si>
    <t>Btf Reserva Short Churchill 54 x 110</t>
  </si>
  <si>
    <t>Btf Reserva Sublime 54 x 164</t>
  </si>
  <si>
    <t>Buena Vista Limitada Corona 46 x 130</t>
  </si>
  <si>
    <t>Buena Vista Limitada Corona Larga 50 x 124</t>
  </si>
  <si>
    <t>Buena Vista Limitada Doble Robusto 52 x 144</t>
  </si>
  <si>
    <t>Buena Vista Limitada Petit Piramide 52 x 125</t>
  </si>
  <si>
    <t>Buena Vista Limitada Piramides 52 x 160</t>
  </si>
  <si>
    <t>Buena Vista Limitada Prominente 49 x 180</t>
  </si>
  <si>
    <t>Buena Vista Limitada Robusto 54 x 135</t>
  </si>
  <si>
    <t>Buena Vista Limitada Short Churchill 54 x 110</t>
  </si>
  <si>
    <t>Buena Vista Limitada Sublime 54 x 164</t>
  </si>
  <si>
    <t>Buena Vista Reserva Corona 46 x 130</t>
  </si>
  <si>
    <t>Buena Vista Reserva Corona Larga 50 x 124</t>
  </si>
  <si>
    <t>Buena Vista Reserva Doble Robusto 52 x 144</t>
  </si>
  <si>
    <t>Buena Vista Reserva Petit Piramide 52 x 125</t>
  </si>
  <si>
    <t>Buena Vista Reserva Piramides 52 x 160</t>
  </si>
  <si>
    <t>Buena Vista Reserva Prominente 49 x 180</t>
  </si>
  <si>
    <t>Buena Vista Reserva Robusto 54 x 135</t>
  </si>
  <si>
    <t>Buena Vista Reserva Short Churchill 54 x 110</t>
  </si>
  <si>
    <t>Buena Vista Reserva Sublime 54 x 164</t>
  </si>
  <si>
    <t>Bundle</t>
  </si>
  <si>
    <t>C &amp; T Azules KSB 20</t>
  </si>
  <si>
    <t>C &amp; T Dorados KSB 20</t>
  </si>
  <si>
    <t>C &amp; T Rojos KSB 20</t>
  </si>
  <si>
    <t>C &amp; T Verdes KSB 20</t>
  </si>
  <si>
    <t>Cabañas</t>
  </si>
  <si>
    <t>Café Créme Arome</t>
  </si>
  <si>
    <t>Café Créme Blue</t>
  </si>
  <si>
    <t>Café Créme Filter Arome</t>
  </si>
  <si>
    <t>Café Créme Filter Tip</t>
  </si>
  <si>
    <t>Café Créme French Vainilla</t>
  </si>
  <si>
    <t>Café Créme Machiatto</t>
  </si>
  <si>
    <t>Café Créme Noir</t>
  </si>
  <si>
    <t>Café Créme Regular</t>
  </si>
  <si>
    <t>Cali Azul KS Box 20</t>
  </si>
  <si>
    <t>Cali Blanco KS Box 20</t>
  </si>
  <si>
    <t>Cali Rojo KS Box 20</t>
  </si>
  <si>
    <t>Calle 8 Azules KSB 20</t>
  </si>
  <si>
    <t>Calle 8 Dorados KSB 20</t>
  </si>
  <si>
    <t>Calle 8 Rojos KSB 20</t>
  </si>
  <si>
    <t>Calle 8 Verdes KSB 20</t>
  </si>
  <si>
    <t>Camacho</t>
  </si>
  <si>
    <t>Camel 14´s C.D.</t>
  </si>
  <si>
    <t>Camel Activa FF</t>
  </si>
  <si>
    <t>Camel Activa FF 14’s</t>
  </si>
  <si>
    <t>Camel Activa FF 20´s</t>
  </si>
  <si>
    <t>Camel Activa LI</t>
  </si>
  <si>
    <t>Camel Activa LI 14’s</t>
  </si>
  <si>
    <t>Camel Activa White 20´s</t>
  </si>
  <si>
    <t>Camel Blue</t>
  </si>
  <si>
    <t>Camel C.D.</t>
  </si>
  <si>
    <t>Camel C.D. Ed. de Lujo</t>
  </si>
  <si>
    <t>Camel C.D. Ed. Especial</t>
  </si>
  <si>
    <t>Camel Colors</t>
  </si>
  <si>
    <t>Camel Cool</t>
  </si>
  <si>
    <t>Camel Ff 100</t>
  </si>
  <si>
    <t>Camel FF 16’s</t>
  </si>
  <si>
    <t>Camel Filters 100´s</t>
  </si>
  <si>
    <t>Camel Filters 14´s</t>
  </si>
  <si>
    <t>Camel Filters 20´s</t>
  </si>
  <si>
    <t>Camel Lights C.D.</t>
  </si>
  <si>
    <t>Camel Natural F.F.</t>
  </si>
  <si>
    <t>Camel Natural Subtle Flavor D58 M.M. C.D.</t>
  </si>
  <si>
    <t>Camel Silver</t>
  </si>
  <si>
    <t>Camel Smooth C.D.</t>
  </si>
  <si>
    <t>Camel White 20´s</t>
  </si>
  <si>
    <t>Camel Winter</t>
  </si>
  <si>
    <t>Camilitos</t>
  </si>
  <si>
    <t>Canillas</t>
  </si>
  <si>
    <t>Capa Flor</t>
  </si>
  <si>
    <t>Caporal c/Filtro 20´s</t>
  </si>
  <si>
    <t>Caribeños</t>
  </si>
  <si>
    <t>Catalina Largo Azul 14’s C.D.</t>
  </si>
  <si>
    <t>Catalina Largo Azul 20’s C.D.</t>
  </si>
  <si>
    <t>Catalina Largo Rojo 14’s C.D.</t>
  </si>
  <si>
    <t>Catalina Largo Rojo 20’s C.D.</t>
  </si>
  <si>
    <t>Catalina Largo Verde 14’s C.D.</t>
  </si>
  <si>
    <t>Catalina Largo Verde 20’s C.D.</t>
  </si>
  <si>
    <t>Cayman Crown</t>
  </si>
  <si>
    <t>Cazadores</t>
  </si>
  <si>
    <t>Cda.</t>
  </si>
  <si>
    <t>Cedritos</t>
  </si>
  <si>
    <t>Cedros</t>
  </si>
  <si>
    <t>Cedros Especial</t>
  </si>
  <si>
    <t>Cedros Especiales</t>
  </si>
  <si>
    <t>Centurión</t>
  </si>
  <si>
    <t>Charlotte Azul KS Box 20</t>
  </si>
  <si>
    <t>Charlotte Blanco KS Box 20</t>
  </si>
  <si>
    <t>Charlotte Rojo KS Box 20</t>
  </si>
  <si>
    <t>Charlotte Rosa KS Box 20</t>
  </si>
  <si>
    <t>Cherokee Azul KS Box 20</t>
  </si>
  <si>
    <t>Cherokee Blanco KS Box 20</t>
  </si>
  <si>
    <t>Cherokee Negro KS Box 20</t>
  </si>
  <si>
    <t>Cherokee Rojo KS Box 20</t>
  </si>
  <si>
    <t>Chesterfield Blue (3.0 WC) Ks Box 14</t>
  </si>
  <si>
    <t>Chesterfield Blue Caps 100 Box 18</t>
  </si>
  <si>
    <t>Chesterfield Blue KS Box 14</t>
  </si>
  <si>
    <t>Chesterfield Blue KS Box 16</t>
  </si>
  <si>
    <t>Chesterfield Blue KS Box 20</t>
  </si>
  <si>
    <t>Chesterfield Mint (3.0 WC) Ks Box 14</t>
  </si>
  <si>
    <t>Chesterfield Mint Caps 100 Box 18</t>
  </si>
  <si>
    <t>Chesterfield Mint KS Box 16</t>
  </si>
  <si>
    <t>Chesterfield Mint MNT KS Box 14</t>
  </si>
  <si>
    <t>Chesterfield Purple Caps 100 Box 18</t>
  </si>
  <si>
    <t>Chesterfield Red (3.0WC) Ks Box 14</t>
  </si>
  <si>
    <t>Chesterfield Red KS Box 14</t>
  </si>
  <si>
    <t>Chesterfield Red KS Box 16</t>
  </si>
  <si>
    <t>Chesterfield Red KS Box 20</t>
  </si>
  <si>
    <t>Chunghwa</t>
  </si>
  <si>
    <t>Chunghwa 5000</t>
  </si>
  <si>
    <t>Chungwa Azules KSB 20</t>
  </si>
  <si>
    <t>Chungwa Dorados KSB 20</t>
  </si>
  <si>
    <t>Chungwa Rojos KSB 20</t>
  </si>
  <si>
    <t>Chungwa Verdes KSB 20</t>
  </si>
  <si>
    <t>Churchill 16 x 50 x 7</t>
  </si>
  <si>
    <t>Churchill Habano 16 x 50 x 7</t>
  </si>
  <si>
    <t>Cikar</t>
  </si>
  <si>
    <t>Club</t>
  </si>
  <si>
    <t>Cohiba Predilecto</t>
  </si>
  <si>
    <t>Copa Cabana</t>
  </si>
  <si>
    <t>Corona de Lux</t>
  </si>
  <si>
    <t>Coronita Picadura 7.5 x 42 x 4</t>
  </si>
  <si>
    <t>Coronitas 7.5 x 42 x 4</t>
  </si>
  <si>
    <t>Coronitas Habanos 7.5 x 42 x 4</t>
  </si>
  <si>
    <t>Cuaba</t>
  </si>
  <si>
    <t>Da Costa</t>
  </si>
  <si>
    <t>Dalton 20´s F.T. y C.S.</t>
  </si>
  <si>
    <t>Dalton KS Box 14</t>
  </si>
  <si>
    <t>Dalton Ks Box 20</t>
  </si>
  <si>
    <t>Davidoff</t>
  </si>
  <si>
    <t>Davidoff Classic Box 20</t>
  </si>
  <si>
    <t>Davidoff Gold Box 20</t>
  </si>
  <si>
    <t>Delicados Capsulas MNT KS Box 20</t>
  </si>
  <si>
    <t>Delicados Claros LS BOX 14</t>
  </si>
  <si>
    <t>Delicados Claros LS Box 15</t>
  </si>
  <si>
    <t>Delicados Claros LS Rsp 24</t>
  </si>
  <si>
    <t>Delicados con filtro LS Box 14</t>
  </si>
  <si>
    <t>Delicados con Filtro LS Box 15</t>
  </si>
  <si>
    <t>Delicados con filtro LS Box 20</t>
  </si>
  <si>
    <t>Delicados con Filtro LS RSP 24</t>
  </si>
  <si>
    <t>Delicados con Filtro LS RSP 25</t>
  </si>
  <si>
    <t>Delicados Dorados LS Box 14</t>
  </si>
  <si>
    <t>Delicados Dorados LS Box 15</t>
  </si>
  <si>
    <t>Delicados Dorados LS Box 20</t>
  </si>
  <si>
    <t>Delicados Dorados LS RSP 24</t>
  </si>
  <si>
    <t>Delicados Dorados LS RSP 25</t>
  </si>
  <si>
    <t>Delicados Dorados Rs Rsp 25</t>
  </si>
  <si>
    <t>Delicados Frescos LS BOX 14</t>
  </si>
  <si>
    <t>Delicados Frescos LS Box 15</t>
  </si>
  <si>
    <t>Delicados Originales Ls Box 14</t>
  </si>
  <si>
    <t>Delicados Ovalados 12</t>
  </si>
  <si>
    <t>Delicados Rs Rsp 25</t>
  </si>
  <si>
    <t>Deliciosos 4.2 x 32 x 5</t>
  </si>
  <si>
    <t>Derby con Filtro</t>
  </si>
  <si>
    <t>Dictadores 11.5 x 42 x 6.75</t>
  </si>
  <si>
    <t>Dictadores Habanos 11.5 x 42 x 6.75</t>
  </si>
  <si>
    <t>Diplomáticos</t>
  </si>
  <si>
    <t>Domingo</t>
  </si>
  <si>
    <t>Don Camilo</t>
  </si>
  <si>
    <t>Don Fernando</t>
  </si>
  <si>
    <t>Don Francisco</t>
  </si>
  <si>
    <t>Don Pancho</t>
  </si>
  <si>
    <t>Dos Coronas</t>
  </si>
  <si>
    <t>Double Happiness</t>
  </si>
  <si>
    <t>Double Happiness (Crystal)</t>
  </si>
  <si>
    <t>Dunhill Blonde Blend KS</t>
  </si>
  <si>
    <t>Dunhill Blonde Switch</t>
  </si>
  <si>
    <t>Dunhill Boost 100</t>
  </si>
  <si>
    <t>Dunhill Capsule Switch Ff</t>
  </si>
  <si>
    <t>Dunhill King Size C.D.</t>
  </si>
  <si>
    <t>Dunhill Master Blend KS</t>
  </si>
  <si>
    <t>Dunhill Swiss Blend KS</t>
  </si>
  <si>
    <t>Dunhill Switch 100</t>
  </si>
  <si>
    <t>Económicos Cache’s Azules KSB 20</t>
  </si>
  <si>
    <t>Económicos Cache’s Dorados KSB 20</t>
  </si>
  <si>
    <t>Económicos Cache’s Rojos KSB 20</t>
  </si>
  <si>
    <t>Económicos Cache’s Verdes KSB 20</t>
  </si>
  <si>
    <t>Edmundo Dantes</t>
  </si>
  <si>
    <t>El Triunfo "Tripa Larga".</t>
  </si>
  <si>
    <t>Elegantes c/ filtro</t>
  </si>
  <si>
    <t>Elegantes c/ filtro Menthol</t>
  </si>
  <si>
    <t>Enanos</t>
  </si>
  <si>
    <t>Es un Nene</t>
  </si>
  <si>
    <t>Es una Nena</t>
  </si>
  <si>
    <t>Especial Cecilia</t>
  </si>
  <si>
    <t>Especiales Cecilia</t>
  </si>
  <si>
    <t>Excalibur</t>
  </si>
  <si>
    <t>Extra Señoritas</t>
  </si>
  <si>
    <t>Fact Regular</t>
  </si>
  <si>
    <t>Faena Azules KSB 20</t>
  </si>
  <si>
    <t>Faena Dorados KSB 20</t>
  </si>
  <si>
    <t>Faena Rojos KSB 20</t>
  </si>
  <si>
    <t>Faena Verdes KSB 20</t>
  </si>
  <si>
    <t>Fancytales</t>
  </si>
  <si>
    <t>Faros Blancos KS Box 20</t>
  </si>
  <si>
    <t>Faros c/filtro</t>
  </si>
  <si>
    <t>Faros NF RS SOF 18 SLI</t>
  </si>
  <si>
    <t>Faros RS RSP 24</t>
  </si>
  <si>
    <t>Feeling Fresa Cajetilla Dura</t>
  </si>
  <si>
    <t>Feeling Fresa Cajetilla Suave</t>
  </si>
  <si>
    <t>Feeling Limón Cajetilla Dura</t>
  </si>
  <si>
    <t>Feeling Limón Cajetilla Suave</t>
  </si>
  <si>
    <t>Feeling Manzana Mentolada Cajetilla Dura</t>
  </si>
  <si>
    <t>Feeling Manzana Mentolada Cajetilla Suave</t>
  </si>
  <si>
    <t>Fiesta 20s FF 83 MM CD</t>
  </si>
  <si>
    <t>Fiesta C.S.</t>
  </si>
  <si>
    <t>Fifty Club</t>
  </si>
  <si>
    <t>Fire Dance Caf</t>
  </si>
  <si>
    <t>Fire Dance Full Flavor</t>
  </si>
  <si>
    <t>Fire Dance Light</t>
  </si>
  <si>
    <t>Flanders</t>
  </si>
  <si>
    <t>Flor de Cano</t>
  </si>
  <si>
    <t>Flor de las Antillas</t>
  </si>
  <si>
    <t>Fonseca</t>
  </si>
  <si>
    <t>Fortuna (Azul) Ks Box 14</t>
  </si>
  <si>
    <t>Fortuna Cold Mint Mnt KS Box 14</t>
  </si>
  <si>
    <t>Fortuna Cold Mint Mnt KS Box 20</t>
  </si>
  <si>
    <t>Fortuna F.F.</t>
  </si>
  <si>
    <t>Fortuna Ks Box 14</t>
  </si>
  <si>
    <t>Fortuna Lights</t>
  </si>
  <si>
    <t>Fuente Fuente</t>
  </si>
  <si>
    <t>Garañon Azul Ks Box 20</t>
  </si>
  <si>
    <t>Garañon Blanco Ks Box 20</t>
  </si>
  <si>
    <t>Garañon Natural Ks Box 20</t>
  </si>
  <si>
    <t>Garañon Rojo Ks Box 20</t>
  </si>
  <si>
    <t>Garañon Verde Ks Box 20</t>
  </si>
  <si>
    <t>Gol 70 C.S.</t>
  </si>
  <si>
    <t>Gol Ff</t>
  </si>
  <si>
    <t>Gold Rush Cherry</t>
  </si>
  <si>
    <t>Gold Rush Vainilla</t>
  </si>
  <si>
    <t>Golden Deer</t>
  </si>
  <si>
    <t>Gran Corona</t>
  </si>
  <si>
    <t>Gran Corona B</t>
  </si>
  <si>
    <t>Gratos CD 20 FF</t>
  </si>
  <si>
    <t>Griffins</t>
  </si>
  <si>
    <t>Grupo Loma</t>
  </si>
  <si>
    <t>Guantanamera</t>
  </si>
  <si>
    <t>Gw</t>
  </si>
  <si>
    <t>Hacienda Veracruz</t>
  </si>
  <si>
    <t>Half &amp; Half</t>
  </si>
  <si>
    <t>Half Corona</t>
  </si>
  <si>
    <t>Hampton</t>
  </si>
  <si>
    <t>Hanhello Full Flavor</t>
  </si>
  <si>
    <t>Hanhello Light</t>
  </si>
  <si>
    <t>Hanhello Limon</t>
  </si>
  <si>
    <t>Hanhello Natural</t>
  </si>
  <si>
    <t>Hanhello Tequila</t>
  </si>
  <si>
    <t>Hoja de Mexicali</t>
  </si>
  <si>
    <t>Hoja de Oro</t>
  </si>
  <si>
    <t>Hoja Selecta #2</t>
  </si>
  <si>
    <t>Hoja Selecta #4</t>
  </si>
  <si>
    <t>Hoja Selecta Churchill</t>
  </si>
  <si>
    <t>Hoja Selecta Espléndidos</t>
  </si>
  <si>
    <t>Hoja Selecta Robustos</t>
  </si>
  <si>
    <t>Hoyo de Casa</t>
  </si>
  <si>
    <t>Hoyo de Monterrey</t>
  </si>
  <si>
    <t>Hugo Cassar</t>
  </si>
  <si>
    <t>Hypnose Azules KSB 20</t>
  </si>
  <si>
    <t>Hypnose Dorados KSB 20</t>
  </si>
  <si>
    <t>Hypnose Rojos KSB 20</t>
  </si>
  <si>
    <t>Hypnose Verdes KSB 20</t>
  </si>
  <si>
    <t>Imperiales</t>
  </si>
  <si>
    <t>Imperiales 17 x 52 x 7</t>
  </si>
  <si>
    <t>Imperiales Habanos 17 x 52 x 7</t>
  </si>
  <si>
    <t>Indy Azul KS Box 20</t>
  </si>
  <si>
    <t>Indy Blanco KS Box 20</t>
  </si>
  <si>
    <t>Indy Rojo KS Box 20</t>
  </si>
  <si>
    <t>Intermedios</t>
  </si>
  <si>
    <t>J. Cortes</t>
  </si>
  <si>
    <t>J.R.</t>
  </si>
  <si>
    <t>Jaisalmer Azules KSB 20</t>
  </si>
  <si>
    <t>Jaisalmer Dorados KSB 20</t>
  </si>
  <si>
    <t>Jaisalmer Rojos KSB 20</t>
  </si>
  <si>
    <t>Jaisalmer Verdes KSB 20</t>
  </si>
  <si>
    <t>Java Cigarrillos</t>
  </si>
  <si>
    <t>Joe’s Azul 20’s</t>
  </si>
  <si>
    <t>Joe’s Black 20’s</t>
  </si>
  <si>
    <t>Joe’s Mentolado 20’s</t>
  </si>
  <si>
    <t>Joe’s Natural 20’s</t>
  </si>
  <si>
    <t>Joe´s Rojo 20’s</t>
  </si>
  <si>
    <t>José L. Piedra</t>
  </si>
  <si>
    <t>Joya de Nicaragua</t>
  </si>
  <si>
    <t>Juan López</t>
  </si>
  <si>
    <t>Jubilee Azules KSB 20</t>
  </si>
  <si>
    <t>Jubilee Dorados KSB 20</t>
  </si>
  <si>
    <t>Jubilee Rojos KSB 20</t>
  </si>
  <si>
    <t>Jubilee Verdes KSB 20</t>
  </si>
  <si>
    <t>Kahlua Aromático</t>
  </si>
  <si>
    <t>Kahlua Cherry</t>
  </si>
  <si>
    <t>Kayak</t>
  </si>
  <si>
    <t>Kaywoodie Chocolate</t>
  </si>
  <si>
    <t>Kaywoodie Fresa</t>
  </si>
  <si>
    <t>Kaywoodie Mora</t>
  </si>
  <si>
    <t>Kaywoodie Obscuro</t>
  </si>
  <si>
    <t>Kaywoodie Rubio</t>
  </si>
  <si>
    <t>Kaywoodie Uva</t>
  </si>
  <si>
    <t>Kaywoodie Vainilla</t>
  </si>
  <si>
    <t>Kent Blue Ten H.L.</t>
  </si>
  <si>
    <t>Kent Box C.D.</t>
  </si>
  <si>
    <t>Kent Gold One H.L.</t>
  </si>
  <si>
    <t>Kent Regular C.S.</t>
  </si>
  <si>
    <t>Kent Silver Five H.L.</t>
  </si>
  <si>
    <t>Kent Super Light C.D.</t>
  </si>
  <si>
    <t>Kent Super Light C.S.</t>
  </si>
  <si>
    <t>Kent Wallet White C.F.</t>
  </si>
  <si>
    <t>Kentucky Club Aromático</t>
  </si>
  <si>
    <t>Kentucky Club Regular</t>
  </si>
  <si>
    <t>King Edward</t>
  </si>
  <si>
    <t>KLONDIKE</t>
  </si>
  <si>
    <t>La Aurora</t>
  </si>
  <si>
    <t>La Casta</t>
  </si>
  <si>
    <t>La Corona</t>
  </si>
  <si>
    <t>La Dueña</t>
  </si>
  <si>
    <t>La Flor Dominicana</t>
  </si>
  <si>
    <t>La Gloria Cubana</t>
  </si>
  <si>
    <t>La Riqueza</t>
  </si>
  <si>
    <t>Laredo Azules KSB 20</t>
  </si>
  <si>
    <t>Laredo Dorados KSB 20</t>
  </si>
  <si>
    <t>Laredo Rojos KSB 20</t>
  </si>
  <si>
    <t>Laredo Verdes KSB 20</t>
  </si>
  <si>
    <t>Leon Jimenez</t>
  </si>
  <si>
    <t>Lider Regular F.T.</t>
  </si>
  <si>
    <t>Lieb</t>
  </si>
  <si>
    <t>Linea Turrent "Tripa Corta".</t>
  </si>
  <si>
    <t>Link Azul KS Box 20</t>
  </si>
  <si>
    <t>Link Blanco KS Box 20</t>
  </si>
  <si>
    <t>Link Ice Fusion KS Box 20</t>
  </si>
  <si>
    <t>Link Negro KS Box 20</t>
  </si>
  <si>
    <t>Link Rojo Ks Box 20</t>
  </si>
  <si>
    <t>London Dock</t>
  </si>
  <si>
    <t>Long Panatella</t>
  </si>
  <si>
    <t>Lucas Azules KSB 20</t>
  </si>
  <si>
    <t>Lucas Dorados KSB 20</t>
  </si>
  <si>
    <t>Lucas Rojos KSB 20</t>
  </si>
  <si>
    <t>Lucas Verdes KSB 20</t>
  </si>
  <si>
    <t>Lucky Strike 1916 C.S.</t>
  </si>
  <si>
    <t>Lucky Strike 20s Mentol 83MM CD Con Filtro Tube y Capsula</t>
  </si>
  <si>
    <t>Lucky Strike Additive Free FF 69 MM 20s CS</t>
  </si>
  <si>
    <t>Lucky Strike Additive Free FF 74 MM 25s TR</t>
  </si>
  <si>
    <t>Lucky Strike Additive Free FF 83 MM 20s CD</t>
  </si>
  <si>
    <t>Lucky Strike Additive Free NFF 83 MM 20s CD</t>
  </si>
  <si>
    <t>Lucky Strike Amarillos FF 69MM 20s CS</t>
  </si>
  <si>
    <t>Lucky Strike Amarillos FF 83MM 25s CD</t>
  </si>
  <si>
    <t>Lucky Strike Blond Infuse 20s FF 83MM CD Con Filtro Tubo</t>
  </si>
  <si>
    <t>Lucky Strike C.D.</t>
  </si>
  <si>
    <t>Lucky Strike C.D. P.B.</t>
  </si>
  <si>
    <t>Lucky Strike Click 4 Mix 20s Mentol 83MM CD con Capsulas</t>
  </si>
  <si>
    <t>Lucky Strike Click 4 Mix 3.0 20s Mentol 83MM CD Con Capsulas</t>
  </si>
  <si>
    <t>Lucky Strike Convertibles 15s Mentol 83MM CD con Capsula</t>
  </si>
  <si>
    <t>Lucky Strike Convertibles Azules 20s ME 83MM CD Con Capsula</t>
  </si>
  <si>
    <t>Lucky Strike Convertibles Morados 20s Mentol 83MM CD Con Capsula</t>
  </si>
  <si>
    <t>Lucky Strike Convertibles Rojos 20s ME 83MM CD Con Capsula</t>
  </si>
  <si>
    <t>Lucky Strike Dark Infuse 20s FF 83MM CD Con Filtro Tubo</t>
  </si>
  <si>
    <t>Lucky Strike FF 83MM HLSQ 15s SIGNATURE</t>
  </si>
  <si>
    <t>Lucky Strike Lights C.D.</t>
  </si>
  <si>
    <t>Lucky Strike Lights C.D. P.B.</t>
  </si>
  <si>
    <t>Lucky Strike Original 15s FF 83MM CD</t>
  </si>
  <si>
    <t>Lucky Strike Original 20s FF 83MM CD con Capsula</t>
  </si>
  <si>
    <t>Lucky Strike Original 20s FF 83MM CD Con Filtro Tube</t>
  </si>
  <si>
    <t>Lucky Strike Original 20s FF 83MM CD Con Filtro Tube y Capsula</t>
  </si>
  <si>
    <t>Lucky Strike Original 25s FF 83MM CD Con Filtro Tubo</t>
  </si>
  <si>
    <t>Lucky Strike Original FF CD</t>
  </si>
  <si>
    <t>Lucky Strike Original NFF CD</t>
  </si>
  <si>
    <t>Lusitano Azul KS Box 20</t>
  </si>
  <si>
    <t>Lusitano Blanco KS Box 20</t>
  </si>
  <si>
    <t>Lusitano Rojo KS Box 20</t>
  </si>
  <si>
    <t>Mac Baren</t>
  </si>
  <si>
    <t>Mac Baren Golden Dice</t>
  </si>
  <si>
    <t>Mac Baren Mixture</t>
  </si>
  <si>
    <t>Mac Baren Mixture Mild</t>
  </si>
  <si>
    <t>Mac Baren Original Choice</t>
  </si>
  <si>
    <t>Mac Baren Vanilla Loose Cut</t>
  </si>
  <si>
    <t>Macanudo</t>
  </si>
  <si>
    <t>Madison Classic</t>
  </si>
  <si>
    <t>Madison Fresh</t>
  </si>
  <si>
    <t>Madison Menthol</t>
  </si>
  <si>
    <t>Madison Special</t>
  </si>
  <si>
    <t>Madrigal</t>
  </si>
  <si>
    <t>Madrigal Habana</t>
  </si>
  <si>
    <t>Malaga Azul KS Box 20</t>
  </si>
  <si>
    <t>Malaga Blanco KS Box 20</t>
  </si>
  <si>
    <t>Malaga Rojo KS Box 20</t>
  </si>
  <si>
    <t>Maravilla Canonazo 52 x 144</t>
  </si>
  <si>
    <t>Maravilla Corona 46 x 130</t>
  </si>
  <si>
    <t>Maravilla Hermoso 54 x 135</t>
  </si>
  <si>
    <t>Maravilla Mareva 42 x 132</t>
  </si>
  <si>
    <t>Maravilla Petit Piramide 52 x 125</t>
  </si>
  <si>
    <t>Maravilla Piramide 52 x 160</t>
  </si>
  <si>
    <t>Maravilla Prominente 49 x 180</t>
  </si>
  <si>
    <t>Maravilla Robusto 50 x 124</t>
  </si>
  <si>
    <t>Maravilla Short Churchill 54 x 110</t>
  </si>
  <si>
    <t>Maravilla Sublime 54 x 164</t>
  </si>
  <si>
    <t>Marboro Mild 14´s</t>
  </si>
  <si>
    <t>Mariachi</t>
  </si>
  <si>
    <t>Marlboro (Red FWD Caps) 100 Box 20</t>
  </si>
  <si>
    <t>Marlboro (Red Upgrade) LS Box 18</t>
  </si>
  <si>
    <t>Marlboro 100</t>
  </si>
  <si>
    <t>Marlboro 14’s</t>
  </si>
  <si>
    <t>Marlboro Advance KS Box 20</t>
  </si>
  <si>
    <t>Marlboro Amber Advance 100 Box 20</t>
  </si>
  <si>
    <t>Marlboro Black Freeze MNT Ks Box</t>
  </si>
  <si>
    <t>Marlboro E.L.</t>
  </si>
  <si>
    <t>Marlboro F.T.</t>
  </si>
  <si>
    <t>Marlboro Fresh</t>
  </si>
  <si>
    <t>Marlboro Fresh Mnt KS BOX 14</t>
  </si>
  <si>
    <t>Marlboro Fusion Shine 100 BOX 20 SLI</t>
  </si>
  <si>
    <t>Marlboro Gold Original (Caps) 100 Box 14</t>
  </si>
  <si>
    <t>Marlboro Gold Original (Caps) 100 Box 20</t>
  </si>
  <si>
    <t>Marlboro Gold Original 100 Box 20</t>
  </si>
  <si>
    <t>Marlboro Gold Original 100´s BOX 14</t>
  </si>
  <si>
    <t>Marlboro Gold Original Ks Box 14</t>
  </si>
  <si>
    <t>Marlboro Gold Original KS Box 18</t>
  </si>
  <si>
    <t>Marlboro Gold Original Ks Box 20</t>
  </si>
  <si>
    <t>Marlboro Gold Original Ks Sof 20</t>
  </si>
  <si>
    <t>Marlboro Gold Original RS Box 20</t>
  </si>
  <si>
    <t>Marlboro Gold Touch Ks Box 20 SLI</t>
  </si>
  <si>
    <t>Marlboro Ice Xpress Mnt 100 BOX 14</t>
  </si>
  <si>
    <t>Marlboro Ice Xpress Mnt 100 Box 18</t>
  </si>
  <si>
    <t>Marlboro Ice Xpress Mnt 100 BOX 20</t>
  </si>
  <si>
    <t>Marlboro ICE Xpress Mnt KS BOX 14</t>
  </si>
  <si>
    <t>Marlboro Ice Xpress MNT Ks Box 20</t>
  </si>
  <si>
    <t>Marlboro Kretek Mint Mnt KS Box 20</t>
  </si>
  <si>
    <t>Marlboro Mild Flavor F.T.</t>
  </si>
  <si>
    <t>Marlboro Pocket (Red FWD) RS Box 20</t>
  </si>
  <si>
    <t>Marlboro Velvet Fusion Blast 100 Box 20</t>
  </si>
  <si>
    <t>Marlboro Velvet Fusion Blast KS Box 20</t>
  </si>
  <si>
    <t>Marlboro White Mint Mnt KS BOX 20</t>
  </si>
  <si>
    <t>Marlboro White Mint MNT KS Box 20</t>
  </si>
  <si>
    <t>Matacan "Tripa Larga".</t>
  </si>
  <si>
    <t>Maverick Azul KS Box 20</t>
  </si>
  <si>
    <t>Maverick Blanco KS Box 20</t>
  </si>
  <si>
    <t>Maverick Rojo KS Box 20</t>
  </si>
  <si>
    <t>Maxwell Azul 20’s</t>
  </si>
  <si>
    <t>Maxwell Mentolado 20’s</t>
  </si>
  <si>
    <t>Maxwell Rojo 20’s</t>
  </si>
  <si>
    <t>Mazo Tripa Corta</t>
  </si>
  <si>
    <t>Mazo Tripa Larga</t>
  </si>
  <si>
    <t>Medallon Light Cajetilla Suave</t>
  </si>
  <si>
    <t>Medallon Mentolado Cajetilla Suave</t>
  </si>
  <si>
    <t>Medallon Mentolado Light Cajetilla Suave</t>
  </si>
  <si>
    <t>Medallon Regular Cajetilla Suave</t>
  </si>
  <si>
    <t>Mexican</t>
  </si>
  <si>
    <t>Mi viejo</t>
  </si>
  <si>
    <t>Mike's</t>
  </si>
  <si>
    <t>Mini Wilde</t>
  </si>
  <si>
    <t>Minis</t>
  </si>
  <si>
    <t>Miranda</t>
  </si>
  <si>
    <t>Mocambo</t>
  </si>
  <si>
    <t>Montague Claro Assort</t>
  </si>
  <si>
    <t>Montague Corona</t>
  </si>
  <si>
    <t>Montague Rosbusto</t>
  </si>
  <si>
    <t>Montana 100 FF</t>
  </si>
  <si>
    <t>Montana 100 LI</t>
  </si>
  <si>
    <t>Montana 100 ME</t>
  </si>
  <si>
    <t>Montana 14´s F.F. C.D.</t>
  </si>
  <si>
    <t>Montana Boost 14</t>
  </si>
  <si>
    <t>Montana C.D.</t>
  </si>
  <si>
    <t>Montana C.S.</t>
  </si>
  <si>
    <t>Montana Fresh C.D.</t>
  </si>
  <si>
    <t>Montana Lights C.D.</t>
  </si>
  <si>
    <t>Montana Lights C.S.</t>
  </si>
  <si>
    <t>Montana Medium C.D.</t>
  </si>
  <si>
    <t>Montana Menthol C.D.</t>
  </si>
  <si>
    <t>Montana Menthol C.S.</t>
  </si>
  <si>
    <t>Montana Shots 14´s</t>
  </si>
  <si>
    <t>Montana Shots 15´s</t>
  </si>
  <si>
    <t>Montana Shots 24’s</t>
  </si>
  <si>
    <t>Montana Shots F.F.</t>
  </si>
  <si>
    <t>Montana Shots F.F. 25´s</t>
  </si>
  <si>
    <t>Montana Spice C.D.</t>
  </si>
  <si>
    <t>Montecristo</t>
  </si>
  <si>
    <t>Montes</t>
  </si>
  <si>
    <t>Mulatos</t>
  </si>
  <si>
    <t>Muratti Azul Ks Box 20</t>
  </si>
  <si>
    <t>Muratti Rojo Ks Box 20</t>
  </si>
  <si>
    <t>My Father</t>
  </si>
  <si>
    <t>Navegantes</t>
  </si>
  <si>
    <t>Navigator Azules KSB 20</t>
  </si>
  <si>
    <t>Navigator Dorados KSB 20</t>
  </si>
  <si>
    <t>Navigator Rojos KSB 20</t>
  </si>
  <si>
    <t>Navigator Verdes KSB 20</t>
  </si>
  <si>
    <t>Nevada</t>
  </si>
  <si>
    <t>New York New York Full Flavor</t>
  </si>
  <si>
    <t>New York New York Lights</t>
  </si>
  <si>
    <t>No. 1</t>
  </si>
  <si>
    <t>No. 2</t>
  </si>
  <si>
    <t>No. 4</t>
  </si>
  <si>
    <t>No. 5</t>
  </si>
  <si>
    <t>No. 5 Extra</t>
  </si>
  <si>
    <t>No. 6</t>
  </si>
  <si>
    <t>No. 6 Extra</t>
  </si>
  <si>
    <t>No. 7</t>
  </si>
  <si>
    <t>No. 8</t>
  </si>
  <si>
    <t>No. 9</t>
  </si>
  <si>
    <t>Norton Full Flavor</t>
  </si>
  <si>
    <t>Núm. 1</t>
  </si>
  <si>
    <t>Núm. 2</t>
  </si>
  <si>
    <t>Núm. 3</t>
  </si>
  <si>
    <t>Núm. 4</t>
  </si>
  <si>
    <t>Núm. 5</t>
  </si>
  <si>
    <t>Núm. 5 Extra</t>
  </si>
  <si>
    <t>Núm. 6</t>
  </si>
  <si>
    <t>Núm. 6 Extra</t>
  </si>
  <si>
    <t>Núm. 7</t>
  </si>
  <si>
    <t>Núm. 8</t>
  </si>
  <si>
    <t>Núm. 9</t>
  </si>
  <si>
    <t>Optimum</t>
  </si>
  <si>
    <t>Optimum B</t>
  </si>
  <si>
    <t>Ortíz</t>
  </si>
  <si>
    <t>Otman Perez</t>
  </si>
  <si>
    <t>P&amp;R</t>
  </si>
  <si>
    <t>Pakal</t>
  </si>
  <si>
    <t>Paladin</t>
  </si>
  <si>
    <t>Palenque Azul KS Box 20</t>
  </si>
  <si>
    <t>Palenque Blanco KS Box 20</t>
  </si>
  <si>
    <t>Palenque Dorado KS Box 20</t>
  </si>
  <si>
    <t>Palenque Rojo KS Box 20</t>
  </si>
  <si>
    <t>Palette Especial</t>
  </si>
  <si>
    <t>Palette Expecial Extra Mild</t>
  </si>
  <si>
    <t>Pall Mall 25´s Rojos C.F.</t>
  </si>
  <si>
    <t>Pall Mall Azul 20´s C.D. C.F.</t>
  </si>
  <si>
    <t>Pall Mall Black Edition Havana Nights</t>
  </si>
  <si>
    <t>Pall Mall Exacto Mentol 15´s</t>
  </si>
  <si>
    <t>Pall Mall Exactos 14 LI</t>
  </si>
  <si>
    <t>Pall Mall Exactos 14´s</t>
  </si>
  <si>
    <t>Pall Mall Exactos 24s FF CD</t>
  </si>
  <si>
    <t>Pall Mall Exactos 25´s F.F. C.S.</t>
  </si>
  <si>
    <t>Pall Mall Exactos F.F. C.S.</t>
  </si>
  <si>
    <t>Pall Mall Exactos Lights C.S.</t>
  </si>
  <si>
    <t>Pall Mall F.F. C.D.</t>
  </si>
  <si>
    <t>Pall Mall F.F. C.S.</t>
  </si>
  <si>
    <t>Pall Mall FF 15’s Exactos</t>
  </si>
  <si>
    <t>Pall Mall LI 15’s Exactos</t>
  </si>
  <si>
    <t>Pall Mall Lights 20´s C.D.</t>
  </si>
  <si>
    <t>Pall Mall Lights C.D.</t>
  </si>
  <si>
    <t>Pall Mall Lights C.S.</t>
  </si>
  <si>
    <t>Pall Mall Menthol 20´s C.F. C.D.</t>
  </si>
  <si>
    <t>Pall Mall Menthol C.F.</t>
  </si>
  <si>
    <t>Pall Mall Multicolor</t>
  </si>
  <si>
    <t>Pall Mall Naranja 20´s C.D. C.F.</t>
  </si>
  <si>
    <t>Pall Mall Red Beat 20s Mentol 90MM CD Con Capsula</t>
  </si>
  <si>
    <t>Pall Mall Special Lights 100´s C.D.</t>
  </si>
  <si>
    <t>Pall Mall Superslims C.D. C.F.</t>
  </si>
  <si>
    <t>Pall Mall XL 14 FF Switch</t>
  </si>
  <si>
    <t>Pall Mall XL 14 Light Switch</t>
  </si>
  <si>
    <t>Pall Mall XL 14 ME Boost</t>
  </si>
  <si>
    <t>Pall Mall XL Aruba Sunrise Double Click 14s Mentol 100MM CD Con Capsulas</t>
  </si>
  <si>
    <t>Pall Mall XL Aruba Sunrise Double Click 20s Mentol 100MM CD Con Capsulas</t>
  </si>
  <si>
    <t>Pall Mall XL Click and Twist 20s 100MM CD con Capsula</t>
  </si>
  <si>
    <t>Pall Mall XL Essence 20s NFF 100MM CD Con Capsula</t>
  </si>
  <si>
    <t>Pall Mall XL FF Switch</t>
  </si>
  <si>
    <t>Pall Mall XL Fresh 14</t>
  </si>
  <si>
    <t>Pall Mall XL Fresh HL</t>
  </si>
  <si>
    <t>Pall Mall XL Ibiza Sunset 14s 100MM CD con Capsula</t>
  </si>
  <si>
    <t>Pall Mall XL Ibiza Sunset 20s 100MM CD con Capsula</t>
  </si>
  <si>
    <t>Pall Mall XL LI Switch</t>
  </si>
  <si>
    <t>Pall Mall XL Lights 14</t>
  </si>
  <si>
    <t>Pall Mall XL Maui Crepuscule 20s Mentol 100 MM CD con Capsula</t>
  </si>
  <si>
    <t>Pall Mall XL Me Boost</t>
  </si>
  <si>
    <t>Pall Mall XL Mykonos 20s ME 100MM CD Con Capsula</t>
  </si>
  <si>
    <t>Pall Mall XL Tokyo Midnight Double Click 14s Mentol 100MM CD Con Capsulas</t>
  </si>
  <si>
    <t>Pall Mall XL Tokyo Midnight Double Click 20s Mentol 100MM CD con Capsulas</t>
  </si>
  <si>
    <t>Panetelas</t>
  </si>
  <si>
    <t>PANORAMA Cajetilla Dura con Filtro Menthol</t>
  </si>
  <si>
    <t>Panter</t>
  </si>
  <si>
    <t>Parodi</t>
  </si>
  <si>
    <t>Partagas</t>
  </si>
  <si>
    <t>Pegasus Cigar</t>
  </si>
  <si>
    <t>Península Azules KSB 20</t>
  </si>
  <si>
    <t>Península Dorados KSB 20</t>
  </si>
  <si>
    <t>Península Rojos KSB 20</t>
  </si>
  <si>
    <t>Península Verdes KSB 20</t>
  </si>
  <si>
    <t>Peter Stokkebye</t>
  </si>
  <si>
    <t>Petit</t>
  </si>
  <si>
    <t>Petit Boquilla 2.8 x 21 x 4</t>
  </si>
  <si>
    <t>Petit Irene 1.2 x 21 x 2.75</t>
  </si>
  <si>
    <t>Phoenix con filtro</t>
  </si>
  <si>
    <t>Picudos Cajetilla Dura</t>
  </si>
  <si>
    <t>Picudos Cajetilla Suave</t>
  </si>
  <si>
    <t>Picudos sin Filtro</t>
  </si>
  <si>
    <t>Piramides 13 x 48-50 x 6.75</t>
  </si>
  <si>
    <t>Piramides Habanos 13 x 48-50 x 6.75</t>
  </si>
  <si>
    <t>Popular Auténtico</t>
  </si>
  <si>
    <t>Popular Reserva</t>
  </si>
  <si>
    <t>Por Larrañaga</t>
  </si>
  <si>
    <t>Posse 100 m.m.</t>
  </si>
  <si>
    <t>Posse 85 m.m.</t>
  </si>
  <si>
    <t>Posse Lights 100 m.m</t>
  </si>
  <si>
    <t>Posse Lights 85 m.m.</t>
  </si>
  <si>
    <t>Premios</t>
  </si>
  <si>
    <t>Presidentes</t>
  </si>
  <si>
    <t>Presidentes 1 12 x 38 x 7.25</t>
  </si>
  <si>
    <t>Presidentes 2 14.5 x 44 x 7.25</t>
  </si>
  <si>
    <t>Principes</t>
  </si>
  <si>
    <t>Private Stock</t>
  </si>
  <si>
    <t>Punch</t>
  </si>
  <si>
    <t>Puritos</t>
  </si>
  <si>
    <t>Puritos Chocolate c/5 Unidades</t>
  </si>
  <si>
    <t>Puritos Vainillas c/5 Unidades</t>
  </si>
  <si>
    <t>Puro Robustos c/1 Unidad</t>
  </si>
  <si>
    <t>Puros 13mm x 13cm No. 4 Minor</t>
  </si>
  <si>
    <t>Puros 13mm x 13cm Picadura</t>
  </si>
  <si>
    <t>Puros 16mm x 15cm No. 3 Mayor</t>
  </si>
  <si>
    <t>Puros 16mm x 15cm Picadura</t>
  </si>
  <si>
    <t>Puros 16mm x 16cm No. 2</t>
  </si>
  <si>
    <t>Puros 20mm x 12cm Sublimes</t>
  </si>
  <si>
    <t>Puros 20mm x 20cm No. 1</t>
  </si>
  <si>
    <t>Puros 9mm x 10cm Hoja Entera</t>
  </si>
  <si>
    <t>Puros Aficionados c/1 Unidad</t>
  </si>
  <si>
    <t>Puros Churchill c/1 Unidad</t>
  </si>
  <si>
    <t>Puros Eliseos c/1 Unidad</t>
  </si>
  <si>
    <t>Puros Tamaño Creme Picadura</t>
  </si>
  <si>
    <t>Quai D’Orsay</t>
  </si>
  <si>
    <t>Queen London Azules KSB 20</t>
  </si>
  <si>
    <t>Queen London Dorados KSB 20</t>
  </si>
  <si>
    <t>Queen London Rojos KSB 20</t>
  </si>
  <si>
    <t>Queen London Verdes KSB 20</t>
  </si>
  <si>
    <t>Quintero</t>
  </si>
  <si>
    <t>Rafael Gonzalez</t>
  </si>
  <si>
    <t>Raleigh 18 HL</t>
  </si>
  <si>
    <t>Raleigh 25</t>
  </si>
  <si>
    <t>Raleigh 70 M.M. C.D.</t>
  </si>
  <si>
    <t>Raleigh 84 M.M.</t>
  </si>
  <si>
    <t>Raleigh con Filtro</t>
  </si>
  <si>
    <t>Raleigh Reserva Especial C.D.</t>
  </si>
  <si>
    <t>Raleigh Reserva Especial C.S.</t>
  </si>
  <si>
    <t>Raleigh sin filtro Ovalados</t>
  </si>
  <si>
    <t>Raleigh Suave C.S.</t>
  </si>
  <si>
    <t>Ramon Allones</t>
  </si>
  <si>
    <t>Rey del Mundo</t>
  </si>
  <si>
    <t>RGD Cajetilla Dura con Filtro</t>
  </si>
  <si>
    <t>RGD Cajetilla Dura con Filtro Café</t>
  </si>
  <si>
    <t>RGD Cajetilla Dura con Filtro Chocolate</t>
  </si>
  <si>
    <t>RGD Cajetilla Dura con Filtro Lights</t>
  </si>
  <si>
    <t>RGD Cajetilla Dura con Filtro Mentolados</t>
  </si>
  <si>
    <t>RGD Cajetilla Dura con Filtro Tequila</t>
  </si>
  <si>
    <t>RGD Cajetilla Dura con Filtro Vainilla</t>
  </si>
  <si>
    <t>RGD Cajetilla Suave con Filtro</t>
  </si>
  <si>
    <t>RGD Cajetilla Suave con Filtro Café</t>
  </si>
  <si>
    <t>RGD Cajetilla Suave con Filtro Lights</t>
  </si>
  <si>
    <t>RGD Cajetilla Suave con Filtro Mentolados</t>
  </si>
  <si>
    <t>Río Amazonia Azules KSB 20</t>
  </si>
  <si>
    <t>Río Amazonia Dorados KSB 20</t>
  </si>
  <si>
    <t>Río Amazonia Rojos KSB 20</t>
  </si>
  <si>
    <t>Río Amazonia Verdes KSB 20</t>
  </si>
  <si>
    <t>Robustos 12.3 x 50 x 5</t>
  </si>
  <si>
    <t>Robustos Habano 12.3 x 50 x 5</t>
  </si>
  <si>
    <t>Robustos Picadura 12.3 x 50 x 5</t>
  </si>
  <si>
    <t>Rodeo Caj. Suave</t>
  </si>
  <si>
    <t>Rodeo KS BOX 14</t>
  </si>
  <si>
    <t>Rodeo Ks Box 20</t>
  </si>
  <si>
    <t>Rojo´s</t>
  </si>
  <si>
    <t>Roma Azul KS Box 20</t>
  </si>
  <si>
    <t>Roma Blanco KS Box 20</t>
  </si>
  <si>
    <t>Roma Rojo KS Box 20</t>
  </si>
  <si>
    <t>Romeo y Julieta</t>
  </si>
  <si>
    <t>Rosalones</t>
  </si>
  <si>
    <t>Ruta Maya</t>
  </si>
  <si>
    <t>Sabotage Azules KSB 20</t>
  </si>
  <si>
    <t>Sabotage Dorados KSB 20</t>
  </si>
  <si>
    <t>Sabotage Rojos KSB 20</t>
  </si>
  <si>
    <t>Sabotage Verdes KSB 20</t>
  </si>
  <si>
    <t>Saint Luis Rey</t>
  </si>
  <si>
    <t>Salem 20´s</t>
  </si>
  <si>
    <t>Salem 83 M.M. C.D.</t>
  </si>
  <si>
    <t>Salem C.D.</t>
  </si>
  <si>
    <t>Samba Capuchino Cajetilla Dura</t>
  </si>
  <si>
    <t>Samba Capuchino Cajetilla Suave</t>
  </si>
  <si>
    <t>Samba Chocolate Cajetilla Dura</t>
  </si>
  <si>
    <t>Samba Chocolate Cajetilla Suave</t>
  </si>
  <si>
    <t>Samba Vainilla Cocoa Cajetilla Dura</t>
  </si>
  <si>
    <t>Samba Vainilla Cocoa Cajetilla Suave</t>
  </si>
  <si>
    <t>San Cristóbal de la Habana</t>
  </si>
  <si>
    <t>San Luis Rey</t>
  </si>
  <si>
    <t>Sancho Panza</t>
  </si>
  <si>
    <t>Santa Clara</t>
  </si>
  <si>
    <t>Santa Clara 1830</t>
  </si>
  <si>
    <t>Santorini Azul Ks Box 20</t>
  </si>
  <si>
    <t>Santorini Blanco KS Box 20</t>
  </si>
  <si>
    <t>Santorini Rojo KS Box 20</t>
  </si>
  <si>
    <t>Scenic 101 Azul, CD 20´s</t>
  </si>
  <si>
    <t>Scenic 101 Azul, CS 20´s</t>
  </si>
  <si>
    <t>Scenic 101 Café, CD 20´s</t>
  </si>
  <si>
    <t>Scenic 101 Café, CS 20´s</t>
  </si>
  <si>
    <t>Scenic 101 Largo Azul 14’s C.D.</t>
  </si>
  <si>
    <t>Scenic 101 Largo Azul 20’ S C.D.</t>
  </si>
  <si>
    <t>Scenic 101 Largo Rojo 14’s C.D.</t>
  </si>
  <si>
    <t>Scenic 101 Largo Rojo 20’ S C.D.</t>
  </si>
  <si>
    <t>Scenic 101 Largo Verde 14’s C.D.</t>
  </si>
  <si>
    <t>Scenic 101 Largo Verde 20’ S C.D.</t>
  </si>
  <si>
    <t>Scenic 101 Rojo, CD 14´s</t>
  </si>
  <si>
    <t>Scenic 101 Rojo, CD 20´s</t>
  </si>
  <si>
    <t>Scenic 101 Rojo, CS 20´s</t>
  </si>
  <si>
    <t>Scenic 101 Verde, CD 20´s</t>
  </si>
  <si>
    <t>Scenic 101 Verde, CS 20´s</t>
  </si>
  <si>
    <t>Scenic Azul, CD 14´s</t>
  </si>
  <si>
    <t>Scenic Azul, CS 14´s</t>
  </si>
  <si>
    <t>Scenic Café, CD 14´s</t>
  </si>
  <si>
    <t>Scenic Café, CS 14´s</t>
  </si>
  <si>
    <t>Scenic Verde, CD 14´s</t>
  </si>
  <si>
    <t>Scenic Verde, CS 14´s</t>
  </si>
  <si>
    <t>Senator Azules KSB 20</t>
  </si>
  <si>
    <t>Senator Dorados KSB 20</t>
  </si>
  <si>
    <t>Senator Rojos KSB 20</t>
  </si>
  <si>
    <t>Senator Verdes KSB 20</t>
  </si>
  <si>
    <t>Seneca Azul, 14’s C.D.</t>
  </si>
  <si>
    <t>Seneca Azul, 14’s C.S.</t>
  </si>
  <si>
    <t>Seneca Azul, 17’s C.D.</t>
  </si>
  <si>
    <t>Seneca Azul, 17’s C.S.</t>
  </si>
  <si>
    <t>Seneca Azul, 20’s C.D.</t>
  </si>
  <si>
    <t>Seneca Azul, 20’s C.S.</t>
  </si>
  <si>
    <t>Seneca Azul, CD 14’s</t>
  </si>
  <si>
    <t>Seneca Azul, CD 20’s</t>
  </si>
  <si>
    <t>Seneca Azul, CS 14’s</t>
  </si>
  <si>
    <t>Seneca Azul, CS 20’s</t>
  </si>
  <si>
    <t>Seneca Largo Azul 14’s C.D.</t>
  </si>
  <si>
    <t>Seneca Largo Azul 20’ S C.D.</t>
  </si>
  <si>
    <t>Seneca Largo Rojo 14’s C.D.</t>
  </si>
  <si>
    <t>Seneca Largo Rojo 20’ S C.D.</t>
  </si>
  <si>
    <t>Seneca Largo Verde 14’s C.D.</t>
  </si>
  <si>
    <t>Seneca Largo Verde 20’ S C.D.</t>
  </si>
  <si>
    <t>Seneca Rojo, 14’s C.D.</t>
  </si>
  <si>
    <t>Seneca Rojo, 14’s C.S.</t>
  </si>
  <si>
    <t>Seneca Rojo, 17’s C.D.</t>
  </si>
  <si>
    <t>Seneca Rojo, 17’s C.S.</t>
  </si>
  <si>
    <t>Seneca Rojo, 20’s C.D.</t>
  </si>
  <si>
    <t>Seneca Rojo, 20’s C.S.</t>
  </si>
  <si>
    <t>Seneca Rojo, CD 14’s</t>
  </si>
  <si>
    <t>Seneca Rojo, CD 20’s</t>
  </si>
  <si>
    <t>Seneca Rojo, CS 14’s</t>
  </si>
  <si>
    <t>Seneca Rojo, CS 20’s</t>
  </si>
  <si>
    <t>Seneca Verde, 14’s C.D.</t>
  </si>
  <si>
    <t>Seneca Verde, 14’s C.S.</t>
  </si>
  <si>
    <t>Seneca Verde, 17’s C.D.</t>
  </si>
  <si>
    <t>Seneca Verde, 17’s C.S.</t>
  </si>
  <si>
    <t>Seneca Verde, 20’s C.D.</t>
  </si>
  <si>
    <t>Seneca Verde, 20’s C.S.</t>
  </si>
  <si>
    <t>Seneca Verde, CD 14’s</t>
  </si>
  <si>
    <t>Seneca Verde, CD 20’s</t>
  </si>
  <si>
    <t>Seneca Verde, CS 14’s</t>
  </si>
  <si>
    <t>Seneca Verde, CS 20’s</t>
  </si>
  <si>
    <t>Serie D</t>
  </si>
  <si>
    <t>Sheriff, Premium Blend, 20’s</t>
  </si>
  <si>
    <t>Short Robusto Habano 9 x 50 x 4</t>
  </si>
  <si>
    <t>Short Robusto Picadura 9 x 50 x 4</t>
  </si>
  <si>
    <t>Short Torpedo Picadura 9 x 48-52 x 4</t>
  </si>
  <si>
    <t>Sigreto Natural</t>
  </si>
  <si>
    <t>Skoal</t>
  </si>
  <si>
    <t>Soberano Azul Ks Box 20</t>
  </si>
  <si>
    <t>Soberano Blanco Ks Box 20</t>
  </si>
  <si>
    <t>Soberano Natural Ks Box 20</t>
  </si>
  <si>
    <t>Soberano Rojo Ks Box 20</t>
  </si>
  <si>
    <t>Soberano Verde Ks Box 20</t>
  </si>
  <si>
    <t>Statos de Luxe</t>
  </si>
  <si>
    <t>Studio 54 Azules KSB 20</t>
  </si>
  <si>
    <t>Studio 54 Dorados KSB 20</t>
  </si>
  <si>
    <t>Studio 54 Rojos KSB 20</t>
  </si>
  <si>
    <t>Studio 54 Verdes KSB 20</t>
  </si>
  <si>
    <t>Swetarrillo</t>
  </si>
  <si>
    <t>Swisher Sweet</t>
  </si>
  <si>
    <t>Tampanilla</t>
  </si>
  <si>
    <t>Tatuaje</t>
  </si>
  <si>
    <t>Te Amo "Tripa Corta".</t>
  </si>
  <si>
    <t>Te Amo "Tripa Larga".</t>
  </si>
  <si>
    <t>Ted Lapidus</t>
  </si>
  <si>
    <t>Ten Twenty’s</t>
  </si>
  <si>
    <t>Toro 14 x 50 x 6</t>
  </si>
  <si>
    <t>Torpedos 13.5 x 48-52 x 6.75</t>
  </si>
  <si>
    <t>Torpedos Habanos 13.5 x 48-52 x 6.75</t>
  </si>
  <si>
    <t>Trinidad</t>
  </si>
  <si>
    <t>Troya</t>
  </si>
  <si>
    <t>U-18</t>
  </si>
  <si>
    <t>U.S.A. Golden</t>
  </si>
  <si>
    <t>U.S.A. Light Cajetilla Suave</t>
  </si>
  <si>
    <t>U.S.A. Mentolado Cajetilla Suave</t>
  </si>
  <si>
    <t>U.S.A. Mentolado Light Cajetilla Suave</t>
  </si>
  <si>
    <t>U.S.A. Regular Cajetilla Suave</t>
  </si>
  <si>
    <t>Ultra Light</t>
  </si>
  <si>
    <t>Unicos 1 10.7 x 44 x 6</t>
  </si>
  <si>
    <t>Unicos 1 Habanos 10.7 x 44 x 6</t>
  </si>
  <si>
    <t>Unicos 1 Picadura 10.7 x 44 x 6</t>
  </si>
  <si>
    <t>Unicos 2 9.4 x 42 x 5.25</t>
  </si>
  <si>
    <t>Unicos 2 Habanos 9.4 x 42 x 5.25</t>
  </si>
  <si>
    <t>Unicos 2 Picadura 9.4 x 42 x 5.25</t>
  </si>
  <si>
    <t>Valdéz</t>
  </si>
  <si>
    <t>Varelianos MKS Azules KSB 20</t>
  </si>
  <si>
    <t>Varelianos MKS Dorados KSB 20</t>
  </si>
  <si>
    <t>Varelianos MKS Rojos KSB 20</t>
  </si>
  <si>
    <t>Varelianos MKS Verdes KSB 20</t>
  </si>
  <si>
    <t>Vegas de Robaina</t>
  </si>
  <si>
    <t>Vegas Robaina</t>
  </si>
  <si>
    <t>Vegueros</t>
  </si>
  <si>
    <t>Veracruz</t>
  </si>
  <si>
    <t>Veracruzanos</t>
  </si>
  <si>
    <t>Vermont Maple</t>
  </si>
  <si>
    <t>Viceroy Lights F.D. C.D.</t>
  </si>
  <si>
    <t>Viceroy Ultra Lights C.D.</t>
  </si>
  <si>
    <t>Villiger</t>
  </si>
  <si>
    <t>Virginian Light Cajetilla Suave</t>
  </si>
  <si>
    <t>Virginian Mentolado Cajetilla Suave</t>
  </si>
  <si>
    <t>Virginian Regular Cajetilla Suave</t>
  </si>
  <si>
    <t>Wee Eillem Estra Mild</t>
  </si>
  <si>
    <t>West Red Ks Box 20</t>
  </si>
  <si>
    <t>West Silver Ks Box 20</t>
  </si>
  <si>
    <t>Whiskey</t>
  </si>
  <si>
    <t>Whitehall Amaretto</t>
  </si>
  <si>
    <t>Whitehall Blues</t>
  </si>
  <si>
    <t>Whitehall Geraniumm</t>
  </si>
  <si>
    <t>Whitehall Mango</t>
  </si>
  <si>
    <t>Whitehall Meadow</t>
  </si>
  <si>
    <t>Whitehall Noblet</t>
  </si>
  <si>
    <t>Wilde Cigarrillos</t>
  </si>
  <si>
    <t>Wilde Havana</t>
  </si>
  <si>
    <t>Wings Ak Blend No. 75</t>
  </si>
  <si>
    <t>Wings No. 75</t>
  </si>
  <si>
    <t>Winston Blue 14s</t>
  </si>
  <si>
    <t>Winston Blue 20s</t>
  </si>
  <si>
    <t>Winston Churchill</t>
  </si>
  <si>
    <t>Winston Classic 14s</t>
  </si>
  <si>
    <t>Winston Classic 20s</t>
  </si>
  <si>
    <t>Winston Classic 24s</t>
  </si>
  <si>
    <t>Winston Expand Purple Mint</t>
  </si>
  <si>
    <t>Winston Expand Wild Mint</t>
  </si>
  <si>
    <t>Yankoff Churchills 48 x 7’’</t>
  </si>
  <si>
    <t>Yankoff Coronas 43 x 6’’</t>
  </si>
  <si>
    <t>Yankoff Robustos 50 x 5’’</t>
  </si>
  <si>
    <t>Yankoff Torpedos 52 x 6’’</t>
  </si>
  <si>
    <t>Zets</t>
  </si>
  <si>
    <t>Zino</t>
  </si>
  <si>
    <t>CLAVES</t>
  </si>
  <si>
    <t>MARCAS</t>
  </si>
  <si>
    <t>Lucky Strike Wild Mentol Tube + Double Capsule 20s 83 MM</t>
  </si>
  <si>
    <t>Pall Mall XL Mykonos 20s ME 100MM CD con DC</t>
  </si>
  <si>
    <t>Lucky Strike Original 20s FF 100MM CD Con Filtro Tube y Capsula</t>
  </si>
  <si>
    <t>Lucky Strike 20s Dark Infuse FF 94MM CD con Filtro Tubo</t>
  </si>
  <si>
    <t>Lucky Strike 20s Blond Infuse FF 94MM CD con Filtro Tubo</t>
  </si>
  <si>
    <t>Lucky Strike 20s Hazel Infuse FF 94MM CD con Filtro Tubo</t>
  </si>
  <si>
    <t>Pall Mall XL Exotic Mix ME 100MM CD Con Capsula</t>
  </si>
  <si>
    <t>Pall Mall XL Mykonos 14´s ME 100MM CD con DC</t>
  </si>
  <si>
    <t>Pall Mall XL Black Edition New York 20s ME 99MM CD Con Capsula</t>
  </si>
  <si>
    <t>Chesterfield Mint Caps 100 BOX 20</t>
  </si>
  <si>
    <t>Chesterfield Purple Caps 100 BOX 20</t>
  </si>
  <si>
    <t>Chesterfield Blue LS RSP 24</t>
  </si>
  <si>
    <t>Chesterfield Original LS RSP 24</t>
  </si>
  <si>
    <t>Marlboro (Red 2.5) 100 Box</t>
  </si>
  <si>
    <t>Marlboro Shuffle 100 Box 20</t>
  </si>
  <si>
    <t>Marlboro Just Ks Box 20</t>
  </si>
  <si>
    <t>Marlboro Fusion Summer 100 Box 20</t>
  </si>
  <si>
    <t>Chesterfield Original (4.0) KS BOX 15</t>
  </si>
  <si>
    <t>Chesterfield Original (4.0) LS BOX 25</t>
  </si>
  <si>
    <t>Marlboro Red LS RSP 25</t>
  </si>
  <si>
    <t>Marlboro Selección Artesanal Ks 20</t>
  </si>
  <si>
    <t>Chesterfield Original REMIX 100s BOX 20s</t>
  </si>
  <si>
    <t>Supremos</t>
  </si>
  <si>
    <t>Elegantes</t>
  </si>
  <si>
    <t>Elegantes Mentolados</t>
  </si>
  <si>
    <t>Tigres</t>
  </si>
  <si>
    <t>Delicados Ovalados 14´s</t>
  </si>
  <si>
    <t>Delicados 20 Menthol sin Filtro</t>
  </si>
  <si>
    <t>Delicados Ovalados NF RS SOF 18</t>
  </si>
  <si>
    <t>Reales sin Filtro c/Boquilla</t>
  </si>
  <si>
    <t>La Paz Mini Wilde</t>
  </si>
  <si>
    <t>Granger Yellow Originals</t>
  </si>
  <si>
    <t>Granger Red Originals</t>
  </si>
  <si>
    <t>Captain Black Dark Crema</t>
  </si>
  <si>
    <t>Catalina Rojo, CD 20´s</t>
  </si>
  <si>
    <t>Catalina Azul CD 20´s</t>
  </si>
  <si>
    <t>Catalina Rojo, CS 20´s</t>
  </si>
  <si>
    <t>Catalina Azul CS 20´s</t>
  </si>
  <si>
    <t>Camel Blue 20</t>
  </si>
  <si>
    <t>Camel Activa FF 100 20</t>
  </si>
  <si>
    <t>Camel Double Mint &amp; Purple 100 20</t>
  </si>
  <si>
    <t>LD Red 14</t>
  </si>
  <si>
    <t>Camel NF 20</t>
  </si>
  <si>
    <t>Laredo Swiss Blend Rojos KSB 20</t>
  </si>
  <si>
    <t>Laredo Swiss Blend Verdes KSB 20</t>
  </si>
  <si>
    <t>Laredo Swiss Blend Azules KSB 20</t>
  </si>
  <si>
    <t>Laredo Swiss Blend Dorados KSB 20</t>
  </si>
  <si>
    <t>Economicos Uniq Virginia Blend KSB 20</t>
  </si>
  <si>
    <t>Economicos Uniq Virginia Blend Blancos KSB 20</t>
  </si>
  <si>
    <t>Economicos Uniq KSB 20</t>
  </si>
  <si>
    <t>Economicos Uniq Blancos KSB 20</t>
  </si>
  <si>
    <t>Cipriano Cigars</t>
  </si>
  <si>
    <t>The Traveler</t>
  </si>
  <si>
    <t>The Circus</t>
  </si>
  <si>
    <t>La Rosa de San Diego</t>
  </si>
  <si>
    <t>El viejo continente</t>
  </si>
  <si>
    <t>México Spirit</t>
  </si>
  <si>
    <t>Rancher</t>
  </si>
  <si>
    <t>Pall Mall Black Edition Fresh 20 ME 83mm CD Con Capsula</t>
  </si>
  <si>
    <t>Pall Mall XL Black Edition Mix Pack 20 ME 99 CD Con Capsulas</t>
  </si>
  <si>
    <t>Lucky Strike Sunshine Blast 20 ME 94mm CD con filtro de tubo y capsulas</t>
  </si>
  <si>
    <t>Lucky Strike Click &amp; Mix 20s Mentol 83MM CD Con filtro de tubo y capsulas</t>
  </si>
  <si>
    <t>Pall Mall XL Black Edition California Nights 20s ME 99MM CD Con Capsula</t>
  </si>
  <si>
    <t>Lucky Strike Original Mystic 100s 20 FF 99mm CD con capsula</t>
  </si>
  <si>
    <t>Plascencia</t>
  </si>
  <si>
    <t>Don Pepin</t>
  </si>
  <si>
    <t>La Antigüedad</t>
  </si>
  <si>
    <t>Padron</t>
  </si>
  <si>
    <t>Chesterfield Incognito 100 BOX 20</t>
  </si>
  <si>
    <t>L&amp;M Red KS BOX 20</t>
  </si>
  <si>
    <t>Heets S50 Pri 20 Sli Amber Selectión</t>
  </si>
  <si>
    <t>Heets S50 Pri 20 Sli Turquoise Selection</t>
  </si>
  <si>
    <t>Heets S50 Pri 20 Sli Yellow Selection</t>
  </si>
  <si>
    <t>Heets S50 Pri 20 Sli Sienna Selection</t>
  </si>
  <si>
    <t>Heets S50 Pri 20 Sli Blue Selection</t>
  </si>
  <si>
    <t>Heets S50 Pri 20 Sli Purple Wave Selection</t>
  </si>
  <si>
    <t>Winston Classic 25s</t>
  </si>
  <si>
    <t>Camel Yellow 20s</t>
  </si>
  <si>
    <t>Camel Yellow 14s</t>
  </si>
  <si>
    <t>Camel Activa Red Purple 20s</t>
  </si>
  <si>
    <t>M1 Largo Rojo 20´s C.D.</t>
  </si>
  <si>
    <t>M1 Largo Azul 20´s C.D.</t>
  </si>
  <si>
    <t>M1 Largo Verde 20´s C.D.</t>
  </si>
  <si>
    <t>M Adams No. 1 Largo Rojo 20´s C.D.</t>
  </si>
  <si>
    <t>M Adams No. 1 Largo Azul 20´s C.D.</t>
  </si>
  <si>
    <t>M Adams No. 1 Largo Verde 20´s C.D.</t>
  </si>
  <si>
    <t>Senator Pop Boreal Black 100 SB 20</t>
  </si>
  <si>
    <t>Senator Pop Boreal White 100 SB 20</t>
  </si>
  <si>
    <t>Senator Pop Black Ice 100 SB 20</t>
  </si>
  <si>
    <t>Senator Pop White Ice 100 SB 20</t>
  </si>
  <si>
    <t>S&amp;P White RC KS 20</t>
  </si>
  <si>
    <t>S&amp;P Yellow RC KS 20</t>
  </si>
  <si>
    <t>S&amp;P Red RC KS 20</t>
  </si>
  <si>
    <t>S&amp;P Red Purple RC KS 20</t>
  </si>
  <si>
    <t>S&amp;P Green RC KS 20</t>
  </si>
  <si>
    <t>S&amp;P Pink RC KS 20</t>
  </si>
  <si>
    <t>S&amp;P Orange RC KS 20</t>
  </si>
  <si>
    <t>S&amp;P Light Blue RC KS 20</t>
  </si>
  <si>
    <t>S&amp;P Brown RC KS 20</t>
  </si>
  <si>
    <t>S&amp;P Black RC KS 20</t>
  </si>
  <si>
    <t>S&amp;P White CO KS 20</t>
  </si>
  <si>
    <t>S&amp;P Yellow CO KS 20</t>
  </si>
  <si>
    <t>S&amp;P Red CO KS 20</t>
  </si>
  <si>
    <t>S&amp;P Red Purple CO KS 20</t>
  </si>
  <si>
    <t>S&amp;P Green CO KS 20</t>
  </si>
  <si>
    <t>S&amp;P Pink CO KS 20</t>
  </si>
  <si>
    <t>S&amp;P Orange CO KS 20</t>
  </si>
  <si>
    <t>S&amp;P Ligth Blue CO KS 20</t>
  </si>
  <si>
    <t>S&amp;P Brown CO KS 20</t>
  </si>
  <si>
    <t>S&amp;P Black CO KS 20</t>
  </si>
  <si>
    <t>Soprano White RC KS 20</t>
  </si>
  <si>
    <t>Soprano Grey RC KS 20</t>
  </si>
  <si>
    <t>Soprano Red RC KS 20</t>
  </si>
  <si>
    <t>Soprano Menthol RC KS 20</t>
  </si>
  <si>
    <t>Soprano Special RC KS 20</t>
  </si>
  <si>
    <t>Soprano Black RC KS 20</t>
  </si>
  <si>
    <t>Soprano White CO KS 20</t>
  </si>
  <si>
    <t>Soprano Grey CO KS 20</t>
  </si>
  <si>
    <t>Soprano Red CO KS 20</t>
  </si>
  <si>
    <t>Soprano Menthol CO KS 20</t>
  </si>
  <si>
    <t>Soprano Special CO KS 20</t>
  </si>
  <si>
    <t>Soprano Black CO KS 20</t>
  </si>
  <si>
    <t>Zapata</t>
  </si>
  <si>
    <t>Daytona</t>
  </si>
  <si>
    <t>Aganorsa Leaf Signature Selection</t>
  </si>
  <si>
    <t>Aganorsa Leaf Signature Selection Maduro</t>
  </si>
  <si>
    <t>Aganorsa Leaf Casa Fernandez Miami Aniversario</t>
  </si>
  <si>
    <t>Aganorsa Leaf Casa Fernandez Miami</t>
  </si>
  <si>
    <t>Aganorsa Leaf Casa Fernandez Arsernio Oro</t>
  </si>
  <si>
    <t>Aganorsa Leaf Casa Fernandez Miami Reserva Corojo</t>
  </si>
  <si>
    <t>Aganorsa Leaf Casa Fernandez Miami Reserva Maduro</t>
  </si>
  <si>
    <t>Aganorsa Leaf Casa Fernandez Aganorsa Corojo</t>
  </si>
  <si>
    <t>Aganorsa Leaf Casa Fernandez Aganorsa Maduro</t>
  </si>
  <si>
    <t>Aganorsa Leaf CT</t>
  </si>
  <si>
    <t>Aganorsa Leaf Habano</t>
  </si>
  <si>
    <t>Aganorsa Leaf Guardian Of The Farm</t>
  </si>
  <si>
    <t>Aganorsa Leaf Guardian Of The Farm Maduro</t>
  </si>
  <si>
    <t>Aganorsa Leaf JFR Corojo</t>
  </si>
  <si>
    <t>Aganorsa Leaf JFR Maduro</t>
  </si>
  <si>
    <t>Aganorsa Leaf JFR Connecticut</t>
  </si>
  <si>
    <t>Aganorsa Leaf Lunatic Loco Perfecto Maduro</t>
  </si>
  <si>
    <t>Aganorsa Leaf JFR Lunatic Maduro</t>
  </si>
  <si>
    <t>Aganorsa Leaf JFR Lunatic Habano</t>
  </si>
  <si>
    <t>Aganorsa Leaf JFR XT Corojo/Maduro</t>
  </si>
  <si>
    <t>Aganorsa Leaf JFR Buena Cosecha Corojo</t>
  </si>
  <si>
    <t>Aganorsa Leaf New Cuba Corojo-Maduro</t>
  </si>
  <si>
    <t>Aganorsa Leaf HSS-DSS-NSS-FD-BUND-25 MADURO, CT, C-99</t>
  </si>
  <si>
    <t>La Flor Dominicana 1994 – 20th Anniversary Cigar</t>
  </si>
  <si>
    <t>La Flor Dominicana Air Bender</t>
  </si>
  <si>
    <t>La Flor Dominicana Cameroon Cabinets</t>
  </si>
  <si>
    <t>La Flor Dominicana Double Claro</t>
  </si>
  <si>
    <t>La Flor Dominicana Double Ligero</t>
  </si>
  <si>
    <t>La Flor Dominicana LFD Coronado</t>
  </si>
  <si>
    <t>La Flor Dominicana LFD Suave</t>
  </si>
  <si>
    <t>La Flor Dominicana Ligero</t>
  </si>
  <si>
    <t>La Flor Dominicana Ligero Cabinet (Oscuro Natural)</t>
  </si>
  <si>
    <t>La Flor Dominicana Limited Production Cigars</t>
  </si>
  <si>
    <t>La Flor Dominicana Little Cigars</t>
  </si>
  <si>
    <t>La Flor Dominicana Litto Gomez Diez</t>
  </si>
  <si>
    <t>La Flor Dominicana Reserva Especial</t>
  </si>
  <si>
    <t>La Flor Dominicana Tubos</t>
  </si>
  <si>
    <t>La Flor Dominicana Oro</t>
  </si>
  <si>
    <t>La Flor Dominicana Andalusian Bull</t>
  </si>
  <si>
    <t>La Flor Dominicana Capitulo II</t>
  </si>
  <si>
    <t>La Flor Dominicana Chapter One Box Pressed Chisel</t>
  </si>
  <si>
    <t>La Flor Dominicana Colorado Oscuro</t>
  </si>
  <si>
    <t>La Flor Dominicana Double Press</t>
  </si>
  <si>
    <t>La Flor Dominicana Factory Press</t>
  </si>
  <si>
    <t>La Flor Dominicana La Nox</t>
  </si>
  <si>
    <t>La Flor Dominicana Ligero Salomon</t>
  </si>
  <si>
    <t>La Flor Dominicana Maduro Cabinet</t>
  </si>
  <si>
    <t>La Flor Dominicana N.A.S.</t>
  </si>
  <si>
    <t>La Flor Dominicana Ligero TCFKA-M</t>
  </si>
  <si>
    <t>La Flor Dominicana Salomon Unico</t>
  </si>
  <si>
    <t>La Flor Dominicana Ligero L’Granú</t>
  </si>
  <si>
    <t>La Flor Dominicana LFD Sampler Selections</t>
  </si>
  <si>
    <t>La Flor Dominicana LFD Sampler CHISEL SELECTION</t>
  </si>
  <si>
    <t>La Flor Dominicana LFD Sampler LOS LANCEROS</t>
  </si>
  <si>
    <t>La Flor Dominicana LFD Sampler ROBUSTO SELECTION</t>
  </si>
  <si>
    <t>La Flor Dominicana LFD Sampler TORO SELECTION</t>
  </si>
  <si>
    <t>La Flor Dominicana El Carajon</t>
  </si>
  <si>
    <t>La Flor Dominicana El Jocko</t>
  </si>
  <si>
    <t>Dunbarton Tobacco &amp; Trust Sobremesa</t>
  </si>
  <si>
    <t>Dunbarton Tobacco &amp; Trust Sobremesa Brûlée</t>
  </si>
  <si>
    <t>Dunbarton Tobacco &amp; Trust Todos Las Dias</t>
  </si>
  <si>
    <t>Dunbarton Tobacco &amp; Trust Sin Compromiso</t>
  </si>
  <si>
    <t>Dunbarton Tobacco &amp; Trust Muestra de Saka</t>
  </si>
  <si>
    <t>Dunbarton Tobacco &amp; Trust Mi Querida</t>
  </si>
  <si>
    <t>Dunbarton Tobacco &amp; Trust Umbagog</t>
  </si>
  <si>
    <t>This Mojito Plus+</t>
  </si>
  <si>
    <t>This Green+</t>
  </si>
  <si>
    <t>This Red+</t>
  </si>
  <si>
    <t>This Blue+</t>
  </si>
  <si>
    <t>This Lime</t>
  </si>
  <si>
    <t>This Silver+</t>
  </si>
  <si>
    <t>This Random Five+</t>
  </si>
  <si>
    <t>This Ice Café+</t>
  </si>
  <si>
    <t>This Change Double+</t>
  </si>
  <si>
    <t>This Change+</t>
  </si>
  <si>
    <t>Bohem Café Colada+</t>
  </si>
  <si>
    <t>Bohem Irish Café+</t>
  </si>
  <si>
    <t>Bohem Expresso Summer+</t>
  </si>
  <si>
    <t>Eighty Eight Light</t>
  </si>
  <si>
    <t>Cuesta Rey</t>
  </si>
  <si>
    <t>La Unica</t>
  </si>
  <si>
    <t>Perla del Mar</t>
  </si>
  <si>
    <t>Brick House</t>
  </si>
  <si>
    <t>Quorum</t>
  </si>
  <si>
    <t>Liga Privada Num. 9</t>
  </si>
  <si>
    <t>Liga Privada Unico Series</t>
  </si>
  <si>
    <t>Liga Undercrown</t>
  </si>
  <si>
    <t>La Vieja Habana</t>
  </si>
  <si>
    <t>Nica Rustica</t>
  </si>
  <si>
    <t>Herrera Esteli</t>
  </si>
  <si>
    <t>Acid</t>
  </si>
  <si>
    <t>Perdomo</t>
  </si>
  <si>
    <t>El Galan</t>
  </si>
  <si>
    <t>Doña Nieves</t>
  </si>
  <si>
    <t>Tatiana</t>
  </si>
  <si>
    <t>Habanitos</t>
  </si>
  <si>
    <t>Lucky Strike Winter Storm 20 ME 94mm CD con filtro de tubo y capsulas</t>
  </si>
  <si>
    <t>Pall Mall XL Black Edition Alaska 20 ME 100 CD Con Capsulas</t>
  </si>
  <si>
    <t>Pall Mall XL Black Edition Alaska 14 ME 100 CD Con Capsulas</t>
  </si>
  <si>
    <t>Shots Full Flavor 20s</t>
  </si>
  <si>
    <t>Lucky Strike Original ECLIPSE 100s 20 FF 99mm CD con filtro tube y capsula</t>
  </si>
  <si>
    <t>Buenaventura</t>
  </si>
  <si>
    <t>Cao</t>
  </si>
  <si>
    <t>Curivari</t>
  </si>
  <si>
    <t>Hoyo</t>
  </si>
  <si>
    <t>Jaime Garcia</t>
  </si>
  <si>
    <t>Marlboro Crafted (Gold) KS Box 20</t>
  </si>
  <si>
    <t>Chesterfield Original (4.0) KS Box 15 - LPE Street Art</t>
  </si>
  <si>
    <t>Chesterfield Original (4.0) LS RSP 25 - LPE Street Art</t>
  </si>
  <si>
    <t>Chesterfield 100 Box 20 Passion Remix</t>
  </si>
  <si>
    <t>Chesterfield Fresh Remix 100 Box 20</t>
  </si>
  <si>
    <t>Marlboro Vista Garden Zing 100 Box 20 STD</t>
  </si>
  <si>
    <t>Marlboro Vista Summer Fusion 100 Box 20</t>
  </si>
  <si>
    <t>Marlboro Vista Garden Fusion 100 Box 20</t>
  </si>
  <si>
    <t>Chesterfield Original (4.0) LS Box 20 Std</t>
  </si>
  <si>
    <t>Marlboro Seleccion Artesanal KS RCB 14</t>
  </si>
  <si>
    <t>L&amp;M Red KS Box 15</t>
  </si>
  <si>
    <t>L&amp;M Red LS Rsp 25</t>
  </si>
  <si>
    <t>Marlboro Vista Artic Fusion 100 Box 20</t>
  </si>
  <si>
    <t>Chesterfield Original (4.0) KS LPE Box 15</t>
  </si>
  <si>
    <t>Chesterfield Original (4.0) LS RSP 25</t>
  </si>
  <si>
    <t>Faros KS BOX 20 STD</t>
  </si>
  <si>
    <t>Heets S50 PRI 20 SLI Bronze Selection</t>
  </si>
  <si>
    <t>Heets Green Zing (1.2) S50 PRI 20 SLI</t>
  </si>
  <si>
    <t>Heets S50 PRI 20 SLI Russet Selection</t>
  </si>
  <si>
    <t>Winston Sparkling Mix CD 20s</t>
  </si>
  <si>
    <t>LD Red 20´s</t>
  </si>
  <si>
    <t>Camel Activa Shift 100s</t>
  </si>
  <si>
    <t>Camel Activa Flash 100s 20s</t>
  </si>
  <si>
    <t>Seneca Largo Azul Click 20´s C.D.</t>
  </si>
  <si>
    <t>CALDWELL</t>
  </si>
  <si>
    <t>CALDWELL Eastern Standard</t>
  </si>
  <si>
    <t>CALDWELL Eastern Standard Sungrown</t>
  </si>
  <si>
    <t>CALDWELL Long Live The King</t>
  </si>
  <si>
    <t>CALDWELL The King is Dead</t>
  </si>
  <si>
    <t>La Flor Dominicana 25th Anniversary</t>
  </si>
  <si>
    <t>CAVALIER</t>
  </si>
  <si>
    <t>CAVALIER White Series</t>
  </si>
  <si>
    <t>CAVALIER White Series Core Line</t>
  </si>
  <si>
    <t>CAVALIER White Series Core Line Elegantes</t>
  </si>
  <si>
    <t>CAVALIER White Series Core Line Diplomate</t>
  </si>
  <si>
    <t>CAVALIER White Series Core Line Toro</t>
  </si>
  <si>
    <t>CAVALIER White Series Small Batch</t>
  </si>
  <si>
    <t>CAVALIER White Series Small Batch Lancero</t>
  </si>
  <si>
    <t>CAVALIER White Series Small Batch Salomones</t>
  </si>
  <si>
    <t>CAVALIER Black II</t>
  </si>
  <si>
    <t>CAVALIER Black II Core Line</t>
  </si>
  <si>
    <t>CAVALIER Black II Core Line Robusto II</t>
  </si>
  <si>
    <t>CAVALIER Black II Core Line Robusto Gordo II</t>
  </si>
  <si>
    <t>CAVALIER Black II Core Line Toro II</t>
  </si>
  <si>
    <t>CAVALIER Black II Core Line Toro Gordo II</t>
  </si>
  <si>
    <t>CAVALIER Black II Core Line Torpedo II</t>
  </si>
  <si>
    <t>CAVALIER Black II Small Batch</t>
  </si>
  <si>
    <t>CAVALIER Black II Small Batch Lancero II</t>
  </si>
  <si>
    <t>CAVALIER Black II Small Batch Salomones II</t>
  </si>
  <si>
    <t>Seneca Largo Rojo 20’s C.D.</t>
  </si>
  <si>
    <t>Seneca Largo Azul 20’s C.D.</t>
  </si>
  <si>
    <t>Seneca Largo Verde 20’s C.D.</t>
  </si>
  <si>
    <t>Scenic 101 Largo Rojo 20’s C.D.</t>
  </si>
  <si>
    <t>Scenic 101 Largo Azul 20’s C.D.</t>
  </si>
  <si>
    <t>Scenic 101 Largo Verde 20’s C.D.</t>
  </si>
  <si>
    <t>M1 Largo Rojo 20’s C.D.</t>
  </si>
  <si>
    <t>M1 Largo Azul 20’s C.D.</t>
  </si>
  <si>
    <t>M1 Largo Verde 20’s C.D.</t>
  </si>
  <si>
    <t>M Adams No. 1 Largo Rojo 20’s C.D.</t>
  </si>
  <si>
    <t>M Adams No. 1 Largo Azul 20’s C.D.</t>
  </si>
  <si>
    <t>M Adams No. 1 Largo Verde 20’s C.D.</t>
  </si>
  <si>
    <t>Rocky Patel</t>
  </si>
  <si>
    <t>Alec Bradley</t>
  </si>
  <si>
    <t>Oscar Valladares</t>
  </si>
  <si>
    <t>Catch 22</t>
  </si>
  <si>
    <t>Rocky Patel A.L.R.</t>
  </si>
  <si>
    <t>Rocky Patel Bold by Nish Patel Broadleaf</t>
  </si>
  <si>
    <t>Catch 22 Connecticut</t>
  </si>
  <si>
    <t>Rocky Patel Cigar Smoking World Championship</t>
  </si>
  <si>
    <t>Rocky Patel Decade</t>
  </si>
  <si>
    <t>Rocky Patel Decade Cameroon</t>
  </si>
  <si>
    <t>Rocky Patel Edge Candela</t>
  </si>
  <si>
    <t>Rocky Patel Edge Connecticut</t>
  </si>
  <si>
    <t>Rocky Patel Edge Corojo</t>
  </si>
  <si>
    <t>Rocky Patel Edge Habano</t>
  </si>
  <si>
    <t>Rocky Patel Edge Maduro</t>
  </si>
  <si>
    <t>Rocky Patel Fifteenth Anniversary</t>
  </si>
  <si>
    <t>Rocky Patel Fifty International Gift Pack</t>
  </si>
  <si>
    <t>Rocky Patel Fifty-Five</t>
  </si>
  <si>
    <t>Rocky Patel Grand Reserve</t>
  </si>
  <si>
    <t>Rocky Patel Hamlet 25th Year</t>
  </si>
  <si>
    <t>Rocky Patel Hamlet Paredes Liberation</t>
  </si>
  <si>
    <t>Rocky Patel Hamlet Tabaquero</t>
  </si>
  <si>
    <t>Rocky Patel Humidor Selection Gift Pack</t>
  </si>
  <si>
    <t>Rocky Patel Java Maduro</t>
  </si>
  <si>
    <t>Rocky Patel Java Red</t>
  </si>
  <si>
    <t>Rocky Patel LB1</t>
  </si>
  <si>
    <t>Rocky Patel Nimmy D</t>
  </si>
  <si>
    <t>Rocky Patel Nording 50th Anniversary</t>
  </si>
  <si>
    <t>Rocky Patel Number 6</t>
  </si>
  <si>
    <t>Rocky Patel Old World Reserve</t>
  </si>
  <si>
    <t>Rocky Patel Platinum</t>
  </si>
  <si>
    <t>Rocky Patel Royale</t>
  </si>
  <si>
    <t>Rocky Patel Special Edition</t>
  </si>
  <si>
    <t>Rocky Patel Sungrown</t>
  </si>
  <si>
    <t>Rocky Patel sungrown MadurO</t>
  </si>
  <si>
    <t>Rocky Patel Super Ligero</t>
  </si>
  <si>
    <t>Rocky Patel Tavicusa</t>
  </si>
  <si>
    <t>Rocky Patel Twentieth Anniversary</t>
  </si>
  <si>
    <t>Rocky Patel Vintage 1990</t>
  </si>
  <si>
    <t>Roky Patel Vintage 1992</t>
  </si>
  <si>
    <t>Roky Patel Vintage 1999</t>
  </si>
  <si>
    <t>Roky Patel Vintage 2003</t>
  </si>
  <si>
    <t>Roky Patel Vintage 2006 San Andreas</t>
  </si>
  <si>
    <t>Alec Bradley American Classic Blend</t>
  </si>
  <si>
    <t>Alec Bradley American Sungrown</t>
  </si>
  <si>
    <t>Alec Bradley Black Market Esteli</t>
  </si>
  <si>
    <t>Alec Bradley Nica Puro Rosado</t>
  </si>
  <si>
    <t>Alec Bradley Nica Puro</t>
  </si>
  <si>
    <t>Oscar Valladares Altar Q</t>
  </si>
  <si>
    <t>Oscar Valladares Leaf Connecticut</t>
  </si>
  <si>
    <t>Gurkha</t>
  </si>
  <si>
    <t>Oliva</t>
  </si>
  <si>
    <t>AJ Fernandez</t>
  </si>
  <si>
    <t>Nub</t>
  </si>
  <si>
    <t>Gurkha3 Compartment Tray-3 Bundles</t>
  </si>
  <si>
    <t>Gurkha Café Tabac</t>
  </si>
  <si>
    <t>Gurkha Cellar 12Y</t>
  </si>
  <si>
    <t>Gurkha Cellar Reserve 12Y</t>
  </si>
  <si>
    <t>Gurkha Cellar 15Y</t>
  </si>
  <si>
    <t>Gurkha Cellar Reserve 15Y</t>
  </si>
  <si>
    <t>Gurkha Cellar 18Y</t>
  </si>
  <si>
    <t>Gurkha Cellar 21Y</t>
  </si>
  <si>
    <t>Gurkha Classic Havana Blend</t>
  </si>
  <si>
    <t>Gurkha Ghost Angel</t>
  </si>
  <si>
    <t>Gurkha Grand Reserve Natural</t>
  </si>
  <si>
    <t>Gurkha Gurkha Toro Box 6 Baggies</t>
  </si>
  <si>
    <t>Gurkha Heritage Nat</t>
  </si>
  <si>
    <t>Gurkha Legend 1959</t>
  </si>
  <si>
    <t>Gurkha Marquesa</t>
  </si>
  <si>
    <t>Nub Cameroon</t>
  </si>
  <si>
    <t>Nub Maduro</t>
  </si>
  <si>
    <t>Nub Sun Grown</t>
  </si>
  <si>
    <t>Gurkha Royale Challenge Nat</t>
  </si>
  <si>
    <t>Oliva Cigarrillo G</t>
  </si>
  <si>
    <t>Oliva Cigarrillo O</t>
  </si>
  <si>
    <t>Oliva Flor Maduro</t>
  </si>
  <si>
    <t>Oliva Flor Original</t>
  </si>
  <si>
    <t>Oliva Serie G</t>
  </si>
  <si>
    <t>Oliva Serie O</t>
  </si>
  <si>
    <t>Oliva Serie O Sun Grown</t>
  </si>
  <si>
    <t>Oliva Serie V</t>
  </si>
  <si>
    <t>Oliva Serie V Melanio</t>
  </si>
  <si>
    <t>AJ Fernandez Bellas Artes Maduro</t>
  </si>
  <si>
    <t>AJ Fernandez Bellas Artes Habano</t>
  </si>
  <si>
    <t>AJ Fernandez Días de Gloria Habano</t>
  </si>
  <si>
    <t>AJ Fernandez Enclave Maduro</t>
  </si>
  <si>
    <t>AJ Fernandez Enclave Habano</t>
  </si>
  <si>
    <t>AJ Fernandez Last Call Maduro</t>
  </si>
  <si>
    <t>AJ Fernandez Last Call habano</t>
  </si>
  <si>
    <t>AJ Fernandez New World Cameroon</t>
  </si>
  <si>
    <t>AJ Fernandez New World Connecticut</t>
  </si>
  <si>
    <t>AJ Fernandez New World Mex-Ros</t>
  </si>
  <si>
    <t>AJ Fernandez New World Puro Especial</t>
  </si>
  <si>
    <t>AJ Fernandez San Lotano Connecticut</t>
  </si>
  <si>
    <t>AJ Fernandez San Lotano Habano</t>
  </si>
  <si>
    <t>AJ Fernandez San Lotano Maduro</t>
  </si>
  <si>
    <t>AJ Fernandez San Lotano Oval Maduro</t>
  </si>
  <si>
    <t>AJ Fernandez San Lotano Oval Habano</t>
  </si>
  <si>
    <t>AJ Fernandez San Lotano The Bull Habano</t>
  </si>
  <si>
    <t>Económicos Uniq Virginia Blend Blancos KSB 20</t>
  </si>
  <si>
    <t>Studio 54 Rojo KSB 20</t>
  </si>
  <si>
    <t>Studio 54 Azul KSB 20</t>
  </si>
  <si>
    <t>Studio 54 Negro KSB 20</t>
  </si>
  <si>
    <t>Studio 54 Verde KSB 20</t>
  </si>
  <si>
    <t>Península Verdes KSB</t>
  </si>
  <si>
    <t>Seneca Azul Click, CD 20´s</t>
  </si>
  <si>
    <t>Paddock KSB 20</t>
  </si>
  <si>
    <t>Pall Mall White &amp; Click 20s LI</t>
  </si>
  <si>
    <t>Pall Mall White &amp; Click 15s LI</t>
  </si>
  <si>
    <t>Pall Mall White &amp; Click 14s LI</t>
  </si>
  <si>
    <t>Pall Mall Red &amp; Click 20s FF</t>
  </si>
  <si>
    <t>Pall Mall Red &amp; Click 15s FF</t>
  </si>
  <si>
    <t>Pall Mall Red &amp; Click 14s FF</t>
  </si>
  <si>
    <t>Pall Mall Red 25s FF</t>
  </si>
  <si>
    <t>Pall Mall Red 20s FF</t>
  </si>
  <si>
    <t>Pall Mall Red 15s FF</t>
  </si>
  <si>
    <t>Pall Mall Red 14s FF</t>
  </si>
  <si>
    <t>Pall Mall White 20s LI</t>
  </si>
  <si>
    <t>Pall Mall White 15s LI</t>
  </si>
  <si>
    <t>Pall Mall White 14s LI</t>
  </si>
  <si>
    <t>Pall Mall FF Classics 20s</t>
  </si>
  <si>
    <t>Pall Mall FF Classics 15s</t>
  </si>
  <si>
    <t>Pall Mall FF Classics 14s</t>
  </si>
  <si>
    <t>Pall Mall XL Tokyo Midnight Double Click 15s 100MM CD Con Capsulas</t>
  </si>
  <si>
    <t>Pall Mall XL Mykonos 15s ME 100MM CD con DC</t>
  </si>
  <si>
    <t>Pall Mall XL Black Edition Alaska 15 ME 100 CD Con Capsulas</t>
  </si>
  <si>
    <t>Pall Mall Athens Nightfall 20s Con Capsulas</t>
  </si>
  <si>
    <t>Pall Mall Iceberg Dusk 20s Con Capsulas</t>
  </si>
  <si>
    <t>Pall Mall XL Rio 20s con filtro y capsulas</t>
  </si>
  <si>
    <t>Pall Mall XL Tokyo Midnight 22 con filtro y capsulas</t>
  </si>
  <si>
    <t>Pall Mall XL Mykonos 22 con filtro y capsulas</t>
  </si>
  <si>
    <t>PallMallXL Alaska 22 con filtro y capsulas</t>
  </si>
  <si>
    <t>Marlboro Tropical Shuffle 100 Box 20</t>
  </si>
  <si>
    <t>Chesterfield Original (4.0) KS Bob 25</t>
  </si>
  <si>
    <t>Marlboro (Red 2.5) LS Box 20 STD | Viva MX</t>
  </si>
  <si>
    <t>Marlboro (Red 2.5) 100 Box 20 STD | Viva MX</t>
  </si>
  <si>
    <t>Marlboro Gold (3.5) KS RCB 20 STD | Viva MX</t>
  </si>
  <si>
    <t>Marlboro Gold (3.5) 100 RCB 20 STD | Viva MX</t>
  </si>
  <si>
    <t>Marlboro Summer Fusion 100 Box 14 STD</t>
  </si>
  <si>
    <t>Marlboro Winter Shuffle 100 Box 20s</t>
  </si>
  <si>
    <t>Marlboro Blossom Mist 100 Box 20 STD</t>
  </si>
  <si>
    <t>Chesterfield Original (4.0) KS Box 15 STD | Art</t>
  </si>
  <si>
    <t>Chesterfield Original Remix 4.0 100 Box 20 STD | Art</t>
  </si>
  <si>
    <t>Chesterfield Original (4.0) KS Bob 25 STD | Art</t>
  </si>
  <si>
    <t>L&amp;M Red Label (5.0 CFB) KS Bob 25 STD</t>
  </si>
  <si>
    <t>Benson and Hedges Luz Sapphire 100 Box 20</t>
  </si>
  <si>
    <t>Benson and Hedges Luz Amber 100 Box 20</t>
  </si>
  <si>
    <t>Benson and Hedges Luz Quartz 100 Box 20</t>
  </si>
  <si>
    <t>Camel Filters Original 20s</t>
  </si>
  <si>
    <t>Studio Camel Tropical Brew 100s</t>
  </si>
  <si>
    <t>LD Red 25´s</t>
  </si>
  <si>
    <t>Senator Xtreme Boreal Black 100 SB 20</t>
  </si>
  <si>
    <t>Senator Xtreme Boreal White 100 SB 20</t>
  </si>
  <si>
    <t>Senator Xtreme Ice Black 100 SB 20</t>
  </si>
  <si>
    <t>Senator Xtreme Ice White 100 SB 20</t>
  </si>
  <si>
    <t>Senator Rojos 100 SB 20</t>
  </si>
  <si>
    <t>Mxstyle</t>
  </si>
  <si>
    <t>Del Paraíso</t>
  </si>
  <si>
    <t>Privilegio´s</t>
  </si>
  <si>
    <t>Tabaricos</t>
  </si>
  <si>
    <t>Casa 1910</t>
  </si>
  <si>
    <t>Seneca Rojo 20’s</t>
  </si>
  <si>
    <t>Seneca Azul 20’s</t>
  </si>
  <si>
    <t>Seneca Verde 20’s</t>
  </si>
  <si>
    <t>Scenic 101 Rojo 20’s</t>
  </si>
  <si>
    <t>Scenic 101 Azul 20’s</t>
  </si>
  <si>
    <t>Scenic 101 Verde 20’s</t>
  </si>
  <si>
    <t>Seneca Rojo 14’s</t>
  </si>
  <si>
    <t>Seneca Azul 14’s</t>
  </si>
  <si>
    <t>Seneca Verde 14’s</t>
  </si>
  <si>
    <t>0 Scenic 101 Rojo 14’s</t>
  </si>
  <si>
    <t>1 Scenic 101 Azul 14’s</t>
  </si>
  <si>
    <t>2 Scenic 101 Verde 14’s</t>
  </si>
  <si>
    <t>3 Catalina Rojo 20’s</t>
  </si>
  <si>
    <t>4 Catalina Azul 20’s</t>
  </si>
  <si>
    <t>5 Catalina Verde 20’s</t>
  </si>
  <si>
    <t>6 Catalina Rojo 14’s</t>
  </si>
  <si>
    <t>7 Catalina Azul 14’s</t>
  </si>
  <si>
    <t>8 Catalina Verde 14’s</t>
  </si>
  <si>
    <t>9 M1 Rojo 20’s</t>
  </si>
  <si>
    <t>0 M1 Azul 20’s</t>
  </si>
  <si>
    <t>1 M1 Verde 20’s</t>
  </si>
  <si>
    <t>2 M1 Rojo 14’s</t>
  </si>
  <si>
    <t>3 M1 Azul 14’s</t>
  </si>
  <si>
    <t>4 M1 Verde 14’s</t>
  </si>
  <si>
    <t>5 M Adams No. 1 Rojo 20’s</t>
  </si>
  <si>
    <t>6 M Adams No. 1 Azul 20’s</t>
  </si>
  <si>
    <t>7 M Adams No. 1 Verde 20’s</t>
  </si>
  <si>
    <t>8 M Adams No. 1 Rojo 14’s</t>
  </si>
  <si>
    <t>9 M Adams No. 1 Azul 14’s</t>
  </si>
  <si>
    <t>0 M Adams No. 1 Verde 14’s</t>
  </si>
  <si>
    <t>Chesterfield Blue KS Box 1632197 Marlboro Rubyfresh Fusion Blast 100 Box 20</t>
  </si>
  <si>
    <t>Aj Fernández</t>
  </si>
  <si>
    <t>Attimo Blue KS</t>
  </si>
  <si>
    <t>Attimo Full Flavor KS</t>
  </si>
  <si>
    <t>Attimo Ultra Lights KS</t>
  </si>
  <si>
    <t>Benson and Hedges Lux Amber Box 20</t>
  </si>
  <si>
    <t>Benson and Hedges Lux Jade Box 20</t>
  </si>
  <si>
    <t>Benson and Hedges Lux Quartz Box 20</t>
  </si>
  <si>
    <t>Benson and Hedges Lux Sapphire Box 20</t>
  </si>
  <si>
    <t>Bobeda</t>
  </si>
  <si>
    <t>Camel Filters Original 25s</t>
  </si>
  <si>
    <t>Camel Switch Filters 100s</t>
  </si>
  <si>
    <t>Canal Blue KS</t>
  </si>
  <si>
    <t>Canal Full Flavor KS</t>
  </si>
  <si>
    <t>Canal Menthol KS</t>
  </si>
  <si>
    <t>Catalina Azul 14’s</t>
  </si>
  <si>
    <t>Catalina Azul 20’s</t>
  </si>
  <si>
    <t>Catalina Rojo 14’s</t>
  </si>
  <si>
    <t>Catalina Rojo 20’s</t>
  </si>
  <si>
    <t>Catalina Verde 14’s</t>
  </si>
  <si>
    <t>Catalina Verde 20’s</t>
  </si>
  <si>
    <t>Faros Ls Box 14</t>
  </si>
  <si>
    <t>L&amp;M Red Label Box 14</t>
  </si>
  <si>
    <t>L&amp;M Red Label Box 21</t>
  </si>
  <si>
    <t>Laredo Swiss Blend Azules POP Tropical Ice KSB 20</t>
  </si>
  <si>
    <t>Laredo Swiss Blend Dorados POP Summberry KSB 20</t>
  </si>
  <si>
    <t>LD Purple Disco 20s</t>
  </si>
  <si>
    <t>M Adams No. 1 Azul 14’s</t>
  </si>
  <si>
    <t>M Adams No. 1 Azul 20’s</t>
  </si>
  <si>
    <t>M Adams No. 1 Rojo 14’s</t>
  </si>
  <si>
    <t>M Adams No. 1 Rojo 20’s</t>
  </si>
  <si>
    <t>M Adams No. 1 Verde 14’s</t>
  </si>
  <si>
    <t>M Adams No. 1 Verde 20’s</t>
  </si>
  <si>
    <t>M1 Azul 14’s</t>
  </si>
  <si>
    <t>M1 Azul 20’s</t>
  </si>
  <si>
    <t>M1 Rojo 14’s</t>
  </si>
  <si>
    <t>M1 Rojo 20’s</t>
  </si>
  <si>
    <t>M1 Verde 14’s</t>
  </si>
  <si>
    <t>M1 Verde 20’s</t>
  </si>
  <si>
    <t>Marlboro Caribbean Fusion 100 Box 20</t>
  </si>
  <si>
    <t>Marlboro Double Fusion Ruby Box 20</t>
  </si>
  <si>
    <t>Marlboro Exotic Splash 100 Box 20</t>
  </si>
  <si>
    <t>Marlboro Gold KS RCB 20</t>
  </si>
  <si>
    <t>Marlboro Red LS BOX 20</t>
  </si>
  <si>
    <t>Marlboro Vista Arctic Fusion 100 Box 14</t>
  </si>
  <si>
    <t>Marlboro Vista Blossom Mist 100 Box 14</t>
  </si>
  <si>
    <t>Pall 2Caps 14/140 Ere Sq Mex Athn</t>
  </si>
  <si>
    <t>Pall 2Caps 14/140 Ere Sq Mex Fuji</t>
  </si>
  <si>
    <t>Pall 2Caps 14/140 Ere Sq Mex Iceb</t>
  </si>
  <si>
    <t>Pall 2Caps 20/200 Ere Be Mex Fuji</t>
  </si>
  <si>
    <t>Pall Mall Classics Gold 14s</t>
  </si>
  <si>
    <t>Pall Mall Classics Gold 20s</t>
  </si>
  <si>
    <t>Pall Mall Ere Be London Twilight 20/200 con capsulas</t>
  </si>
  <si>
    <t>Pall Mall Hawaii Sunlight 20s</t>
  </si>
  <si>
    <t>Pall Mall XL Alaska 22 con filtro y capsulas</t>
  </si>
  <si>
    <t>Platinum Seven 7 1 Capsula KS</t>
  </si>
  <si>
    <t>Platinum Seven 7 Blue 100’s</t>
  </si>
  <si>
    <t>Platinum Seven 7 Blue KS</t>
  </si>
  <si>
    <t>Platinum Seven 7 Doble Capsula KS</t>
  </si>
  <si>
    <t>Platinum Seven 7 Full Flavor 100’s</t>
  </si>
  <si>
    <t>Platinum Seven 7 Full Flavor KS</t>
  </si>
  <si>
    <t>Platinum Seven 7 Gold KS</t>
  </si>
  <si>
    <t>Platinum Seven 7 Menthol 100’s</t>
  </si>
  <si>
    <t>Platinum Seven 7 Menthol KS</t>
  </si>
  <si>
    <t>Platinum Seven 7 Ultra Lights KS</t>
  </si>
  <si>
    <t>Rocky Patel Fiftv International Gift Pack</t>
  </si>
  <si>
    <t>Rocky Patel Hamlet 2Sth Year</t>
  </si>
  <si>
    <t>Rocky Patel Sungrown MadurO</t>
  </si>
  <si>
    <t>Rocky Patel Vintage 1992</t>
  </si>
  <si>
    <t>Rocky Patel Vintage 1999</t>
  </si>
  <si>
    <t>Rocky Patel Vintage 2003</t>
  </si>
  <si>
    <t>Rocky Patel Vintage 2006 San Andreas</t>
  </si>
  <si>
    <t>Royal Ascot Blue KS</t>
  </si>
  <si>
    <t>Royal Ascot Full Flavor KS</t>
  </si>
  <si>
    <t>Royal Ascot Menthol KS</t>
  </si>
  <si>
    <t>Scenic 101 Azul 14’s</t>
  </si>
  <si>
    <t>Scenic 101 Rojo 14’s</t>
  </si>
  <si>
    <t>Scenic 101 Verde 14’s</t>
  </si>
  <si>
    <t>Senator Rojos Pop Continental 100 SB 20</t>
  </si>
  <si>
    <t>Studio 54 Azules Pop Tropical Ice KSB 20</t>
  </si>
  <si>
    <t>Studio 54 Negro Pop Summberry KSB 20</t>
  </si>
  <si>
    <t>Studio Camel Roulette 100s</t>
  </si>
  <si>
    <t>Terea Amber S50 PRI 20 SLI</t>
  </si>
  <si>
    <t>Terea Blue S50 PRI 20 SLI</t>
  </si>
  <si>
    <t>Terea Bronze S50 PRI 20 SLI</t>
  </si>
  <si>
    <t>Terea Green Zing 1.2 S50 PRI 20 SLI</t>
  </si>
  <si>
    <t>Terea Purple Wave 1.2 S50 PRI 20 SLI</t>
  </si>
  <si>
    <t>Terea Russet S50 PRI 20 SLI</t>
  </si>
  <si>
    <t>Terea Sienna S50 PRI 20 SLI</t>
  </si>
  <si>
    <t>Winston Blue 21</t>
  </si>
  <si>
    <t>Winston Classic 21</t>
  </si>
  <si>
    <t>Winston Oasis Fresh Mix</t>
  </si>
  <si>
    <t>Winston Shiny Mix</t>
  </si>
  <si>
    <t>Winston Switch Classic 100 20s</t>
  </si>
  <si>
    <t>After the City Dark</t>
  </si>
  <si>
    <t>Aura emotions</t>
  </si>
  <si>
    <t>Avalon S</t>
  </si>
  <si>
    <t>Berlin</t>
  </si>
  <si>
    <t>Big Boss</t>
  </si>
  <si>
    <t>BLUE RIVER EXTRA SPECIAL</t>
  </si>
  <si>
    <t>Bright Menthol</t>
  </si>
  <si>
    <t>Bright Mentol</t>
  </si>
  <si>
    <t>Capri Magenta</t>
  </si>
  <si>
    <t>Capri Menthol</t>
  </si>
  <si>
    <t>Casino</t>
  </si>
  <si>
    <t>CHICAGO</t>
  </si>
  <si>
    <t>Conrad</t>
  </si>
  <si>
    <t>DART PREMIUN BLEND</t>
  </si>
  <si>
    <t>Double Diamond</t>
  </si>
  <si>
    <t>Elite Rojo</t>
  </si>
  <si>
    <t>Elite Verde</t>
  </si>
  <si>
    <t>EMPIRE FULL FLAVOR</t>
  </si>
  <si>
    <t>Gem Dorado</t>
  </si>
  <si>
    <t>Gem Negro</t>
  </si>
  <si>
    <t>Golden Bridge</t>
  </si>
  <si>
    <t>Golden Mamba</t>
  </si>
  <si>
    <t>Hatamen</t>
  </si>
  <si>
    <t>High Roller</t>
  </si>
  <si>
    <t>Horseman Menthol</t>
  </si>
  <si>
    <t>Jaipur Amarillo</t>
  </si>
  <si>
    <t>JAIPUR CLASSIC</t>
  </si>
  <si>
    <t>Jaipur Rojo</t>
  </si>
  <si>
    <t>Jaisalmer Amarillo</t>
  </si>
  <si>
    <t>Jaisalmer Menthol</t>
  </si>
  <si>
    <t>Just Black mini</t>
  </si>
  <si>
    <t xml:space="preserve">Laredo </t>
  </si>
  <si>
    <t>Liverpool</t>
  </si>
  <si>
    <t>MACPOLE</t>
  </si>
  <si>
    <t>Marshall</t>
  </si>
  <si>
    <t>May pole</t>
  </si>
  <si>
    <t>MAYPOLE AMERICAN BLEND</t>
  </si>
  <si>
    <t>MERIDIAN SPECIAL BREATH</t>
  </si>
  <si>
    <t>Mini Black Dog</t>
  </si>
  <si>
    <t>Mini Prestige</t>
  </si>
  <si>
    <t>Park Gold</t>
  </si>
  <si>
    <t>Park Slims</t>
  </si>
  <si>
    <t>Police Red</t>
  </si>
  <si>
    <t>Polo Gold</t>
  </si>
  <si>
    <t>Raison pop</t>
  </si>
  <si>
    <t>Razor azul</t>
  </si>
  <si>
    <t>Se agregó en revisión Belén: 3 de julio (después de últ rev Khayr)</t>
  </si>
  <si>
    <t>Romantic</t>
  </si>
  <si>
    <t>Royal Club</t>
  </si>
  <si>
    <t>Royal Trident</t>
  </si>
  <si>
    <t>Royale</t>
  </si>
  <si>
    <t>Ruby Super Slim</t>
  </si>
  <si>
    <t>San Marino Rojo</t>
  </si>
  <si>
    <t>San Marino Verde</t>
  </si>
  <si>
    <t>Silver Elephant</t>
  </si>
  <si>
    <t>Soberanos</t>
  </si>
  <si>
    <t>STERLING EXVCLUSIVE EDITION</t>
  </si>
  <si>
    <t>U.S. Tobacco de México S.A.***</t>
  </si>
  <si>
    <t>Westport</t>
  </si>
  <si>
    <t>Consecutivo</t>
  </si>
  <si>
    <t>Marca</t>
  </si>
  <si>
    <t>Legal/Ilegal</t>
  </si>
  <si>
    <t>Ubicación</t>
  </si>
  <si>
    <t>Fecha de publicación de alerta</t>
  </si>
  <si>
    <t>Fecha de publicación de RMF</t>
  </si>
  <si>
    <t>GATS 2009</t>
  </si>
  <si>
    <t>ENA 2011</t>
  </si>
  <si>
    <t>GATS 2015</t>
  </si>
  <si>
    <t>ENCODAT 2016</t>
  </si>
  <si>
    <t>Ilegal</t>
  </si>
  <si>
    <t>COFEPRIS</t>
  </si>
  <si>
    <t>Legal</t>
  </si>
  <si>
    <t>DOF</t>
  </si>
  <si>
    <t>Asford Blue</t>
  </si>
  <si>
    <t>Ninguno</t>
  </si>
  <si>
    <t>B&amp;B (Bull &amp; Bears)</t>
  </si>
  <si>
    <t>Ambos</t>
  </si>
  <si>
    <t>23/12/2015 para 2016</t>
  </si>
  <si>
    <t>Bulls eye</t>
  </si>
  <si>
    <t>Demin</t>
  </si>
  <si>
    <t xml:space="preserve">Flash </t>
  </si>
  <si>
    <t>23/12/2016 para 2017</t>
  </si>
  <si>
    <t>Mary Pole</t>
  </si>
  <si>
    <t>May Pole</t>
  </si>
  <si>
    <t>legal</t>
  </si>
  <si>
    <t xml:space="preserve">Racer </t>
  </si>
  <si>
    <t>Richam Royal</t>
  </si>
  <si>
    <t xml:space="preserve">Roman </t>
  </si>
  <si>
    <t xml:space="preserve">Rube Club </t>
  </si>
  <si>
    <t>Sandia</t>
  </si>
  <si>
    <t>Sterling Exclusive Edition</t>
  </si>
  <si>
    <t>WhiteStone</t>
  </si>
  <si>
    <t>Cherokee</t>
  </si>
  <si>
    <t>ilegal</t>
  </si>
  <si>
    <t>El Patron</t>
  </si>
  <si>
    <t>Gol</t>
  </si>
  <si>
    <t xml:space="preserve">L&amp;M </t>
  </si>
  <si>
    <t>Route 69</t>
  </si>
  <si>
    <t>S54</t>
  </si>
  <si>
    <t>Seven Stars</t>
  </si>
  <si>
    <t>Show Time</t>
  </si>
  <si>
    <t xml:space="preserve">Broadway </t>
  </si>
  <si>
    <t>Alitas</t>
  </si>
  <si>
    <t>DavidOff</t>
  </si>
  <si>
    <t>American Spirit</t>
  </si>
  <si>
    <t>Carlton</t>
  </si>
  <si>
    <t>Feeling</t>
  </si>
  <si>
    <t>Samba</t>
  </si>
  <si>
    <t>Argentinos</t>
  </si>
  <si>
    <t>Embajadores</t>
  </si>
  <si>
    <t>Black Dog</t>
  </si>
  <si>
    <t>New York</t>
  </si>
  <si>
    <t>Impala</t>
  </si>
  <si>
    <t>Balmer</t>
  </si>
  <si>
    <t>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</si>
</sst>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12"/>
      <color theme="1"/>
      <name val="Arial"/>
    </font>
    <font>
      <sz val="11"/>
      <color theme="1"/>
      <name val="Arial"/>
    </font>
    <font>
      <sz val="10"/>
      <color theme="1"/>
      <name val="Times New Roman"/>
    </font>
    <font>
      <sz val="11"/>
      <color theme="5"/>
      <name val="Times New Roman"/>
    </font>
    <font>
      <sz val="11"/>
      <color theme="4"/>
      <name val="Times New Roman"/>
    </font>
    <font>
      <sz val="11"/>
      <color theme="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left"/>
    </xf>
    <xf numFmtId="0" fontId="1" fillId="2" borderId="1" xfId="0" applyFont="1" applyFill="1" applyBorder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49" fontId="1" fillId="0" borderId="0" xfId="0" applyNumberFormat="1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2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/>
    <xf numFmtId="0" fontId="1" fillId="5" borderId="1" xfId="0" applyFont="1" applyFill="1" applyBorder="1" applyAlignment="1">
      <alignment horizontal="center" vertical="center"/>
    </xf>
    <xf numFmtId="17" fontId="1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9">
    <dxf>
      <font>
        <color theme="9"/>
      </font>
      <fill>
        <patternFill patternType="none"/>
      </fill>
    </dxf>
    <dxf>
      <font>
        <color rgb="FFC00000"/>
      </font>
      <fill>
        <patternFill patternType="none"/>
      </fill>
    </dxf>
    <dxf>
      <font>
        <color theme="9"/>
      </font>
      <fill>
        <patternFill patternType="none"/>
      </fill>
    </dxf>
    <dxf>
      <font>
        <color rgb="FFC0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C0EEA6"/>
          <bgColor rgb="FFC0EEA6"/>
        </patternFill>
      </fill>
    </dxf>
    <dxf>
      <font>
        <color rgb="FFFF0000"/>
      </font>
      <fill>
        <patternFill patternType="solid">
          <fgColor rgb="FFFD7373"/>
          <bgColor rgb="FFFD7373"/>
        </patternFill>
      </fill>
    </dxf>
    <dxf>
      <font>
        <color rgb="FFFF0000"/>
      </font>
      <fill>
        <patternFill patternType="solid">
          <fgColor rgb="FFFF9999"/>
          <bgColor rgb="FFFF9999"/>
        </patternFill>
      </fill>
    </dxf>
    <dxf>
      <font>
        <color theme="9"/>
      </font>
      <fill>
        <patternFill patternType="solid">
          <fgColor rgb="FFCCFFCC"/>
          <bgColor rgb="FFCC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604EC-338E-491A-BDD9-34B67C7508DD}">
  <dimension ref="A1:A322"/>
  <sheetViews>
    <sheetView tabSelected="1" workbookViewId="0">
      <selection activeCell="E9" sqref="E9"/>
    </sheetView>
  </sheetViews>
  <sheetFormatPr defaultRowHeight="15" x14ac:dyDescent="0.25"/>
  <sheetData>
    <row r="1" spans="1:1" x14ac:dyDescent="0.25">
      <c r="A1" t="s">
        <v>2306</v>
      </c>
    </row>
    <row r="2" spans="1:1" x14ac:dyDescent="0.25">
      <c r="A2" s="1">
        <v>90210</v>
      </c>
    </row>
    <row r="3" spans="1:1" x14ac:dyDescent="0.25">
      <c r="A3" s="1" t="s">
        <v>16</v>
      </c>
    </row>
    <row r="4" spans="1:1" x14ac:dyDescent="0.25">
      <c r="A4" s="1" t="s">
        <v>18</v>
      </c>
    </row>
    <row r="5" spans="1:1" x14ac:dyDescent="0.25">
      <c r="A5" s="1" t="s">
        <v>20</v>
      </c>
    </row>
    <row r="6" spans="1:1" x14ac:dyDescent="0.25">
      <c r="A6" s="1" t="s">
        <v>22</v>
      </c>
    </row>
    <row r="7" spans="1:1" x14ac:dyDescent="0.25">
      <c r="A7" s="1" t="s">
        <v>24</v>
      </c>
    </row>
    <row r="8" spans="1:1" x14ac:dyDescent="0.25">
      <c r="A8" s="1" t="s">
        <v>27</v>
      </c>
    </row>
    <row r="9" spans="1:1" x14ac:dyDescent="0.25">
      <c r="A9" s="1" t="s">
        <v>29</v>
      </c>
    </row>
    <row r="10" spans="1:1" x14ac:dyDescent="0.25">
      <c r="A10" s="1" t="s">
        <v>31</v>
      </c>
    </row>
    <row r="11" spans="1:1" x14ac:dyDescent="0.25">
      <c r="A11" s="1" t="s">
        <v>33</v>
      </c>
    </row>
    <row r="12" spans="1:1" x14ac:dyDescent="0.25">
      <c r="A12" s="1" t="s">
        <v>35</v>
      </c>
    </row>
    <row r="13" spans="1:1" x14ac:dyDescent="0.25">
      <c r="A13" s="1" t="s">
        <v>37</v>
      </c>
    </row>
    <row r="14" spans="1:1" x14ac:dyDescent="0.25">
      <c r="A14" s="1" t="s">
        <v>39</v>
      </c>
    </row>
    <row r="15" spans="1:1" x14ac:dyDescent="0.25">
      <c r="A15" s="1" t="s">
        <v>41</v>
      </c>
    </row>
    <row r="16" spans="1:1" x14ac:dyDescent="0.25">
      <c r="A16" s="1" t="s">
        <v>43</v>
      </c>
    </row>
    <row r="17" spans="1:1" x14ac:dyDescent="0.25">
      <c r="A17" s="1" t="s">
        <v>45</v>
      </c>
    </row>
    <row r="18" spans="1:1" x14ac:dyDescent="0.25">
      <c r="A18" s="1" t="s">
        <v>47</v>
      </c>
    </row>
    <row r="19" spans="1:1" x14ac:dyDescent="0.25">
      <c r="A19" s="1" t="s">
        <v>49</v>
      </c>
    </row>
    <row r="20" spans="1:1" x14ac:dyDescent="0.25">
      <c r="A20" s="1" t="s">
        <v>51</v>
      </c>
    </row>
    <row r="21" spans="1:1" x14ac:dyDescent="0.25">
      <c r="A21" s="1" t="s">
        <v>53</v>
      </c>
    </row>
    <row r="22" spans="1:1" x14ac:dyDescent="0.25">
      <c r="A22" s="1" t="s">
        <v>55</v>
      </c>
    </row>
    <row r="23" spans="1:1" x14ac:dyDescent="0.25">
      <c r="A23" s="1" t="s">
        <v>57</v>
      </c>
    </row>
    <row r="24" spans="1:1" x14ac:dyDescent="0.25">
      <c r="A24" s="1" t="s">
        <v>59</v>
      </c>
    </row>
    <row r="25" spans="1:1" x14ac:dyDescent="0.25">
      <c r="A25" s="1" t="s">
        <v>61</v>
      </c>
    </row>
    <row r="26" spans="1:1" x14ac:dyDescent="0.25">
      <c r="A26" s="1" t="s">
        <v>63</v>
      </c>
    </row>
    <row r="27" spans="1:1" x14ac:dyDescent="0.25">
      <c r="A27" s="1" t="s">
        <v>65</v>
      </c>
    </row>
    <row r="28" spans="1:1" x14ac:dyDescent="0.25">
      <c r="A28" s="1" t="s">
        <v>67</v>
      </c>
    </row>
    <row r="29" spans="1:1" x14ac:dyDescent="0.25">
      <c r="A29" s="1" t="s">
        <v>69</v>
      </c>
    </row>
    <row r="30" spans="1:1" x14ac:dyDescent="0.25">
      <c r="A30" s="1" t="s">
        <v>71</v>
      </c>
    </row>
    <row r="31" spans="1:1" x14ac:dyDescent="0.25">
      <c r="A31" s="1" t="s">
        <v>73</v>
      </c>
    </row>
    <row r="32" spans="1:1" x14ac:dyDescent="0.25">
      <c r="A32" s="1" t="s">
        <v>75</v>
      </c>
    </row>
    <row r="33" spans="1:1" x14ac:dyDescent="0.25">
      <c r="A33" s="1" t="s">
        <v>77</v>
      </c>
    </row>
    <row r="34" spans="1:1" x14ac:dyDescent="0.25">
      <c r="A34" s="1" t="s">
        <v>79</v>
      </c>
    </row>
    <row r="35" spans="1:1" x14ac:dyDescent="0.25">
      <c r="A35" s="1" t="s">
        <v>81</v>
      </c>
    </row>
    <row r="36" spans="1:1" x14ac:dyDescent="0.25">
      <c r="A36" s="1" t="s">
        <v>83</v>
      </c>
    </row>
    <row r="37" spans="1:1" x14ac:dyDescent="0.25">
      <c r="A37" s="1" t="s">
        <v>85</v>
      </c>
    </row>
    <row r="38" spans="1:1" x14ac:dyDescent="0.25">
      <c r="A38" s="1" t="s">
        <v>87</v>
      </c>
    </row>
    <row r="39" spans="1:1" x14ac:dyDescent="0.25">
      <c r="A39" s="1" t="s">
        <v>89</v>
      </c>
    </row>
    <row r="40" spans="1:1" x14ac:dyDescent="0.25">
      <c r="A40" s="1" t="s">
        <v>91</v>
      </c>
    </row>
    <row r="41" spans="1:1" x14ac:dyDescent="0.25">
      <c r="A41" s="1" t="s">
        <v>93</v>
      </c>
    </row>
    <row r="42" spans="1:1" x14ac:dyDescent="0.25">
      <c r="A42" s="1" t="s">
        <v>95</v>
      </c>
    </row>
    <row r="43" spans="1:1" x14ac:dyDescent="0.25">
      <c r="A43" s="1" t="s">
        <v>97</v>
      </c>
    </row>
    <row r="44" spans="1:1" x14ac:dyDescent="0.25">
      <c r="A44" s="1" t="s">
        <v>99</v>
      </c>
    </row>
    <row r="45" spans="1:1" x14ac:dyDescent="0.25">
      <c r="A45" s="1" t="s">
        <v>101</v>
      </c>
    </row>
    <row r="46" spans="1:1" x14ac:dyDescent="0.25">
      <c r="A46" s="1" t="s">
        <v>103</v>
      </c>
    </row>
    <row r="47" spans="1:1" x14ac:dyDescent="0.25">
      <c r="A47" s="1" t="s">
        <v>105</v>
      </c>
    </row>
    <row r="48" spans="1:1" x14ac:dyDescent="0.25">
      <c r="A48" s="1" t="s">
        <v>107</v>
      </c>
    </row>
    <row r="49" spans="1:1" x14ac:dyDescent="0.25">
      <c r="A49" s="1" t="s">
        <v>109</v>
      </c>
    </row>
    <row r="50" spans="1:1" x14ac:dyDescent="0.25">
      <c r="A50" s="1" t="s">
        <v>111</v>
      </c>
    </row>
    <row r="51" spans="1:1" x14ac:dyDescent="0.25">
      <c r="A51" s="1" t="s">
        <v>113</v>
      </c>
    </row>
    <row r="52" spans="1:1" x14ac:dyDescent="0.25">
      <c r="A52" s="1" t="s">
        <v>115</v>
      </c>
    </row>
    <row r="53" spans="1:1" x14ac:dyDescent="0.25">
      <c r="A53" s="1" t="s">
        <v>117</v>
      </c>
    </row>
    <row r="54" spans="1:1" x14ac:dyDescent="0.25">
      <c r="A54" s="1" t="s">
        <v>119</v>
      </c>
    </row>
    <row r="55" spans="1:1" x14ac:dyDescent="0.25">
      <c r="A55" s="1" t="s">
        <v>121</v>
      </c>
    </row>
    <row r="56" spans="1:1" x14ac:dyDescent="0.25">
      <c r="A56" s="1" t="s">
        <v>123</v>
      </c>
    </row>
    <row r="57" spans="1:1" x14ac:dyDescent="0.25">
      <c r="A57" s="1" t="s">
        <v>125</v>
      </c>
    </row>
    <row r="58" spans="1:1" x14ac:dyDescent="0.25">
      <c r="A58" s="1" t="s">
        <v>127</v>
      </c>
    </row>
    <row r="59" spans="1:1" x14ac:dyDescent="0.25">
      <c r="A59" s="1" t="s">
        <v>130</v>
      </c>
    </row>
    <row r="60" spans="1:1" x14ac:dyDescent="0.25">
      <c r="A60" s="1" t="s">
        <v>132</v>
      </c>
    </row>
    <row r="61" spans="1:1" x14ac:dyDescent="0.25">
      <c r="A61" s="1" t="s">
        <v>134</v>
      </c>
    </row>
    <row r="62" spans="1:1" x14ac:dyDescent="0.25">
      <c r="A62" s="1" t="s">
        <v>136</v>
      </c>
    </row>
    <row r="63" spans="1:1" x14ac:dyDescent="0.25">
      <c r="A63" s="1" t="s">
        <v>138</v>
      </c>
    </row>
    <row r="64" spans="1:1" x14ac:dyDescent="0.25">
      <c r="A64" s="1" t="s">
        <v>140</v>
      </c>
    </row>
    <row r="65" spans="1:1" x14ac:dyDescent="0.25">
      <c r="A65" s="1" t="s">
        <v>142</v>
      </c>
    </row>
    <row r="66" spans="1:1" x14ac:dyDescent="0.25">
      <c r="A66" s="1" t="s">
        <v>145</v>
      </c>
    </row>
    <row r="67" spans="1:1" x14ac:dyDescent="0.25">
      <c r="A67" s="1" t="s">
        <v>147</v>
      </c>
    </row>
    <row r="68" spans="1:1" x14ac:dyDescent="0.25">
      <c r="A68" s="1" t="s">
        <v>149</v>
      </c>
    </row>
    <row r="69" spans="1:1" x14ac:dyDescent="0.25">
      <c r="A69" s="1" t="s">
        <v>151</v>
      </c>
    </row>
    <row r="70" spans="1:1" x14ac:dyDescent="0.25">
      <c r="A70" s="1" t="s">
        <v>153</v>
      </c>
    </row>
    <row r="71" spans="1:1" x14ac:dyDescent="0.25">
      <c r="A71" s="1" t="s">
        <v>155</v>
      </c>
    </row>
    <row r="72" spans="1:1" x14ac:dyDescent="0.25">
      <c r="A72" s="1" t="s">
        <v>157</v>
      </c>
    </row>
    <row r="73" spans="1:1" x14ac:dyDescent="0.25">
      <c r="A73" s="1" t="s">
        <v>159</v>
      </c>
    </row>
    <row r="74" spans="1:1" x14ac:dyDescent="0.25">
      <c r="A74" s="1" t="s">
        <v>161</v>
      </c>
    </row>
    <row r="75" spans="1:1" x14ac:dyDescent="0.25">
      <c r="A75" s="1" t="s">
        <v>163</v>
      </c>
    </row>
    <row r="76" spans="1:1" x14ac:dyDescent="0.25">
      <c r="A76" s="1" t="s">
        <v>165</v>
      </c>
    </row>
    <row r="77" spans="1:1" x14ac:dyDescent="0.25">
      <c r="A77" s="1" t="s">
        <v>167</v>
      </c>
    </row>
    <row r="78" spans="1:1" x14ac:dyDescent="0.25">
      <c r="A78" s="1" t="s">
        <v>169</v>
      </c>
    </row>
    <row r="79" spans="1:1" x14ac:dyDescent="0.25">
      <c r="A79" s="1" t="s">
        <v>171</v>
      </c>
    </row>
    <row r="80" spans="1:1" x14ac:dyDescent="0.25">
      <c r="A80" s="1" t="s">
        <v>173</v>
      </c>
    </row>
    <row r="81" spans="1:1" x14ac:dyDescent="0.25">
      <c r="A81" s="1" t="s">
        <v>175</v>
      </c>
    </row>
    <row r="82" spans="1:1" x14ac:dyDescent="0.25">
      <c r="A82" s="1" t="s">
        <v>177</v>
      </c>
    </row>
    <row r="83" spans="1:1" x14ac:dyDescent="0.25">
      <c r="A83" s="6" t="s">
        <v>180</v>
      </c>
    </row>
    <row r="84" spans="1:1" x14ac:dyDescent="0.25">
      <c r="A84" s="6" t="s">
        <v>182</v>
      </c>
    </row>
    <row r="85" spans="1:1" x14ac:dyDescent="0.25">
      <c r="A85" s="6" t="s">
        <v>184</v>
      </c>
    </row>
    <row r="86" spans="1:1" x14ac:dyDescent="0.25">
      <c r="A86" s="6" t="s">
        <v>186</v>
      </c>
    </row>
    <row r="87" spans="1:1" x14ac:dyDescent="0.25">
      <c r="A87" s="6" t="s">
        <v>188</v>
      </c>
    </row>
    <row r="88" spans="1:1" x14ac:dyDescent="0.25">
      <c r="A88" s="6" t="s">
        <v>190</v>
      </c>
    </row>
    <row r="89" spans="1:1" x14ac:dyDescent="0.25">
      <c r="A89" s="6" t="s">
        <v>193</v>
      </c>
    </row>
    <row r="90" spans="1:1" x14ac:dyDescent="0.25">
      <c r="A90" s="6" t="s">
        <v>195</v>
      </c>
    </row>
    <row r="91" spans="1:1" x14ac:dyDescent="0.25">
      <c r="A91" s="6" t="s">
        <v>197</v>
      </c>
    </row>
    <row r="92" spans="1:1" x14ac:dyDescent="0.25">
      <c r="A92" s="6" t="s">
        <v>199</v>
      </c>
    </row>
    <row r="93" spans="1:1" x14ac:dyDescent="0.25">
      <c r="A93" s="6" t="s">
        <v>201</v>
      </c>
    </row>
    <row r="94" spans="1:1" x14ac:dyDescent="0.25">
      <c r="A94" s="6" t="s">
        <v>203</v>
      </c>
    </row>
    <row r="95" spans="1:1" x14ac:dyDescent="0.25">
      <c r="A95" s="6" t="s">
        <v>205</v>
      </c>
    </row>
    <row r="96" spans="1:1" x14ac:dyDescent="0.25">
      <c r="A96" s="6" t="s">
        <v>207</v>
      </c>
    </row>
    <row r="97" spans="1:1" x14ac:dyDescent="0.25">
      <c r="A97" s="6" t="s">
        <v>209</v>
      </c>
    </row>
    <row r="98" spans="1:1" x14ac:dyDescent="0.25">
      <c r="A98" s="6" t="s">
        <v>211</v>
      </c>
    </row>
    <row r="99" spans="1:1" x14ac:dyDescent="0.25">
      <c r="A99" s="6" t="s">
        <v>213</v>
      </c>
    </row>
    <row r="100" spans="1:1" x14ac:dyDescent="0.25">
      <c r="A100" s="6" t="s">
        <v>215</v>
      </c>
    </row>
    <row r="101" spans="1:1" x14ac:dyDescent="0.25">
      <c r="A101" s="6" t="s">
        <v>217</v>
      </c>
    </row>
    <row r="102" spans="1:1" x14ac:dyDescent="0.25">
      <c r="A102" s="6" t="s">
        <v>219</v>
      </c>
    </row>
    <row r="103" spans="1:1" x14ac:dyDescent="0.25">
      <c r="A103" s="6" t="s">
        <v>221</v>
      </c>
    </row>
    <row r="104" spans="1:1" x14ac:dyDescent="0.25">
      <c r="A104" s="6" t="s">
        <v>224</v>
      </c>
    </row>
    <row r="105" spans="1:1" x14ac:dyDescent="0.25">
      <c r="A105" s="6" t="s">
        <v>226</v>
      </c>
    </row>
    <row r="106" spans="1:1" x14ac:dyDescent="0.25">
      <c r="A106" s="6" t="s">
        <v>228</v>
      </c>
    </row>
    <row r="107" spans="1:1" x14ac:dyDescent="0.25">
      <c r="A107" s="6" t="s">
        <v>230</v>
      </c>
    </row>
    <row r="108" spans="1:1" x14ac:dyDescent="0.25">
      <c r="A108" s="6" t="s">
        <v>232</v>
      </c>
    </row>
    <row r="109" spans="1:1" x14ac:dyDescent="0.25">
      <c r="A109" s="6" t="s">
        <v>234</v>
      </c>
    </row>
    <row r="110" spans="1:1" x14ac:dyDescent="0.25">
      <c r="A110" s="6" t="s">
        <v>236</v>
      </c>
    </row>
    <row r="111" spans="1:1" x14ac:dyDescent="0.25">
      <c r="A111" s="6" t="s">
        <v>238</v>
      </c>
    </row>
    <row r="112" spans="1:1" x14ac:dyDescent="0.25">
      <c r="A112" s="6" t="s">
        <v>240</v>
      </c>
    </row>
    <row r="113" spans="1:1" x14ac:dyDescent="0.25">
      <c r="A113" s="6" t="s">
        <v>242</v>
      </c>
    </row>
    <row r="114" spans="1:1" x14ac:dyDescent="0.25">
      <c r="A114" s="6" t="s">
        <v>244</v>
      </c>
    </row>
    <row r="115" spans="1:1" x14ac:dyDescent="0.25">
      <c r="A115" s="6" t="s">
        <v>246</v>
      </c>
    </row>
    <row r="116" spans="1:1" x14ac:dyDescent="0.25">
      <c r="A116" s="6" t="s">
        <v>248</v>
      </c>
    </row>
    <row r="117" spans="1:1" x14ac:dyDescent="0.25">
      <c r="A117" s="6" t="s">
        <v>250</v>
      </c>
    </row>
    <row r="118" spans="1:1" x14ac:dyDescent="0.25">
      <c r="A118" s="6" t="s">
        <v>252</v>
      </c>
    </row>
    <row r="119" spans="1:1" x14ac:dyDescent="0.25">
      <c r="A119" s="6" t="s">
        <v>254</v>
      </c>
    </row>
    <row r="120" spans="1:1" x14ac:dyDescent="0.25">
      <c r="A120" s="6" t="s">
        <v>256</v>
      </c>
    </row>
    <row r="121" spans="1:1" x14ac:dyDescent="0.25">
      <c r="A121" s="6" t="s">
        <v>259</v>
      </c>
    </row>
    <row r="122" spans="1:1" x14ac:dyDescent="0.25">
      <c r="A122" s="6" t="s">
        <v>261</v>
      </c>
    </row>
    <row r="123" spans="1:1" x14ac:dyDescent="0.25">
      <c r="A123" s="6" t="s">
        <v>263</v>
      </c>
    </row>
    <row r="124" spans="1:1" x14ac:dyDescent="0.25">
      <c r="A124" s="6" t="s">
        <v>265</v>
      </c>
    </row>
    <row r="125" spans="1:1" x14ac:dyDescent="0.25">
      <c r="A125" s="6" t="s">
        <v>267</v>
      </c>
    </row>
    <row r="126" spans="1:1" x14ac:dyDescent="0.25">
      <c r="A126" s="6" t="s">
        <v>269</v>
      </c>
    </row>
    <row r="127" spans="1:1" x14ac:dyDescent="0.25">
      <c r="A127" s="6" t="s">
        <v>271</v>
      </c>
    </row>
    <row r="128" spans="1:1" x14ac:dyDescent="0.25">
      <c r="A128" s="6" t="s">
        <v>273</v>
      </c>
    </row>
    <row r="129" spans="1:1" x14ac:dyDescent="0.25">
      <c r="A129" s="6" t="s">
        <v>275</v>
      </c>
    </row>
    <row r="130" spans="1:1" x14ac:dyDescent="0.25">
      <c r="A130" s="6" t="s">
        <v>277</v>
      </c>
    </row>
    <row r="131" spans="1:1" x14ac:dyDescent="0.25">
      <c r="A131" s="6" t="s">
        <v>279</v>
      </c>
    </row>
    <row r="132" spans="1:1" x14ac:dyDescent="0.25">
      <c r="A132" s="6" t="s">
        <v>281</v>
      </c>
    </row>
    <row r="133" spans="1:1" x14ac:dyDescent="0.25">
      <c r="A133" s="6" t="s">
        <v>283</v>
      </c>
    </row>
    <row r="134" spans="1:1" x14ac:dyDescent="0.25">
      <c r="A134" s="6" t="s">
        <v>285</v>
      </c>
    </row>
    <row r="135" spans="1:1" x14ac:dyDescent="0.25">
      <c r="A135" s="6" t="s">
        <v>287</v>
      </c>
    </row>
    <row r="136" spans="1:1" x14ac:dyDescent="0.25">
      <c r="A136" s="6" t="s">
        <v>289</v>
      </c>
    </row>
    <row r="137" spans="1:1" x14ac:dyDescent="0.25">
      <c r="A137" s="6" t="s">
        <v>291</v>
      </c>
    </row>
    <row r="138" spans="1:1" x14ac:dyDescent="0.25">
      <c r="A138" s="6" t="s">
        <v>293</v>
      </c>
    </row>
    <row r="139" spans="1:1" x14ac:dyDescent="0.25">
      <c r="A139" s="6" t="s">
        <v>296</v>
      </c>
    </row>
    <row r="140" spans="1:1" x14ac:dyDescent="0.25">
      <c r="A140" s="6" t="s">
        <v>298</v>
      </c>
    </row>
    <row r="141" spans="1:1" x14ac:dyDescent="0.25">
      <c r="A141" s="6" t="s">
        <v>300</v>
      </c>
    </row>
    <row r="142" spans="1:1" x14ac:dyDescent="0.25">
      <c r="A142" s="6" t="s">
        <v>302</v>
      </c>
    </row>
    <row r="143" spans="1:1" x14ac:dyDescent="0.25">
      <c r="A143" s="6" t="s">
        <v>304</v>
      </c>
    </row>
    <row r="144" spans="1:1" x14ac:dyDescent="0.25">
      <c r="A144" s="6" t="s">
        <v>306</v>
      </c>
    </row>
    <row r="145" spans="1:1" x14ac:dyDescent="0.25">
      <c r="A145" s="6" t="s">
        <v>308</v>
      </c>
    </row>
    <row r="146" spans="1:1" x14ac:dyDescent="0.25">
      <c r="A146" s="6" t="s">
        <v>310</v>
      </c>
    </row>
    <row r="147" spans="1:1" x14ac:dyDescent="0.25">
      <c r="A147" s="6" t="s">
        <v>312</v>
      </c>
    </row>
    <row r="148" spans="1:1" x14ac:dyDescent="0.25">
      <c r="A148" s="6" t="s">
        <v>314</v>
      </c>
    </row>
    <row r="149" spans="1:1" x14ac:dyDescent="0.25">
      <c r="A149" s="6" t="s">
        <v>316</v>
      </c>
    </row>
    <row r="150" spans="1:1" x14ac:dyDescent="0.25">
      <c r="A150" s="6" t="s">
        <v>318</v>
      </c>
    </row>
    <row r="151" spans="1:1" x14ac:dyDescent="0.25">
      <c r="A151" s="6" t="s">
        <v>320</v>
      </c>
    </row>
    <row r="152" spans="1:1" x14ac:dyDescent="0.25">
      <c r="A152" s="6" t="s">
        <v>322</v>
      </c>
    </row>
    <row r="153" spans="1:1" x14ac:dyDescent="0.25">
      <c r="A153" s="6" t="s">
        <v>324</v>
      </c>
    </row>
    <row r="154" spans="1:1" x14ac:dyDescent="0.25">
      <c r="A154" s="6" t="s">
        <v>326</v>
      </c>
    </row>
    <row r="155" spans="1:1" x14ac:dyDescent="0.25">
      <c r="A155" s="6" t="s">
        <v>328</v>
      </c>
    </row>
    <row r="156" spans="1:1" x14ac:dyDescent="0.25">
      <c r="A156" s="6" t="s">
        <v>330</v>
      </c>
    </row>
    <row r="157" spans="1:1" x14ac:dyDescent="0.25">
      <c r="A157" s="6" t="s">
        <v>332</v>
      </c>
    </row>
    <row r="158" spans="1:1" x14ac:dyDescent="0.25">
      <c r="A158" s="6" t="s">
        <v>334</v>
      </c>
    </row>
    <row r="159" spans="1:1" x14ac:dyDescent="0.25">
      <c r="A159" s="6" t="s">
        <v>336</v>
      </c>
    </row>
    <row r="160" spans="1:1" x14ac:dyDescent="0.25">
      <c r="A160" s="6" t="s">
        <v>338</v>
      </c>
    </row>
    <row r="161" spans="1:1" x14ac:dyDescent="0.25">
      <c r="A161" s="6" t="s">
        <v>340</v>
      </c>
    </row>
    <row r="162" spans="1:1" x14ac:dyDescent="0.25">
      <c r="A162" s="6" t="s">
        <v>342</v>
      </c>
    </row>
    <row r="163" spans="1:1" x14ac:dyDescent="0.25">
      <c r="A163" s="6" t="s">
        <v>344</v>
      </c>
    </row>
    <row r="164" spans="1:1" x14ac:dyDescent="0.25">
      <c r="A164" s="6" t="s">
        <v>346</v>
      </c>
    </row>
    <row r="165" spans="1:1" x14ac:dyDescent="0.25">
      <c r="A165" s="6" t="s">
        <v>348</v>
      </c>
    </row>
    <row r="166" spans="1:1" x14ac:dyDescent="0.25">
      <c r="A166" s="6" t="s">
        <v>350</v>
      </c>
    </row>
    <row r="167" spans="1:1" x14ac:dyDescent="0.25">
      <c r="A167" s="6" t="s">
        <v>353</v>
      </c>
    </row>
    <row r="168" spans="1:1" x14ac:dyDescent="0.25">
      <c r="A168" s="6" t="s">
        <v>355</v>
      </c>
    </row>
    <row r="169" spans="1:1" x14ac:dyDescent="0.25">
      <c r="A169" s="6" t="s">
        <v>357</v>
      </c>
    </row>
    <row r="170" spans="1:1" x14ac:dyDescent="0.25">
      <c r="A170" s="6" t="s">
        <v>359</v>
      </c>
    </row>
    <row r="171" spans="1:1" x14ac:dyDescent="0.25">
      <c r="A171" s="6" t="s">
        <v>361</v>
      </c>
    </row>
    <row r="172" spans="1:1" x14ac:dyDescent="0.25">
      <c r="A172" s="6" t="s">
        <v>363</v>
      </c>
    </row>
    <row r="173" spans="1:1" x14ac:dyDescent="0.25">
      <c r="A173" s="6" t="s">
        <v>365</v>
      </c>
    </row>
    <row r="174" spans="1:1" x14ac:dyDescent="0.25">
      <c r="A174" s="6" t="s">
        <v>367</v>
      </c>
    </row>
    <row r="175" spans="1:1" x14ac:dyDescent="0.25">
      <c r="A175" s="6" t="s">
        <v>369</v>
      </c>
    </row>
    <row r="176" spans="1:1" x14ac:dyDescent="0.25">
      <c r="A176" s="6" t="s">
        <v>371</v>
      </c>
    </row>
    <row r="177" spans="1:1" x14ac:dyDescent="0.25">
      <c r="A177" s="6" t="s">
        <v>373</v>
      </c>
    </row>
    <row r="178" spans="1:1" x14ac:dyDescent="0.25">
      <c r="A178" s="6" t="s">
        <v>375</v>
      </c>
    </row>
    <row r="179" spans="1:1" x14ac:dyDescent="0.25">
      <c r="A179" s="6" t="s">
        <v>377</v>
      </c>
    </row>
    <row r="180" spans="1:1" x14ac:dyDescent="0.25">
      <c r="A180" s="6" t="s">
        <v>379</v>
      </c>
    </row>
    <row r="181" spans="1:1" x14ac:dyDescent="0.25">
      <c r="A181" s="6" t="s">
        <v>381</v>
      </c>
    </row>
    <row r="182" spans="1:1" x14ac:dyDescent="0.25">
      <c r="A182" s="6" t="s">
        <v>383</v>
      </c>
    </row>
    <row r="183" spans="1:1" x14ac:dyDescent="0.25">
      <c r="A183" s="6" t="s">
        <v>385</v>
      </c>
    </row>
    <row r="184" spans="1:1" x14ac:dyDescent="0.25">
      <c r="A184" s="6" t="s">
        <v>387</v>
      </c>
    </row>
    <row r="185" spans="1:1" x14ac:dyDescent="0.25">
      <c r="A185" s="6" t="s">
        <v>389</v>
      </c>
    </row>
    <row r="186" spans="1:1" x14ac:dyDescent="0.25">
      <c r="A186" s="6" t="s">
        <v>391</v>
      </c>
    </row>
    <row r="187" spans="1:1" x14ac:dyDescent="0.25">
      <c r="A187" s="6" t="s">
        <v>393</v>
      </c>
    </row>
    <row r="188" spans="1:1" x14ac:dyDescent="0.25">
      <c r="A188" s="6" t="s">
        <v>395</v>
      </c>
    </row>
    <row r="189" spans="1:1" x14ac:dyDescent="0.25">
      <c r="A189" s="6" t="s">
        <v>397</v>
      </c>
    </row>
    <row r="190" spans="1:1" x14ac:dyDescent="0.25">
      <c r="A190" s="6" t="s">
        <v>399</v>
      </c>
    </row>
    <row r="191" spans="1:1" x14ac:dyDescent="0.25">
      <c r="A191" s="6" t="s">
        <v>401</v>
      </c>
    </row>
    <row r="192" spans="1:1" x14ac:dyDescent="0.25">
      <c r="A192" s="6" t="s">
        <v>403</v>
      </c>
    </row>
    <row r="193" spans="1:1" x14ac:dyDescent="0.25">
      <c r="A193" s="6" t="s">
        <v>405</v>
      </c>
    </row>
    <row r="194" spans="1:1" x14ac:dyDescent="0.25">
      <c r="A194" s="6" t="s">
        <v>407</v>
      </c>
    </row>
    <row r="195" spans="1:1" x14ac:dyDescent="0.25">
      <c r="A195" s="6" t="s">
        <v>409</v>
      </c>
    </row>
    <row r="196" spans="1:1" x14ac:dyDescent="0.25">
      <c r="A196" s="6" t="s">
        <v>411</v>
      </c>
    </row>
    <row r="197" spans="1:1" x14ac:dyDescent="0.25">
      <c r="A197" s="6" t="s">
        <v>413</v>
      </c>
    </row>
    <row r="198" spans="1:1" x14ac:dyDescent="0.25">
      <c r="A198" s="6" t="s">
        <v>416</v>
      </c>
    </row>
    <row r="199" spans="1:1" x14ac:dyDescent="0.25">
      <c r="A199" s="6" t="s">
        <v>418</v>
      </c>
    </row>
    <row r="200" spans="1:1" x14ac:dyDescent="0.25">
      <c r="A200" s="6" t="s">
        <v>420</v>
      </c>
    </row>
    <row r="201" spans="1:1" x14ac:dyDescent="0.25">
      <c r="A201" s="6" t="s">
        <v>422</v>
      </c>
    </row>
    <row r="202" spans="1:1" x14ac:dyDescent="0.25">
      <c r="A202" s="6" t="s">
        <v>424</v>
      </c>
    </row>
    <row r="203" spans="1:1" x14ac:dyDescent="0.25">
      <c r="A203" s="6" t="s">
        <v>426</v>
      </c>
    </row>
    <row r="204" spans="1:1" x14ac:dyDescent="0.25">
      <c r="A204" s="6" t="s">
        <v>428</v>
      </c>
    </row>
    <row r="205" spans="1:1" x14ac:dyDescent="0.25">
      <c r="A205" s="6" t="s">
        <v>431</v>
      </c>
    </row>
    <row r="206" spans="1:1" x14ac:dyDescent="0.25">
      <c r="A206" s="6" t="s">
        <v>433</v>
      </c>
    </row>
    <row r="207" spans="1:1" x14ac:dyDescent="0.25">
      <c r="A207" s="6" t="s">
        <v>436</v>
      </c>
    </row>
    <row r="208" spans="1:1" x14ac:dyDescent="0.25">
      <c r="A208" s="6" t="s">
        <v>438</v>
      </c>
    </row>
    <row r="209" spans="1:1" x14ac:dyDescent="0.25">
      <c r="A209" s="6" t="s">
        <v>440</v>
      </c>
    </row>
    <row r="210" spans="1:1" x14ac:dyDescent="0.25">
      <c r="A210" s="6" t="s">
        <v>442</v>
      </c>
    </row>
    <row r="211" spans="1:1" x14ac:dyDescent="0.25">
      <c r="A211" s="6" t="s">
        <v>444</v>
      </c>
    </row>
    <row r="212" spans="1:1" x14ac:dyDescent="0.25">
      <c r="A212" s="6" t="s">
        <v>446</v>
      </c>
    </row>
    <row r="213" spans="1:1" x14ac:dyDescent="0.25">
      <c r="A213" s="6" t="s">
        <v>448</v>
      </c>
    </row>
    <row r="214" spans="1:1" x14ac:dyDescent="0.25">
      <c r="A214" s="6" t="s">
        <v>450</v>
      </c>
    </row>
    <row r="215" spans="1:1" x14ac:dyDescent="0.25">
      <c r="A215" s="6" t="s">
        <v>452</v>
      </c>
    </row>
    <row r="216" spans="1:1" x14ac:dyDescent="0.25">
      <c r="A216" s="6" t="s">
        <v>454</v>
      </c>
    </row>
    <row r="217" spans="1:1" x14ac:dyDescent="0.25">
      <c r="A217" s="6" t="s">
        <v>456</v>
      </c>
    </row>
    <row r="218" spans="1:1" x14ac:dyDescent="0.25">
      <c r="A218" s="6" t="s">
        <v>458</v>
      </c>
    </row>
    <row r="219" spans="1:1" x14ac:dyDescent="0.25">
      <c r="A219" s="6" t="s">
        <v>460</v>
      </c>
    </row>
    <row r="220" spans="1:1" x14ac:dyDescent="0.25">
      <c r="A220" s="6" t="s">
        <v>462</v>
      </c>
    </row>
    <row r="221" spans="1:1" x14ac:dyDescent="0.25">
      <c r="A221" s="6" t="s">
        <v>464</v>
      </c>
    </row>
    <row r="222" spans="1:1" x14ac:dyDescent="0.25">
      <c r="A222" s="6" t="s">
        <v>466</v>
      </c>
    </row>
    <row r="223" spans="1:1" x14ac:dyDescent="0.25">
      <c r="A223" s="6" t="s">
        <v>468</v>
      </c>
    </row>
    <row r="224" spans="1:1" x14ac:dyDescent="0.25">
      <c r="A224" s="6" t="s">
        <v>470</v>
      </c>
    </row>
    <row r="225" spans="1:1" x14ac:dyDescent="0.25">
      <c r="A225" s="6" t="s">
        <v>474</v>
      </c>
    </row>
    <row r="226" spans="1:1" x14ac:dyDescent="0.25">
      <c r="A226" s="6" t="s">
        <v>476</v>
      </c>
    </row>
    <row r="227" spans="1:1" x14ac:dyDescent="0.25">
      <c r="A227" s="6" t="s">
        <v>478</v>
      </c>
    </row>
    <row r="228" spans="1:1" x14ac:dyDescent="0.25">
      <c r="A228" s="6" t="s">
        <v>480</v>
      </c>
    </row>
    <row r="229" spans="1:1" x14ac:dyDescent="0.25">
      <c r="A229" s="6" t="s">
        <v>482</v>
      </c>
    </row>
    <row r="230" spans="1:1" x14ac:dyDescent="0.25">
      <c r="A230" s="6" t="s">
        <v>484</v>
      </c>
    </row>
    <row r="231" spans="1:1" x14ac:dyDescent="0.25">
      <c r="A231" s="6" t="s">
        <v>488</v>
      </c>
    </row>
    <row r="232" spans="1:1" x14ac:dyDescent="0.25">
      <c r="A232" s="6" t="s">
        <v>491</v>
      </c>
    </row>
    <row r="233" spans="1:1" x14ac:dyDescent="0.25">
      <c r="A233" s="6" t="s">
        <v>493</v>
      </c>
    </row>
    <row r="234" spans="1:1" x14ac:dyDescent="0.25">
      <c r="A234" s="6" t="s">
        <v>495</v>
      </c>
    </row>
    <row r="235" spans="1:1" x14ac:dyDescent="0.25">
      <c r="A235" s="6" t="s">
        <v>497</v>
      </c>
    </row>
    <row r="236" spans="1:1" x14ac:dyDescent="0.25">
      <c r="A236" s="6" t="s">
        <v>499</v>
      </c>
    </row>
    <row r="237" spans="1:1" x14ac:dyDescent="0.25">
      <c r="A237" s="6" t="s">
        <v>501</v>
      </c>
    </row>
    <row r="238" spans="1:1" x14ac:dyDescent="0.25">
      <c r="A238" s="6" t="s">
        <v>503</v>
      </c>
    </row>
    <row r="239" spans="1:1" x14ac:dyDescent="0.25">
      <c r="A239" s="6" t="s">
        <v>505</v>
      </c>
    </row>
    <row r="240" spans="1:1" x14ac:dyDescent="0.25">
      <c r="A240" s="6" t="s">
        <v>507</v>
      </c>
    </row>
    <row r="241" spans="1:1" x14ac:dyDescent="0.25">
      <c r="A241" s="6" t="s">
        <v>509</v>
      </c>
    </row>
    <row r="242" spans="1:1" x14ac:dyDescent="0.25">
      <c r="A242" s="6" t="s">
        <v>511</v>
      </c>
    </row>
    <row r="243" spans="1:1" x14ac:dyDescent="0.25">
      <c r="A243" s="6" t="s">
        <v>513</v>
      </c>
    </row>
    <row r="244" spans="1:1" x14ac:dyDescent="0.25">
      <c r="A244" s="6" t="s">
        <v>515</v>
      </c>
    </row>
    <row r="245" spans="1:1" x14ac:dyDescent="0.25">
      <c r="A245" s="6" t="s">
        <v>518</v>
      </c>
    </row>
    <row r="246" spans="1:1" x14ac:dyDescent="0.25">
      <c r="A246" s="6" t="s">
        <v>520</v>
      </c>
    </row>
    <row r="247" spans="1:1" x14ac:dyDescent="0.25">
      <c r="A247" s="6" t="s">
        <v>522</v>
      </c>
    </row>
    <row r="248" spans="1:1" x14ac:dyDescent="0.25">
      <c r="A248" s="6" t="s">
        <v>524</v>
      </c>
    </row>
    <row r="249" spans="1:1" x14ac:dyDescent="0.25">
      <c r="A249" s="6" t="s">
        <v>526</v>
      </c>
    </row>
    <row r="250" spans="1:1" x14ac:dyDescent="0.25">
      <c r="A250" s="6" t="s">
        <v>528</v>
      </c>
    </row>
    <row r="251" spans="1:1" x14ac:dyDescent="0.25">
      <c r="A251" s="6" t="s">
        <v>531</v>
      </c>
    </row>
    <row r="252" spans="1:1" x14ac:dyDescent="0.25">
      <c r="A252" s="6" t="s">
        <v>534</v>
      </c>
    </row>
    <row r="253" spans="1:1" x14ac:dyDescent="0.25">
      <c r="A253" s="6" t="s">
        <v>536</v>
      </c>
    </row>
    <row r="254" spans="1:1" x14ac:dyDescent="0.25">
      <c r="A254" s="6" t="s">
        <v>538</v>
      </c>
    </row>
    <row r="255" spans="1:1" x14ac:dyDescent="0.25">
      <c r="A255" s="6" t="s">
        <v>540</v>
      </c>
    </row>
    <row r="256" spans="1:1" x14ac:dyDescent="0.25">
      <c r="A256" s="6" t="s">
        <v>542</v>
      </c>
    </row>
    <row r="257" spans="1:1" x14ac:dyDescent="0.25">
      <c r="A257" s="6" t="s">
        <v>544</v>
      </c>
    </row>
    <row r="258" spans="1:1" x14ac:dyDescent="0.25">
      <c r="A258" s="6" t="s">
        <v>546</v>
      </c>
    </row>
    <row r="259" spans="1:1" x14ac:dyDescent="0.25">
      <c r="A259" s="6" t="s">
        <v>548</v>
      </c>
    </row>
    <row r="260" spans="1:1" x14ac:dyDescent="0.25">
      <c r="A260" s="6" t="s">
        <v>550</v>
      </c>
    </row>
    <row r="261" spans="1:1" x14ac:dyDescent="0.25">
      <c r="A261" s="6" t="s">
        <v>554</v>
      </c>
    </row>
    <row r="262" spans="1:1" x14ac:dyDescent="0.25">
      <c r="A262" s="6" t="s">
        <v>557</v>
      </c>
    </row>
    <row r="263" spans="1:1" x14ac:dyDescent="0.25">
      <c r="A263" s="6" t="s">
        <v>560</v>
      </c>
    </row>
    <row r="264" spans="1:1" x14ac:dyDescent="0.25">
      <c r="A264" s="6" t="s">
        <v>563</v>
      </c>
    </row>
    <row r="265" spans="1:1" x14ac:dyDescent="0.25">
      <c r="A265" s="6" t="s">
        <v>566</v>
      </c>
    </row>
    <row r="266" spans="1:1" x14ac:dyDescent="0.25">
      <c r="A266" s="6" t="s">
        <v>570</v>
      </c>
    </row>
    <row r="267" spans="1:1" x14ac:dyDescent="0.25">
      <c r="A267" s="6" t="s">
        <v>572</v>
      </c>
    </row>
    <row r="268" spans="1:1" x14ac:dyDescent="0.25">
      <c r="A268" s="6" t="s">
        <v>574</v>
      </c>
    </row>
    <row r="269" spans="1:1" x14ac:dyDescent="0.25">
      <c r="A269" s="6" t="s">
        <v>576</v>
      </c>
    </row>
    <row r="270" spans="1:1" x14ac:dyDescent="0.25">
      <c r="A270" s="6" t="s">
        <v>578</v>
      </c>
    </row>
    <row r="271" spans="1:1" x14ac:dyDescent="0.25">
      <c r="A271" s="6" t="s">
        <v>580</v>
      </c>
    </row>
    <row r="272" spans="1:1" x14ac:dyDescent="0.25">
      <c r="A272" s="6" t="s">
        <v>582</v>
      </c>
    </row>
    <row r="273" spans="1:1" x14ac:dyDescent="0.25">
      <c r="A273" s="6" t="s">
        <v>584</v>
      </c>
    </row>
    <row r="274" spans="1:1" x14ac:dyDescent="0.25">
      <c r="A274" s="6" t="s">
        <v>586</v>
      </c>
    </row>
    <row r="275" spans="1:1" x14ac:dyDescent="0.25">
      <c r="A275" s="6" t="s">
        <v>588</v>
      </c>
    </row>
    <row r="276" spans="1:1" x14ac:dyDescent="0.25">
      <c r="A276" s="6" t="s">
        <v>590</v>
      </c>
    </row>
    <row r="277" spans="1:1" x14ac:dyDescent="0.25">
      <c r="A277" s="6" t="s">
        <v>592</v>
      </c>
    </row>
    <row r="278" spans="1:1" x14ac:dyDescent="0.25">
      <c r="A278" s="6" t="s">
        <v>594</v>
      </c>
    </row>
    <row r="279" spans="1:1" x14ac:dyDescent="0.25">
      <c r="A279" s="6" t="s">
        <v>596</v>
      </c>
    </row>
    <row r="280" spans="1:1" x14ac:dyDescent="0.25">
      <c r="A280" s="6" t="s">
        <v>598</v>
      </c>
    </row>
    <row r="281" spans="1:1" x14ac:dyDescent="0.25">
      <c r="A281" s="6" t="s">
        <v>601</v>
      </c>
    </row>
    <row r="282" spans="1:1" x14ac:dyDescent="0.25">
      <c r="A282" s="6" t="s">
        <v>603</v>
      </c>
    </row>
    <row r="283" spans="1:1" x14ac:dyDescent="0.25">
      <c r="A283" s="6" t="s">
        <v>605</v>
      </c>
    </row>
    <row r="284" spans="1:1" x14ac:dyDescent="0.25">
      <c r="A284" s="1" t="s">
        <v>607</v>
      </c>
    </row>
    <row r="285" spans="1:1" x14ac:dyDescent="0.25">
      <c r="A285" s="1" t="s">
        <v>609</v>
      </c>
    </row>
    <row r="286" spans="1:1" x14ac:dyDescent="0.25">
      <c r="A286" s="1" t="s">
        <v>611</v>
      </c>
    </row>
    <row r="287" spans="1:1" x14ac:dyDescent="0.25">
      <c r="A287" s="1" t="s">
        <v>614</v>
      </c>
    </row>
    <row r="288" spans="1:1" x14ac:dyDescent="0.25">
      <c r="A288" s="6" t="str">
        <f>"99 "</f>
        <v xml:space="preserve">99 </v>
      </c>
    </row>
    <row r="289" spans="1:1" x14ac:dyDescent="0.25">
      <c r="A289" s="6" t="s">
        <v>615</v>
      </c>
    </row>
    <row r="290" spans="1:1" x14ac:dyDescent="0.25">
      <c r="A290" s="6" t="s">
        <v>616</v>
      </c>
    </row>
    <row r="291" spans="1:1" x14ac:dyDescent="0.25">
      <c r="A291" s="6" t="s">
        <v>617</v>
      </c>
    </row>
    <row r="292" spans="1:1" x14ac:dyDescent="0.25">
      <c r="A292" s="6" t="s">
        <v>618</v>
      </c>
    </row>
    <row r="293" spans="1:1" x14ac:dyDescent="0.25">
      <c r="A293" s="6" t="s">
        <v>620</v>
      </c>
    </row>
    <row r="294" spans="1:1" x14ac:dyDescent="0.25">
      <c r="A294" s="6" t="s">
        <v>621</v>
      </c>
    </row>
    <row r="295" spans="1:1" x14ac:dyDescent="0.25">
      <c r="A295" s="6" t="s">
        <v>622</v>
      </c>
    </row>
    <row r="296" spans="1:1" x14ac:dyDescent="0.25">
      <c r="A296" s="6" t="s">
        <v>623</v>
      </c>
    </row>
    <row r="297" spans="1:1" x14ac:dyDescent="0.25">
      <c r="A297" s="6" t="s">
        <v>624</v>
      </c>
    </row>
    <row r="298" spans="1:1" x14ac:dyDescent="0.25">
      <c r="A298" s="6" t="s">
        <v>625</v>
      </c>
    </row>
    <row r="299" spans="1:1" x14ac:dyDescent="0.25">
      <c r="A299" s="6" t="s">
        <v>626</v>
      </c>
    </row>
    <row r="300" spans="1:1" x14ac:dyDescent="0.25">
      <c r="A300" s="6" t="s">
        <v>628</v>
      </c>
    </row>
    <row r="301" spans="1:1" x14ac:dyDescent="0.25">
      <c r="A301" s="6" t="s">
        <v>629</v>
      </c>
    </row>
    <row r="302" spans="1:1" x14ac:dyDescent="0.25">
      <c r="A302" s="6" t="s">
        <v>630</v>
      </c>
    </row>
    <row r="303" spans="1:1" x14ac:dyDescent="0.25">
      <c r="A303" s="6" t="s">
        <v>631</v>
      </c>
    </row>
    <row r="304" spans="1:1" x14ac:dyDescent="0.25">
      <c r="A304" s="6" t="s">
        <v>632</v>
      </c>
    </row>
    <row r="305" spans="1:1" x14ac:dyDescent="0.25">
      <c r="A305" s="6" t="s">
        <v>633</v>
      </c>
    </row>
    <row r="306" spans="1:1" x14ac:dyDescent="0.25">
      <c r="A306" s="6" t="s">
        <v>634</v>
      </c>
    </row>
    <row r="307" spans="1:1" x14ac:dyDescent="0.25">
      <c r="A307" s="6" t="s">
        <v>635</v>
      </c>
    </row>
    <row r="308" spans="1:1" x14ac:dyDescent="0.25">
      <c r="A308" s="6" t="s">
        <v>636</v>
      </c>
    </row>
    <row r="309" spans="1:1" x14ac:dyDescent="0.25">
      <c r="A309" s="6" t="s">
        <v>637</v>
      </c>
    </row>
    <row r="310" spans="1:1" x14ac:dyDescent="0.25">
      <c r="A310" s="6" t="s">
        <v>332</v>
      </c>
    </row>
    <row r="311" spans="1:1" x14ac:dyDescent="0.25">
      <c r="A311" s="6" t="s">
        <v>638</v>
      </c>
    </row>
    <row r="312" spans="1:1" x14ac:dyDescent="0.25">
      <c r="A312" s="6" t="s">
        <v>639</v>
      </c>
    </row>
    <row r="313" spans="1:1" x14ac:dyDescent="0.25">
      <c r="A313" s="6" t="s">
        <v>640</v>
      </c>
    </row>
    <row r="314" spans="1:1" x14ac:dyDescent="0.25">
      <c r="A314" s="6" t="s">
        <v>641</v>
      </c>
    </row>
    <row r="315" spans="1:1" x14ac:dyDescent="0.25">
      <c r="A315" s="6" t="s">
        <v>642</v>
      </c>
    </row>
    <row r="316" spans="1:1" x14ac:dyDescent="0.25">
      <c r="A316" s="6" t="s">
        <v>643</v>
      </c>
    </row>
    <row r="317" spans="1:1" x14ac:dyDescent="0.25">
      <c r="A317" s="6" t="s">
        <v>644</v>
      </c>
    </row>
    <row r="318" spans="1:1" x14ac:dyDescent="0.25">
      <c r="A318" s="6" t="s">
        <v>645</v>
      </c>
    </row>
    <row r="319" spans="1:1" x14ac:dyDescent="0.25">
      <c r="A319" s="6" t="s">
        <v>646</v>
      </c>
    </row>
    <row r="320" spans="1:1" x14ac:dyDescent="0.25">
      <c r="A320" s="6" t="s">
        <v>647</v>
      </c>
    </row>
    <row r="321" spans="1:1" x14ac:dyDescent="0.25">
      <c r="A321" s="6" t="s">
        <v>648</v>
      </c>
    </row>
    <row r="322" spans="1:1" x14ac:dyDescent="0.25">
      <c r="A322" s="6" t="s">
        <v>649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topLeftCell="A282" workbookViewId="0">
      <selection activeCell="B3" sqref="B3:B323"/>
    </sheetView>
  </sheetViews>
  <sheetFormatPr defaultColWidth="14.42578125" defaultRowHeight="15" customHeight="1" x14ac:dyDescent="0.25"/>
  <cols>
    <col min="1" max="1" width="5" customWidth="1"/>
    <col min="2" max="2" width="24.42578125" customWidth="1"/>
    <col min="3" max="3" width="10.7109375" customWidth="1"/>
    <col min="4" max="4" width="11.85546875" customWidth="1"/>
    <col min="5" max="7" width="10.7109375" customWidth="1"/>
    <col min="8" max="8" width="11.42578125" customWidth="1"/>
    <col min="9" max="9" width="18.7109375" customWidth="1"/>
    <col min="10" max="10" width="15.42578125" customWidth="1"/>
    <col min="11" max="11" width="12" customWidth="1"/>
    <col min="12" max="12" width="12.42578125" customWidth="1"/>
    <col min="13" max="13" width="10.85546875" customWidth="1"/>
    <col min="14" max="26" width="10.7109375" customWidth="1"/>
  </cols>
  <sheetData>
    <row r="1" spans="1:15" x14ac:dyDescent="0.25">
      <c r="B1" s="1"/>
      <c r="M1" s="2"/>
    </row>
    <row r="2" spans="1:15" ht="60" x14ac:dyDescent="0.25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3" t="s">
        <v>8</v>
      </c>
      <c r="K2" s="4" t="s">
        <v>9</v>
      </c>
      <c r="L2" s="3" t="s">
        <v>10</v>
      </c>
      <c r="M2" s="5" t="s">
        <v>11</v>
      </c>
      <c r="N2" s="4" t="s">
        <v>12</v>
      </c>
      <c r="O2" s="3" t="s">
        <v>10</v>
      </c>
    </row>
    <row r="3" spans="1:15" x14ac:dyDescent="0.25">
      <c r="A3" s="6" t="s">
        <v>13</v>
      </c>
      <c r="B3" s="1">
        <v>90210</v>
      </c>
      <c r="C3" s="7" t="str">
        <f>IF(ISERROR(LOOKUP(2^15,SEARCH(B3,'2023'!$B$3:$B$1734,1),'2023'!$A$3:$A$1734)),"NO","SI")</f>
        <v>NO</v>
      </c>
      <c r="D3" s="7" t="str">
        <f>IF(ISERROR(LOOKUP(2^15,SEARCH(B3,'2022'!$B$2:$B$1591,1),'2022'!$A$2:$A$1591)),"NO","SI")</f>
        <v>NO</v>
      </c>
      <c r="E3" s="7" t="str">
        <f>IF(ISERROR(LOOKUP(2^15,SEARCH(B3,'2021'!$B$2:$B$1494,1),'2021'!$A$2:$A$1494)),"NO","SI")</f>
        <v>NO</v>
      </c>
      <c r="F3" s="7" t="str">
        <f>IF(ISERROR(LOOKUP(2^15,SEARCH(B3,'2020'!$B$2:$B$1278,1),'2020'!$A$2:$A$1278)),"NO","SI")</f>
        <v>NO</v>
      </c>
      <c r="G3" s="7" t="str">
        <f>IF(ISERROR(LOOKUP(2^15,SEARCH(B3,'2019'!$B$2:$B$1108,1),'2019'!$A$2:$A$1108)),"NO","SI")</f>
        <v>NO</v>
      </c>
      <c r="H3" s="7" t="str">
        <f>IF(ISERROR(LOOKUP(2^15,SEARCH(B3,'2018'!$B$1:$B$1047,1),'2018'!$A$1:$A$1047)),"NO","SI")</f>
        <v>NO</v>
      </c>
      <c r="I3" s="8" t="str">
        <f>IF(ISERROR(LOOKUP(2^15,SEARCH(B3,'ALERTA SANITARIA'!$B$2:$B$269,1),'2018'!$A$1:$A$1047)),"NO","SI")</f>
        <v>SI</v>
      </c>
      <c r="J3" s="6" t="str">
        <f t="shared" ref="J3:J257" si="0">IF(AND(C3="NO", I3="NO"), "Ninguno",IF(AND(C3="NO", I3="SI"), "COFEPRIS",IF(AND(C3="SI",I3="NO"),"DOF","AMBOS")))</f>
        <v>COFEPRIS</v>
      </c>
      <c r="K3" s="6" t="str">
        <f t="array" ref="K3">IFERROR(INDEX(Anterior!$C$1:$D$323,MATCH(B3,Anterior!$B$2:$B$323,0)+1,2),0)</f>
        <v>COFEPRIS</v>
      </c>
      <c r="L3" s="6" t="str">
        <f t="shared" ref="L3:L257" si="1">IF(K3=J3,"coinciden",IF(K3=0,"Nuevo","Discrepan"))</f>
        <v>coinciden</v>
      </c>
      <c r="M3" s="2" t="s">
        <v>14</v>
      </c>
    </row>
    <row r="4" spans="1:15" x14ac:dyDescent="0.25">
      <c r="A4" s="6" t="s">
        <v>15</v>
      </c>
      <c r="B4" s="1" t="s">
        <v>16</v>
      </c>
      <c r="C4" s="7" t="str">
        <f>IF(ISERROR(LOOKUP(2^15,SEARCH(B4,'2023'!$B$3:$B$1734,1),'2023'!$A$3:$A$1734)),"NO","SI")</f>
        <v>NO</v>
      </c>
      <c r="D4" s="7" t="str">
        <f>IF(ISERROR(LOOKUP(2^15,SEARCH(B4,'2022'!$B$2:$B$1591,1),'2022'!$A$2:$A$1591)),"NO","SI")</f>
        <v>NO</v>
      </c>
      <c r="E4" s="7" t="str">
        <f>IF(ISERROR(LOOKUP(2^15,SEARCH(B4,'2021'!$B$2:$B$1494,1),'2021'!$A$2:$A$1494)),"NO","SI")</f>
        <v>NO</v>
      </c>
      <c r="F4" s="7" t="str">
        <f>IF(ISERROR(LOOKUP(2^15,SEARCH(B4,'2020'!$B$2:$B$1278,1),'2020'!$A$2:$A$1278)),"NO","SI")</f>
        <v>NO</v>
      </c>
      <c r="G4" s="7" t="str">
        <f>IF(ISERROR(LOOKUP(2^15,SEARCH(B4,'2019'!$B$2:$B$1108,1),'2019'!$A$2:$A$1108)),"NO","SI")</f>
        <v>NO</v>
      </c>
      <c r="H4" s="7" t="str">
        <f>IF(ISERROR(LOOKUP(2^15,SEARCH(B4,'2018'!$B$1:$B$1047,1),'2018'!$A$1:$A$1047)),"NO","SI")</f>
        <v>NO</v>
      </c>
      <c r="I4" s="8" t="str">
        <f>IF(ISERROR(LOOKUP(2^15,SEARCH(B4,'ALERTA SANITARIA'!$B$2:$B$269,1),'2018'!$A$1:$A$1047)),"NO","SI")</f>
        <v>SI</v>
      </c>
      <c r="J4" s="6" t="str">
        <f t="shared" si="0"/>
        <v>COFEPRIS</v>
      </c>
      <c r="K4" s="6" t="str">
        <f t="array" ref="K4">IFERROR(INDEX(Anterior!$C$1:$D$323,MATCH(B4,Anterior!$B$2:$B$323,0)+1,2),0)</f>
        <v>COFEPRIS</v>
      </c>
      <c r="L4" s="6" t="str">
        <f t="shared" si="1"/>
        <v>coinciden</v>
      </c>
      <c r="M4" s="2" t="s">
        <v>14</v>
      </c>
    </row>
    <row r="5" spans="1:15" x14ac:dyDescent="0.25">
      <c r="A5" s="6" t="s">
        <v>17</v>
      </c>
      <c r="B5" s="1" t="s">
        <v>18</v>
      </c>
      <c r="C5" s="7" t="str">
        <f>IF(ISERROR(LOOKUP(2^15,SEARCH(B5,'2023'!$B$3:$B$1734,1),'2023'!$A$3:$A$1734)),"NO","SI")</f>
        <v>NO</v>
      </c>
      <c r="D5" s="7" t="str">
        <f>IF(ISERROR(LOOKUP(2^15,SEARCH(B5,'2022'!$B$2:$B$1591,1),'2022'!$A$2:$A$1591)),"NO","SI")</f>
        <v>NO</v>
      </c>
      <c r="E5" s="7" t="str">
        <f>IF(ISERROR(LOOKUP(2^15,SEARCH(B5,'2021'!$B$2:$B$1494,1),'2021'!$A$2:$A$1494)),"NO","SI")</f>
        <v>NO</v>
      </c>
      <c r="F5" s="7" t="str">
        <f>IF(ISERROR(LOOKUP(2^15,SEARCH(B5,'2020'!$B$2:$B$1278,1),'2020'!$A$2:$A$1278)),"NO","SI")</f>
        <v>NO</v>
      </c>
      <c r="G5" s="7" t="str">
        <f>IF(ISERROR(LOOKUP(2^15,SEARCH(B5,'2019'!$B$2:$B$1108,1),'2019'!$A$2:$A$1108)),"NO","SI")</f>
        <v>NO</v>
      </c>
      <c r="H5" s="7" t="str">
        <f>IF(ISERROR(LOOKUP(2^15,SEARCH(B5,'2018'!$B$1:$B$1047,1),'2018'!$A$1:$A$1047)),"NO","SI")</f>
        <v>NO</v>
      </c>
      <c r="I5" s="8" t="str">
        <f>IF(ISERROR(LOOKUP(2^15,SEARCH(B5,'ALERTA SANITARIA'!$B$2:$B$269,1),'2018'!$A$1:$A$1047)),"NO","SI")</f>
        <v>SI</v>
      </c>
      <c r="J5" s="6" t="str">
        <f t="shared" si="0"/>
        <v>COFEPRIS</v>
      </c>
      <c r="K5" s="6" t="str">
        <f t="array" ref="K5">IFERROR(INDEX(Anterior!$C$1:$D$323,MATCH(B5,Anterior!$B$2:$B$323,0)+1,2),0)</f>
        <v>COFEPRIS</v>
      </c>
      <c r="L5" s="6" t="str">
        <f t="shared" si="1"/>
        <v>coinciden</v>
      </c>
      <c r="M5" s="2" t="s">
        <v>14</v>
      </c>
    </row>
    <row r="6" spans="1:15" x14ac:dyDescent="0.25">
      <c r="A6" s="6" t="s">
        <v>19</v>
      </c>
      <c r="B6" s="1" t="s">
        <v>20</v>
      </c>
      <c r="C6" s="7" t="str">
        <f>IF(ISERROR(LOOKUP(2^15,SEARCH(B6,'2023'!$B$3:$B$1734,1),'2023'!$A$3:$A$1734)),"NO","SI")</f>
        <v>NO</v>
      </c>
      <c r="D6" s="7" t="str">
        <f>IF(ISERROR(LOOKUP(2^15,SEARCH(B6,'2022'!$B$2:$B$1591,1),'2022'!$A$2:$A$1591)),"NO","SI")</f>
        <v>NO</v>
      </c>
      <c r="E6" s="7" t="str">
        <f>IF(ISERROR(LOOKUP(2^15,SEARCH(B6,'2021'!$B$2:$B$1494,1),'2021'!$A$2:$A$1494)),"NO","SI")</f>
        <v>NO</v>
      </c>
      <c r="F6" s="7" t="str">
        <f>IF(ISERROR(LOOKUP(2^15,SEARCH(B6,'2020'!$B$2:$B$1278,1),'2020'!$A$2:$A$1278)),"NO","SI")</f>
        <v>NO</v>
      </c>
      <c r="G6" s="7" t="str">
        <f>IF(ISERROR(LOOKUP(2^15,SEARCH(B6,'2019'!$B$2:$B$1108,1),'2019'!$A$2:$A$1108)),"NO","SI")</f>
        <v>NO</v>
      </c>
      <c r="H6" s="7" t="str">
        <f>IF(ISERROR(LOOKUP(2^15,SEARCH(B6,'2018'!$B$1:$B$1047,1),'2018'!$A$1:$A$1047)),"NO","SI")</f>
        <v>NO</v>
      </c>
      <c r="I6" s="8" t="str">
        <f>IF(ISERROR(LOOKUP(2^15,SEARCH(B6,'ALERTA SANITARIA'!$B$2:$B$269,1),'2018'!$A$1:$A$1047)),"NO","SI")</f>
        <v>SI</v>
      </c>
      <c r="J6" s="6" t="str">
        <f t="shared" si="0"/>
        <v>COFEPRIS</v>
      </c>
      <c r="K6" s="6" t="str">
        <f t="array" ref="K6">IFERROR(INDEX(Anterior!$C$1:$D$323,MATCH(B6,Anterior!$B$2:$B$323,0)+1,2),0)</f>
        <v>COFEPRIS</v>
      </c>
      <c r="L6" s="6" t="str">
        <f t="shared" si="1"/>
        <v>coinciden</v>
      </c>
      <c r="M6" s="2" t="s">
        <v>14</v>
      </c>
    </row>
    <row r="7" spans="1:15" x14ac:dyDescent="0.25">
      <c r="A7" s="6" t="s">
        <v>21</v>
      </c>
      <c r="B7" s="1" t="s">
        <v>22</v>
      </c>
      <c r="C7" s="7" t="str">
        <f>IF(ISERROR(LOOKUP(2^15,SEARCH(B7,'2023'!$B$3:$B$1734,1),'2023'!$A$3:$A$1734)),"NO","SI")</f>
        <v>NO</v>
      </c>
      <c r="D7" s="7" t="str">
        <f>IF(ISERROR(LOOKUP(2^15,SEARCH(B7,'2022'!$B$2:$B$1591,1),'2022'!$A$2:$A$1591)),"NO","SI")</f>
        <v>NO</v>
      </c>
      <c r="E7" s="7" t="str">
        <f>IF(ISERROR(LOOKUP(2^15,SEARCH(B7,'2021'!$B$2:$B$1494,1),'2021'!$A$2:$A$1494)),"NO","SI")</f>
        <v>NO</v>
      </c>
      <c r="F7" s="7" t="str">
        <f>IF(ISERROR(LOOKUP(2^15,SEARCH(B7,'2020'!$B$2:$B$1278,1),'2020'!$A$2:$A$1278)),"NO","SI")</f>
        <v>NO</v>
      </c>
      <c r="G7" s="7" t="str">
        <f>IF(ISERROR(LOOKUP(2^15,SEARCH(B7,'2019'!$B$2:$B$1108,1),'2019'!$A$2:$A$1108)),"NO","SI")</f>
        <v>NO</v>
      </c>
      <c r="H7" s="7" t="str">
        <f>IF(ISERROR(LOOKUP(2^15,SEARCH(B7,'2018'!$B$1:$B$1047,1),'2018'!$A$1:$A$1047)),"NO","SI")</f>
        <v>NO</v>
      </c>
      <c r="I7" s="8" t="str">
        <f>IF(ISERROR(LOOKUP(2^15,SEARCH(B7,'ALERTA SANITARIA'!$B$2:$B$269,1),'2018'!$A$1:$A$1047)),"NO","SI")</f>
        <v>SI</v>
      </c>
      <c r="J7" s="6" t="str">
        <f t="shared" si="0"/>
        <v>COFEPRIS</v>
      </c>
      <c r="K7" s="6" t="str">
        <f t="array" ref="K7">IFERROR(INDEX(Anterior!$C$1:$D$323,MATCH(B7,Anterior!$B$2:$B$323,0)+1,2),0)</f>
        <v>COFEPRIS</v>
      </c>
      <c r="L7" s="6" t="str">
        <f t="shared" si="1"/>
        <v>coinciden</v>
      </c>
      <c r="M7" s="2" t="s">
        <v>14</v>
      </c>
    </row>
    <row r="8" spans="1:15" x14ac:dyDescent="0.25">
      <c r="A8" s="6" t="s">
        <v>23</v>
      </c>
      <c r="B8" s="1" t="s">
        <v>24</v>
      </c>
      <c r="C8" s="7" t="str">
        <f>IF(ISERROR(LOOKUP(2^15,SEARCH(B8,'2023'!$B$3:$B$1734,1),'2023'!$A$3:$A$1734)),"NO","SI")</f>
        <v>SI</v>
      </c>
      <c r="D8" s="7" t="str">
        <f>IF(ISERROR(LOOKUP(2^15,SEARCH(B8,'2022'!$B$2:$B$1591,1),'2022'!$A$2:$A$1591)),"NO","SI")</f>
        <v>SI</v>
      </c>
      <c r="E8" s="7" t="str">
        <f>IF(ISERROR(LOOKUP(2^15,SEARCH(B8,'2021'!$B$2:$B$1494,1),'2021'!$A$2:$A$1494)),"NO","SI")</f>
        <v>SI</v>
      </c>
      <c r="F8" s="7" t="str">
        <f>IF(ISERROR(LOOKUP(2^15,SEARCH(B8,'2020'!$B$2:$B$1278,1),'2020'!$A$2:$A$1278)),"NO","SI")</f>
        <v>SI</v>
      </c>
      <c r="G8" s="7" t="str">
        <f>IF(ISERROR(LOOKUP(2^15,SEARCH(B8,'2019'!$B$2:$B$1108,1),'2019'!$A$2:$A$1108)),"NO","SI")</f>
        <v>SI</v>
      </c>
      <c r="H8" s="7" t="str">
        <f>IF(ISERROR(LOOKUP(2^15,SEARCH(B8,'2018'!$B$1:$B$1047,1),'2018'!$A$1:$A$1047)),"NO","SI")</f>
        <v>SI</v>
      </c>
      <c r="I8" s="8" t="str">
        <f>IF(ISERROR(LOOKUP(2^15,SEARCH(B8,'ALERTA SANITARIA'!$B$2:$B$269,1),'2018'!$A$1:$A$1047)),"NO","SI")</f>
        <v>NO</v>
      </c>
      <c r="J8" s="6" t="str">
        <f t="shared" si="0"/>
        <v>DOF</v>
      </c>
      <c r="K8" s="6" t="str">
        <f t="array" ref="K8">IFERROR(INDEX(Anterior!$C$1:$D$323,MATCH(B8,Anterior!$B$2:$B$323,0)+1,2),0)</f>
        <v>DOF</v>
      </c>
      <c r="L8" s="6" t="str">
        <f t="shared" si="1"/>
        <v>coinciden</v>
      </c>
      <c r="M8" s="2" t="s">
        <v>25</v>
      </c>
    </row>
    <row r="9" spans="1:15" x14ac:dyDescent="0.25">
      <c r="A9" s="6" t="s">
        <v>26</v>
      </c>
      <c r="B9" s="1" t="s">
        <v>27</v>
      </c>
      <c r="C9" s="7" t="str">
        <f>IF(ISERROR(LOOKUP(2^15,SEARCH(B9,'2023'!$B$3:$B$1734,1),'2023'!$A$3:$A$1734)),"NO","SI")</f>
        <v>NO</v>
      </c>
      <c r="D9" s="7" t="str">
        <f>IF(ISERROR(LOOKUP(2^15,SEARCH(B9,'2022'!$B$2:$B$1591,1),'2022'!$A$2:$A$1591)),"NO","SI")</f>
        <v>NO</v>
      </c>
      <c r="E9" s="7" t="str">
        <f>IF(ISERROR(LOOKUP(2^15,SEARCH(B9,'2021'!$B$2:$B$1494,1),'2021'!$A$2:$A$1494)),"NO","SI")</f>
        <v>NO</v>
      </c>
      <c r="F9" s="7" t="str">
        <f>IF(ISERROR(LOOKUP(2^15,SEARCH(B9,'2020'!$B$2:$B$1278,1),'2020'!$A$2:$A$1278)),"NO","SI")</f>
        <v>NO</v>
      </c>
      <c r="G9" s="7" t="str">
        <f>IF(ISERROR(LOOKUP(2^15,SEARCH(B9,'2019'!$B$2:$B$1108,1),'2019'!$A$2:$A$1108)),"NO","SI")</f>
        <v>NO</v>
      </c>
      <c r="H9" s="7" t="str">
        <f>IF(ISERROR(LOOKUP(2^15,SEARCH(B9,'2018'!$B$1:$B$1047,1),'2018'!$A$1:$A$1047)),"NO","SI")</f>
        <v>NO</v>
      </c>
      <c r="I9" s="8" t="str">
        <f>IF(ISERROR(LOOKUP(2^15,SEARCH(B9,'ALERTA SANITARIA'!$B$2:$B$269,1),'2018'!$A$1:$A$1047)),"NO","SI")</f>
        <v>SI</v>
      </c>
      <c r="J9" s="6" t="str">
        <f t="shared" si="0"/>
        <v>COFEPRIS</v>
      </c>
      <c r="K9" s="6" t="str">
        <f t="array" ref="K9">IFERROR(INDEX(Anterior!$C$1:$D$323,MATCH(B9,Anterior!$B$2:$B$323,0)+1,2),0)</f>
        <v>COFEPRIS</v>
      </c>
      <c r="L9" s="6" t="str">
        <f t="shared" si="1"/>
        <v>coinciden</v>
      </c>
      <c r="M9" s="2"/>
    </row>
    <row r="10" spans="1:15" x14ac:dyDescent="0.25">
      <c r="A10" s="6" t="s">
        <v>28</v>
      </c>
      <c r="B10" s="1" t="s">
        <v>29</v>
      </c>
      <c r="C10" s="7" t="str">
        <f>IF(ISERROR(LOOKUP(2^15,SEARCH(B10,'2023'!$B$3:$B$1734,1),'2023'!$A$3:$A$1734)),"NO","SI")</f>
        <v>NO</v>
      </c>
      <c r="D10" s="7" t="str">
        <f>IF(ISERROR(LOOKUP(2^15,SEARCH(B10,'2022'!$B$2:$B$1591,1),'2022'!$A$2:$A$1591)),"NO","SI")</f>
        <v>NO</v>
      </c>
      <c r="E10" s="7" t="str">
        <f>IF(ISERROR(LOOKUP(2^15,SEARCH(B10,'2021'!$B$2:$B$1494,1),'2021'!$A$2:$A$1494)),"NO","SI")</f>
        <v>NO</v>
      </c>
      <c r="F10" s="7" t="str">
        <f>IF(ISERROR(LOOKUP(2^15,SEARCH(B10,'2020'!$B$2:$B$1278,1),'2020'!$A$2:$A$1278)),"NO","SI")</f>
        <v>NO</v>
      </c>
      <c r="G10" s="7" t="str">
        <f>IF(ISERROR(LOOKUP(2^15,SEARCH(B10,'2019'!$B$2:$B$1108,1),'2019'!$A$2:$A$1108)),"NO","SI")</f>
        <v>NO</v>
      </c>
      <c r="H10" s="7" t="str">
        <f>IF(ISERROR(LOOKUP(2^15,SEARCH(B10,'2018'!$B$1:$B$1047,1),'2018'!$A$1:$A$1047)),"NO","SI")</f>
        <v>NO</v>
      </c>
      <c r="I10" s="8" t="str">
        <f>IF(ISERROR(LOOKUP(2^15,SEARCH(B10,'ALERTA SANITARIA'!$B$2:$B$269,1),'2018'!$A$1:$A$1047)),"NO","SI")</f>
        <v>SI</v>
      </c>
      <c r="J10" s="6" t="str">
        <f t="shared" si="0"/>
        <v>COFEPRIS</v>
      </c>
      <c r="K10" s="6" t="str">
        <f t="array" ref="K10">IFERROR(INDEX(Anterior!$C$1:$D$323,MATCH(B10,Anterior!$B$2:$B$323,0)+1,2),0)</f>
        <v>COFEPRIS</v>
      </c>
      <c r="L10" s="6" t="str">
        <f t="shared" si="1"/>
        <v>coinciden</v>
      </c>
      <c r="M10" s="2"/>
    </row>
    <row r="11" spans="1:15" x14ac:dyDescent="0.25">
      <c r="A11" s="6" t="s">
        <v>30</v>
      </c>
      <c r="B11" s="1" t="s">
        <v>31</v>
      </c>
      <c r="C11" s="7" t="str">
        <f>IF(ISERROR(LOOKUP(2^15,SEARCH(B11,'2023'!$B$3:$B$1734,1),'2023'!$A$3:$A$1734)),"NO","SI")</f>
        <v>NO</v>
      </c>
      <c r="D11" s="7" t="str">
        <f>IF(ISERROR(LOOKUP(2^15,SEARCH(B11,'2022'!$B$2:$B$1591,1),'2022'!$A$2:$A$1591)),"NO","SI")</f>
        <v>NO</v>
      </c>
      <c r="E11" s="7" t="str">
        <f>IF(ISERROR(LOOKUP(2^15,SEARCH(B11,'2021'!$B$2:$B$1494,1),'2021'!$A$2:$A$1494)),"NO","SI")</f>
        <v>NO</v>
      </c>
      <c r="F11" s="7" t="str">
        <f>IF(ISERROR(LOOKUP(2^15,SEARCH(B11,'2020'!$B$2:$B$1278,1),'2020'!$A$2:$A$1278)),"NO","SI")</f>
        <v>NO</v>
      </c>
      <c r="G11" s="7" t="str">
        <f>IF(ISERROR(LOOKUP(2^15,SEARCH(B11,'2019'!$B$2:$B$1108,1),'2019'!$A$2:$A$1108)),"NO","SI")</f>
        <v>NO</v>
      </c>
      <c r="H11" s="7" t="str">
        <f>IF(ISERROR(LOOKUP(2^15,SEARCH(B11,'2018'!$B$1:$B$1047,1),'2018'!$A$1:$A$1047)),"NO","SI")</f>
        <v>NO</v>
      </c>
      <c r="I11" s="8" t="str">
        <f>IF(ISERROR(LOOKUP(2^15,SEARCH(B11,'ALERTA SANITARIA'!$B$2:$B$269,1),'2018'!$A$1:$A$1047)),"NO","SI")</f>
        <v>SI</v>
      </c>
      <c r="J11" s="6" t="str">
        <f t="shared" si="0"/>
        <v>COFEPRIS</v>
      </c>
      <c r="K11" s="6" t="str">
        <f t="array" ref="K11">IFERROR(INDEX(Anterior!$C$1:$D$323,MATCH(B11,Anterior!$B$2:$B$323,0)+1,2),0)</f>
        <v>COFEPRIS</v>
      </c>
      <c r="L11" s="6" t="str">
        <f t="shared" si="1"/>
        <v>coinciden</v>
      </c>
      <c r="M11" s="2"/>
    </row>
    <row r="12" spans="1:15" x14ac:dyDescent="0.25">
      <c r="A12" s="6" t="s">
        <v>32</v>
      </c>
      <c r="B12" s="1" t="s">
        <v>33</v>
      </c>
      <c r="C12" s="7" t="str">
        <f>IF(ISERROR(LOOKUP(2^15,SEARCH(B12,'2023'!$B$3:$B$1734,1),'2023'!$A$3:$A$1734)),"NO","SI")</f>
        <v>SI</v>
      </c>
      <c r="D12" s="7" t="str">
        <f>IF(ISERROR(LOOKUP(2^15,SEARCH(B12,'2022'!$B$2:$B$1591,1),'2022'!$A$2:$A$1591)),"NO","SI")</f>
        <v>SI</v>
      </c>
      <c r="E12" s="7" t="str">
        <f>IF(ISERROR(LOOKUP(2^15,SEARCH(B12,'2021'!$B$2:$B$1494,1),'2021'!$A$2:$A$1494)),"NO","SI")</f>
        <v>SI</v>
      </c>
      <c r="F12" s="7" t="str">
        <f>IF(ISERROR(LOOKUP(2^15,SEARCH(B12,'2020'!$B$2:$B$1278,1),'2020'!$A$2:$A$1278)),"NO","SI")</f>
        <v>SI</v>
      </c>
      <c r="G12" s="7" t="str">
        <f>IF(ISERROR(LOOKUP(2^15,SEARCH(B12,'2019'!$B$2:$B$1108,1),'2019'!$A$2:$A$1108)),"NO","SI")</f>
        <v>SI</v>
      </c>
      <c r="H12" s="7" t="str">
        <f>IF(ISERROR(LOOKUP(2^15,SEARCH(B12,'2018'!$B$1:$B$1047,1),'2018'!$A$1:$A$1047)),"NO","SI")</f>
        <v>SI</v>
      </c>
      <c r="I12" s="8" t="str">
        <f>IF(ISERROR(LOOKUP(2^15,SEARCH(B12,'ALERTA SANITARIA'!$B$2:$B$269,1),'2018'!$A$1:$A$1047)),"NO","SI")</f>
        <v>SI</v>
      </c>
      <c r="J12" s="6" t="str">
        <f t="shared" si="0"/>
        <v>AMBOS</v>
      </c>
      <c r="K12" s="6" t="str">
        <f t="array" ref="K12">IFERROR(INDEX(Anterior!$C$1:$D$323,MATCH(B12,Anterior!$B$2:$B$323,0)+1,2),0)</f>
        <v>COFEPRIS</v>
      </c>
      <c r="L12" s="6" t="str">
        <f t="shared" si="1"/>
        <v>Discrepan</v>
      </c>
      <c r="M12" s="2" t="s">
        <v>14</v>
      </c>
    </row>
    <row r="13" spans="1:15" x14ac:dyDescent="0.25">
      <c r="A13" s="6" t="s">
        <v>34</v>
      </c>
      <c r="B13" s="1" t="s">
        <v>35</v>
      </c>
      <c r="C13" s="7" t="str">
        <f>IF(ISERROR(LOOKUP(2^15,SEARCH(B13,'2023'!$B$3:$B$1734,1),'2023'!$A$3:$A$1734)),"NO","SI")</f>
        <v>NO</v>
      </c>
      <c r="D13" s="7" t="str">
        <f>IF(ISERROR(LOOKUP(2^15,SEARCH(B13,'2022'!$B$2:$B$1591,1),'2022'!$A$2:$A$1591)),"NO","SI")</f>
        <v>NO</v>
      </c>
      <c r="E13" s="7" t="str">
        <f>IF(ISERROR(LOOKUP(2^15,SEARCH(B13,'2021'!$B$2:$B$1494,1),'2021'!$A$2:$A$1494)),"NO","SI")</f>
        <v>NO</v>
      </c>
      <c r="F13" s="7" t="str">
        <f>IF(ISERROR(LOOKUP(2^15,SEARCH(B13,'2020'!$B$2:$B$1278,1),'2020'!$A$2:$A$1278)),"NO","SI")</f>
        <v>NO</v>
      </c>
      <c r="G13" s="7" t="str">
        <f>IF(ISERROR(LOOKUP(2^15,SEARCH(B13,'2019'!$B$2:$B$1108,1),'2019'!$A$2:$A$1108)),"NO","SI")</f>
        <v>NO</v>
      </c>
      <c r="H13" s="7" t="str">
        <f>IF(ISERROR(LOOKUP(2^15,SEARCH(B13,'2018'!$B$1:$B$1047,1),'2018'!$A$1:$A$1047)),"NO","SI")</f>
        <v>NO</v>
      </c>
      <c r="I13" s="8" t="str">
        <f>IF(ISERROR(LOOKUP(2^15,SEARCH(B13,'ALERTA SANITARIA'!$B$2:$B$269,1),'2018'!$A$1:$A$1047)),"NO","SI")</f>
        <v>SI</v>
      </c>
      <c r="J13" s="6" t="str">
        <f t="shared" si="0"/>
        <v>COFEPRIS</v>
      </c>
      <c r="K13" s="6">
        <f t="array" ref="K13">IFERROR(INDEX(Anterior!$C$1:$D$323,MATCH(B13,Anterior!$B$2:$B$323,0)+1,2),0)</f>
        <v>0</v>
      </c>
      <c r="L13" s="6" t="str">
        <f t="shared" si="1"/>
        <v>Nuevo</v>
      </c>
      <c r="M13" s="2"/>
    </row>
    <row r="14" spans="1:15" x14ac:dyDescent="0.25">
      <c r="A14" s="6" t="s">
        <v>36</v>
      </c>
      <c r="B14" s="1" t="s">
        <v>37</v>
      </c>
      <c r="C14" s="7" t="str">
        <f>IF(ISERROR(LOOKUP(2^15,SEARCH(B14,'2023'!$B$3:$B$1734,1),'2023'!$A$3:$A$1734)),"NO","SI")</f>
        <v>NO</v>
      </c>
      <c r="D14" s="7" t="str">
        <f>IF(ISERROR(LOOKUP(2^15,SEARCH(B14,'2022'!$B$2:$B$1591,1),'2022'!$A$2:$A$1591)),"NO","SI")</f>
        <v>NO</v>
      </c>
      <c r="E14" s="7" t="str">
        <f>IF(ISERROR(LOOKUP(2^15,SEARCH(B14,'2021'!$B$2:$B$1494,1),'2021'!$A$2:$A$1494)),"NO","SI")</f>
        <v>NO</v>
      </c>
      <c r="F14" s="7" t="str">
        <f>IF(ISERROR(LOOKUP(2^15,SEARCH(B14,'2020'!$B$2:$B$1278,1),'2020'!$A$2:$A$1278)),"NO","SI")</f>
        <v>NO</v>
      </c>
      <c r="G14" s="7" t="str">
        <f>IF(ISERROR(LOOKUP(2^15,SEARCH(B14,'2019'!$B$2:$B$1108,1),'2019'!$A$2:$A$1108)),"NO","SI")</f>
        <v>NO</v>
      </c>
      <c r="H14" s="7" t="str">
        <f>IF(ISERROR(LOOKUP(2^15,SEARCH(B14,'2018'!$B$1:$B$1047,1),'2018'!$A$1:$A$1047)),"NO","SI")</f>
        <v>NO</v>
      </c>
      <c r="I14" s="8" t="str">
        <f>IF(ISERROR(LOOKUP(2^15,SEARCH(B14,'ALERTA SANITARIA'!$B$2:$B$269,1),'2018'!$A$1:$A$1047)),"NO","SI")</f>
        <v>SI</v>
      </c>
      <c r="J14" s="6" t="str">
        <f t="shared" si="0"/>
        <v>COFEPRIS</v>
      </c>
      <c r="K14" s="6" t="str">
        <f t="array" ref="K14">IFERROR(INDEX(Anterior!$C$1:$D$323,MATCH(B14,Anterior!$B$2:$B$323,0)+1,2),0)</f>
        <v>COFEPRIS</v>
      </c>
      <c r="L14" s="6" t="str">
        <f t="shared" si="1"/>
        <v>coinciden</v>
      </c>
      <c r="M14" s="2"/>
    </row>
    <row r="15" spans="1:15" x14ac:dyDescent="0.25">
      <c r="A15" s="6" t="s">
        <v>38</v>
      </c>
      <c r="B15" s="1" t="s">
        <v>39</v>
      </c>
      <c r="C15" s="7" t="str">
        <f>IF(ISERROR(LOOKUP(2^15,SEARCH(B15,'2023'!$B$3:$B$1734,1),'2023'!$A$3:$A$1734)),"NO","SI")</f>
        <v>NO</v>
      </c>
      <c r="D15" s="7" t="str">
        <f>IF(ISERROR(LOOKUP(2^15,SEARCH(B15,'2022'!$B$2:$B$1591,1),'2022'!$A$2:$A$1591)),"NO","SI")</f>
        <v>NO</v>
      </c>
      <c r="E15" s="7" t="str">
        <f>IF(ISERROR(LOOKUP(2^15,SEARCH(B15,'2021'!$B$2:$B$1494,1),'2021'!$A$2:$A$1494)),"NO","SI")</f>
        <v>NO</v>
      </c>
      <c r="F15" s="7" t="str">
        <f>IF(ISERROR(LOOKUP(2^15,SEARCH(B15,'2020'!$B$2:$B$1278,1),'2020'!$A$2:$A$1278)),"NO","SI")</f>
        <v>NO</v>
      </c>
      <c r="G15" s="7" t="str">
        <f>IF(ISERROR(LOOKUP(2^15,SEARCH(B15,'2019'!$B$2:$B$1108,1),'2019'!$A$2:$A$1108)),"NO","SI")</f>
        <v>NO</v>
      </c>
      <c r="H15" s="7" t="str">
        <f>IF(ISERROR(LOOKUP(2^15,SEARCH(B15,'2018'!$B$1:$B$1047,1),'2018'!$A$1:$A$1047)),"NO","SI")</f>
        <v>NO</v>
      </c>
      <c r="I15" s="8" t="str">
        <f>IF(ISERROR(LOOKUP(2^15,SEARCH(B15,'ALERTA SANITARIA'!$B$2:$B$269,1),'2018'!$A$1:$A$1047)),"NO","SI")</f>
        <v>SI</v>
      </c>
      <c r="J15" s="6" t="str">
        <f t="shared" si="0"/>
        <v>COFEPRIS</v>
      </c>
      <c r="K15" s="6">
        <f t="array" ref="K15">IFERROR(INDEX(Anterior!$C$1:$D$323,MATCH(B15,Anterior!$B$2:$B$323,0)+1,2),0)</f>
        <v>0</v>
      </c>
      <c r="L15" s="6" t="str">
        <f t="shared" si="1"/>
        <v>Nuevo</v>
      </c>
      <c r="M15" s="2"/>
    </row>
    <row r="16" spans="1:15" x14ac:dyDescent="0.25">
      <c r="A16" s="6" t="s">
        <v>40</v>
      </c>
      <c r="B16" s="1" t="s">
        <v>41</v>
      </c>
      <c r="C16" s="7" t="str">
        <f>IF(ISERROR(LOOKUP(2^15,SEARCH(B16,'2023'!$B$3:$B$1734,1),'2023'!$A$3:$A$1734)),"NO","SI")</f>
        <v>NO</v>
      </c>
      <c r="D16" s="7" t="str">
        <f>IF(ISERROR(LOOKUP(2^15,SEARCH(B16,'2022'!$B$2:$B$1591,1),'2022'!$A$2:$A$1591)),"NO","SI")</f>
        <v>NO</v>
      </c>
      <c r="E16" s="7" t="str">
        <f>IF(ISERROR(LOOKUP(2^15,SEARCH(B16,'2021'!$B$2:$B$1494,1),'2021'!$A$2:$A$1494)),"NO","SI")</f>
        <v>NO</v>
      </c>
      <c r="F16" s="7" t="str">
        <f>IF(ISERROR(LOOKUP(2^15,SEARCH(B16,'2020'!$B$2:$B$1278,1),'2020'!$A$2:$A$1278)),"NO","SI")</f>
        <v>NO</v>
      </c>
      <c r="G16" s="7" t="str">
        <f>IF(ISERROR(LOOKUP(2^15,SEARCH(B16,'2019'!$B$2:$B$1108,1),'2019'!$A$2:$A$1108)),"NO","SI")</f>
        <v>NO</v>
      </c>
      <c r="H16" s="7" t="str">
        <f>IF(ISERROR(LOOKUP(2^15,SEARCH(B16,'2018'!$B$1:$B$1047,1),'2018'!$A$1:$A$1047)),"NO","SI")</f>
        <v>NO</v>
      </c>
      <c r="I16" s="8" t="str">
        <f>IF(ISERROR(LOOKUP(2^15,SEARCH(B16,'ALERTA SANITARIA'!$B$2:$B$269,1),'2018'!$A$1:$A$1047)),"NO","SI")</f>
        <v>SI</v>
      </c>
      <c r="J16" s="6" t="str">
        <f t="shared" si="0"/>
        <v>COFEPRIS</v>
      </c>
      <c r="K16" s="6" t="str">
        <f t="array" ref="K16">IFERROR(INDEX(Anterior!$C$1:$D$323,MATCH(B16,Anterior!$B$2:$B$323,0)+1,2),0)</f>
        <v>COFEPRIS</v>
      </c>
      <c r="L16" s="6" t="str">
        <f t="shared" si="1"/>
        <v>coinciden</v>
      </c>
      <c r="M16" s="2"/>
    </row>
    <row r="17" spans="1:13" x14ac:dyDescent="0.25">
      <c r="A17" s="6" t="s">
        <v>42</v>
      </c>
      <c r="B17" s="1" t="s">
        <v>43</v>
      </c>
      <c r="C17" s="7" t="str">
        <f>IF(ISERROR(LOOKUP(2^15,SEARCH(B17,'2023'!$B$3:$B$1734,1),'2023'!$A$3:$A$1734)),"NO","SI")</f>
        <v>SI</v>
      </c>
      <c r="D17" s="7" t="str">
        <f>IF(ISERROR(LOOKUP(2^15,SEARCH(B17,'2022'!$B$2:$B$1591,1),'2022'!$A$2:$A$1591)),"NO","SI")</f>
        <v>SI</v>
      </c>
      <c r="E17" s="7" t="str">
        <f>IF(ISERROR(LOOKUP(2^15,SEARCH(B17,'2021'!$B$2:$B$1494,1),'2021'!$A$2:$A$1494)),"NO","SI")</f>
        <v>SI</v>
      </c>
      <c r="F17" s="7" t="str">
        <f>IF(ISERROR(LOOKUP(2^15,SEARCH(B17,'2020'!$B$2:$B$1278,1),'2020'!$A$2:$A$1278)),"NO","SI")</f>
        <v>SI</v>
      </c>
      <c r="G17" s="7" t="str">
        <f>IF(ISERROR(LOOKUP(2^15,SEARCH(B17,'2019'!$B$2:$B$1108,1),'2019'!$A$2:$A$1108)),"NO","SI")</f>
        <v>SI</v>
      </c>
      <c r="H17" s="7" t="str">
        <f>IF(ISERROR(LOOKUP(2^15,SEARCH(B17,'2018'!$B$1:$B$1047,1),'2018'!$A$1:$A$1047)),"NO","SI")</f>
        <v>SI</v>
      </c>
      <c r="I17" s="8" t="str">
        <f>IF(ISERROR(LOOKUP(2^15,SEARCH(B17,'ALERTA SANITARIA'!$B$2:$B$269,1),'2018'!$A$1:$A$1047)),"NO","SI")</f>
        <v>NO</v>
      </c>
      <c r="J17" s="6" t="str">
        <f t="shared" si="0"/>
        <v>DOF</v>
      </c>
      <c r="K17" s="6" t="str">
        <f t="array" ref="K17">IFERROR(INDEX(Anterior!$C$1:$D$323,MATCH(B17,Anterior!$B$2:$B$323,0)+1,2),0)</f>
        <v>DOF</v>
      </c>
      <c r="L17" s="6" t="str">
        <f t="shared" si="1"/>
        <v>coinciden</v>
      </c>
      <c r="M17" s="2"/>
    </row>
    <row r="18" spans="1:13" x14ac:dyDescent="0.25">
      <c r="A18" s="6" t="s">
        <v>44</v>
      </c>
      <c r="B18" s="1" t="s">
        <v>45</v>
      </c>
      <c r="C18" s="7" t="str">
        <f>IF(ISERROR(LOOKUP(2^15,SEARCH(B18,'2023'!$B$3:$B$1734,1),'2023'!$A$3:$A$1734)),"NO","SI")</f>
        <v>SI</v>
      </c>
      <c r="D18" s="7" t="str">
        <f>IF(ISERROR(LOOKUP(2^15,SEARCH(B18,'2022'!$B$2:$B$1591,1),'2022'!$A$2:$A$1591)),"NO","SI")</f>
        <v>SI</v>
      </c>
      <c r="E18" s="7" t="str">
        <f>IF(ISERROR(LOOKUP(2^15,SEARCH(B18,'2021'!$B$2:$B$1494,1),'2021'!$A$2:$A$1494)),"NO","SI")</f>
        <v>SI</v>
      </c>
      <c r="F18" s="7" t="str">
        <f>IF(ISERROR(LOOKUP(2^15,SEARCH(B18,'2020'!$B$2:$B$1278,1),'2020'!$A$2:$A$1278)),"NO","SI")</f>
        <v>SI</v>
      </c>
      <c r="G18" s="7" t="str">
        <f>IF(ISERROR(LOOKUP(2^15,SEARCH(B18,'2019'!$B$2:$B$1108,1),'2019'!$A$2:$A$1108)),"NO","SI")</f>
        <v>SI</v>
      </c>
      <c r="H18" s="7" t="str">
        <f>IF(ISERROR(LOOKUP(2^15,SEARCH(B18,'2018'!$B$1:$B$1047,1),'2018'!$A$1:$A$1047)),"NO","SI")</f>
        <v>SI</v>
      </c>
      <c r="I18" s="8" t="str">
        <f>IF(ISERROR(LOOKUP(2^15,SEARCH(B18,'ALERTA SANITARIA'!$B$2:$B$269,1),'2018'!$A$1:$A$1047)),"NO","SI")</f>
        <v>NO</v>
      </c>
      <c r="J18" s="6" t="str">
        <f t="shared" si="0"/>
        <v>DOF</v>
      </c>
      <c r="K18" s="6" t="str">
        <f t="array" ref="K18">IFERROR(INDEX(Anterior!$C$1:$D$323,MATCH(B18,Anterior!$B$2:$B$323,0)+1,2),0)</f>
        <v>DOF</v>
      </c>
      <c r="L18" s="6" t="str">
        <f t="shared" si="1"/>
        <v>coinciden</v>
      </c>
      <c r="M18" s="2"/>
    </row>
    <row r="19" spans="1:13" x14ac:dyDescent="0.25">
      <c r="A19" s="6" t="s">
        <v>46</v>
      </c>
      <c r="B19" s="1" t="s">
        <v>47</v>
      </c>
      <c r="C19" s="7" t="str">
        <f>IF(ISERROR(LOOKUP(2^15,SEARCH(B19,'2023'!$B$3:$B$1734,1),'2023'!$A$3:$A$1734)),"NO","SI")</f>
        <v>NO</v>
      </c>
      <c r="D19" s="7" t="str">
        <f>IF(ISERROR(LOOKUP(2^15,SEARCH(B19,'2022'!$B$2:$B$1591,1),'2022'!$A$2:$A$1591)),"NO","SI")</f>
        <v>NO</v>
      </c>
      <c r="E19" s="7" t="str">
        <f>IF(ISERROR(LOOKUP(2^15,SEARCH(B19,'2021'!$B$2:$B$1494,1),'2021'!$A$2:$A$1494)),"NO","SI")</f>
        <v>NO</v>
      </c>
      <c r="F19" s="7" t="str">
        <f>IF(ISERROR(LOOKUP(2^15,SEARCH(B19,'2020'!$B$2:$B$1278,1),'2020'!$A$2:$A$1278)),"NO","SI")</f>
        <v>NO</v>
      </c>
      <c r="G19" s="7" t="str">
        <f>IF(ISERROR(LOOKUP(2^15,SEARCH(B19,'2019'!$B$2:$B$1108,1),'2019'!$A$2:$A$1108)),"NO","SI")</f>
        <v>NO</v>
      </c>
      <c r="H19" s="7" t="str">
        <f>IF(ISERROR(LOOKUP(2^15,SEARCH(B19,'2018'!$B$1:$B$1047,1),'2018'!$A$1:$A$1047)),"NO","SI")</f>
        <v>NO</v>
      </c>
      <c r="I19" s="8" t="str">
        <f>IF(ISERROR(LOOKUP(2^15,SEARCH(B19,'ALERTA SANITARIA'!$B$2:$B$269,1),'2018'!$A$1:$A$1047)),"NO","SI")</f>
        <v>SI</v>
      </c>
      <c r="J19" s="6" t="str">
        <f t="shared" si="0"/>
        <v>COFEPRIS</v>
      </c>
      <c r="K19" s="6" t="str">
        <f t="array" ref="K19">IFERROR(INDEX(Anterior!$C$1:$D$323,MATCH(B19,Anterior!$B$2:$B$323,0)+1,2),0)</f>
        <v>COFEPRIS</v>
      </c>
      <c r="L19" s="6" t="str">
        <f t="shared" si="1"/>
        <v>coinciden</v>
      </c>
      <c r="M19" s="2"/>
    </row>
    <row r="20" spans="1:13" x14ac:dyDescent="0.25">
      <c r="A20" s="6" t="s">
        <v>48</v>
      </c>
      <c r="B20" s="1" t="s">
        <v>49</v>
      </c>
      <c r="C20" s="7" t="str">
        <f>IF(ISERROR(LOOKUP(2^15,SEARCH(B20,'2023'!$B$3:$B$1734,1),'2023'!$A$3:$A$1734)),"NO","SI")</f>
        <v>NO</v>
      </c>
      <c r="D20" s="7" t="str">
        <f>IF(ISERROR(LOOKUP(2^15,SEARCH(B20,'2022'!$B$2:$B$1591,1),'2022'!$A$2:$A$1591)),"NO","SI")</f>
        <v>NO</v>
      </c>
      <c r="E20" s="7" t="str">
        <f>IF(ISERROR(LOOKUP(2^15,SEARCH(B20,'2021'!$B$2:$B$1494,1),'2021'!$A$2:$A$1494)),"NO","SI")</f>
        <v>NO</v>
      </c>
      <c r="F20" s="7" t="str">
        <f>IF(ISERROR(LOOKUP(2^15,SEARCH(B20,'2020'!$B$2:$B$1278,1),'2020'!$A$2:$A$1278)),"NO","SI")</f>
        <v>NO</v>
      </c>
      <c r="G20" s="7" t="str">
        <f>IF(ISERROR(LOOKUP(2^15,SEARCH(B20,'2019'!$B$2:$B$1108,1),'2019'!$A$2:$A$1108)),"NO","SI")</f>
        <v>NO</v>
      </c>
      <c r="H20" s="7" t="str">
        <f>IF(ISERROR(LOOKUP(2^15,SEARCH(B20,'2018'!$B$1:$B$1047,1),'2018'!$A$1:$A$1047)),"NO","SI")</f>
        <v>NO</v>
      </c>
      <c r="I20" s="8" t="str">
        <f>IF(ISERROR(LOOKUP(2^15,SEARCH(B20,'ALERTA SANITARIA'!$B$2:$B$269,1),'2018'!$A$1:$A$1047)),"NO","SI")</f>
        <v>SI</v>
      </c>
      <c r="J20" s="6" t="str">
        <f t="shared" si="0"/>
        <v>COFEPRIS</v>
      </c>
      <c r="K20" s="6" t="str">
        <f t="array" ref="K20">IFERROR(INDEX(Anterior!$C$1:$D$323,MATCH(B20,Anterior!$B$2:$B$323,0)+1,2),0)</f>
        <v>COFEPRIS</v>
      </c>
      <c r="L20" s="6" t="str">
        <f t="shared" si="1"/>
        <v>coinciden</v>
      </c>
      <c r="M20" s="2"/>
    </row>
    <row r="21" spans="1:13" ht="15.75" customHeight="1" x14ac:dyDescent="0.25">
      <c r="A21" s="6" t="s">
        <v>50</v>
      </c>
      <c r="B21" s="1" t="s">
        <v>51</v>
      </c>
      <c r="C21" s="7" t="str">
        <f>IF(ISERROR(LOOKUP(2^15,SEARCH(B21,'2023'!$B$3:$B$1734,1),'2023'!$A$3:$A$1734)),"NO","SI")</f>
        <v>NO</v>
      </c>
      <c r="D21" s="7" t="str">
        <f>IF(ISERROR(LOOKUP(2^15,SEARCH(B21,'2022'!$B$2:$B$1591,1),'2022'!$A$2:$A$1591)),"NO","SI")</f>
        <v>NO</v>
      </c>
      <c r="E21" s="7" t="str">
        <f>IF(ISERROR(LOOKUP(2^15,SEARCH(B21,'2021'!$B$2:$B$1494,1),'2021'!$A$2:$A$1494)),"NO","SI")</f>
        <v>NO</v>
      </c>
      <c r="F21" s="7" t="str">
        <f>IF(ISERROR(LOOKUP(2^15,SEARCH(B21,'2020'!$B$2:$B$1278,1),'2020'!$A$2:$A$1278)),"NO","SI")</f>
        <v>NO</v>
      </c>
      <c r="G21" s="7" t="str">
        <f>IF(ISERROR(LOOKUP(2^15,SEARCH(B21,'2019'!$B$2:$B$1108,1),'2019'!$A$2:$A$1108)),"NO","SI")</f>
        <v>NO</v>
      </c>
      <c r="H21" s="7" t="str">
        <f>IF(ISERROR(LOOKUP(2^15,SEARCH(B21,'2018'!$B$1:$B$1047,1),'2018'!$A$1:$A$1047)),"NO","SI")</f>
        <v>NO</v>
      </c>
      <c r="I21" s="8" t="str">
        <f>IF(ISERROR(LOOKUP(2^15,SEARCH(B21,'ALERTA SANITARIA'!$B$2:$B$269,1),'2018'!$A$1:$A$1047)),"NO","SI")</f>
        <v>SI</v>
      </c>
      <c r="J21" s="6" t="str">
        <f t="shared" si="0"/>
        <v>COFEPRIS</v>
      </c>
      <c r="K21" s="6" t="str">
        <f t="array" ref="K21">IFERROR(INDEX(Anterior!$C$1:$D$323,MATCH(B21,Anterior!$B$2:$B$323,0)+1,2),0)</f>
        <v>COFEPRIS</v>
      </c>
      <c r="L21" s="6" t="str">
        <f t="shared" si="1"/>
        <v>coinciden</v>
      </c>
      <c r="M21" s="2"/>
    </row>
    <row r="22" spans="1:13" ht="15.75" customHeight="1" x14ac:dyDescent="0.25">
      <c r="A22" s="6" t="s">
        <v>52</v>
      </c>
      <c r="B22" s="1" t="s">
        <v>53</v>
      </c>
      <c r="C22" s="7" t="str">
        <f>IF(ISERROR(LOOKUP(2^15,SEARCH(B22,'2023'!$B$3:$B$1734,1),'2023'!$A$3:$A$1734)),"NO","SI")</f>
        <v>NO</v>
      </c>
      <c r="D22" s="7" t="str">
        <f>IF(ISERROR(LOOKUP(2^15,SEARCH(B22,'2022'!$B$2:$B$1591,1),'2022'!$A$2:$A$1591)),"NO","SI")</f>
        <v>NO</v>
      </c>
      <c r="E22" s="7" t="str">
        <f>IF(ISERROR(LOOKUP(2^15,SEARCH(B22,'2021'!$B$2:$B$1494,1),'2021'!$A$2:$A$1494)),"NO","SI")</f>
        <v>NO</v>
      </c>
      <c r="F22" s="7" t="str">
        <f>IF(ISERROR(LOOKUP(2^15,SEARCH(B22,'2020'!$B$2:$B$1278,1),'2020'!$A$2:$A$1278)),"NO","SI")</f>
        <v>NO</v>
      </c>
      <c r="G22" s="7" t="str">
        <f>IF(ISERROR(LOOKUP(2^15,SEARCH(B22,'2019'!$B$2:$B$1108,1),'2019'!$A$2:$A$1108)),"NO","SI")</f>
        <v>NO</v>
      </c>
      <c r="H22" s="7" t="str">
        <f>IF(ISERROR(LOOKUP(2^15,SEARCH(B22,'2018'!$B$1:$B$1047,1),'2018'!$A$1:$A$1047)),"NO","SI")</f>
        <v>NO</v>
      </c>
      <c r="I22" s="8" t="str">
        <f>IF(ISERROR(LOOKUP(2^15,SEARCH(B22,'ALERTA SANITARIA'!$B$2:$B$269,1),'2018'!$A$1:$A$1047)),"NO","SI")</f>
        <v>SI</v>
      </c>
      <c r="J22" s="6" t="str">
        <f t="shared" si="0"/>
        <v>COFEPRIS</v>
      </c>
      <c r="K22" s="6" t="str">
        <f t="array" ref="K22">IFERROR(INDEX(Anterior!$C$1:$D$323,MATCH(B22,Anterior!$B$2:$B$323,0)+1,2),0)</f>
        <v>COFEPRIS</v>
      </c>
      <c r="L22" s="6" t="str">
        <f t="shared" si="1"/>
        <v>coinciden</v>
      </c>
      <c r="M22" s="2"/>
    </row>
    <row r="23" spans="1:13" ht="15.75" customHeight="1" x14ac:dyDescent="0.25">
      <c r="A23" s="6" t="s">
        <v>54</v>
      </c>
      <c r="B23" s="1" t="s">
        <v>55</v>
      </c>
      <c r="C23" s="7" t="str">
        <f>IF(ISERROR(LOOKUP(2^15,SEARCH(B23,'2023'!$B$3:$B$1734,1),'2023'!$A$3:$A$1734)),"NO","SI")</f>
        <v>NO</v>
      </c>
      <c r="D23" s="7" t="str">
        <f>IF(ISERROR(LOOKUP(2^15,SEARCH(B23,'2022'!$B$2:$B$1591,1),'2022'!$A$2:$A$1591)),"NO","SI")</f>
        <v>NO</v>
      </c>
      <c r="E23" s="7" t="str">
        <f>IF(ISERROR(LOOKUP(2^15,SEARCH(B23,'2021'!$B$2:$B$1494,1),'2021'!$A$2:$A$1494)),"NO","SI")</f>
        <v>NO</v>
      </c>
      <c r="F23" s="7" t="str">
        <f>IF(ISERROR(LOOKUP(2^15,SEARCH(B23,'2020'!$B$2:$B$1278,1),'2020'!$A$2:$A$1278)),"NO","SI")</f>
        <v>NO</v>
      </c>
      <c r="G23" s="7" t="str">
        <f>IF(ISERROR(LOOKUP(2^15,SEARCH(B23,'2019'!$B$2:$B$1108,1),'2019'!$A$2:$A$1108)),"NO","SI")</f>
        <v>NO</v>
      </c>
      <c r="H23" s="7" t="str">
        <f>IF(ISERROR(LOOKUP(2^15,SEARCH(B23,'2018'!$B$1:$B$1047,1),'2018'!$A$1:$A$1047)),"NO","SI")</f>
        <v>NO</v>
      </c>
      <c r="I23" s="8" t="str">
        <f>IF(ISERROR(LOOKUP(2^15,SEARCH(B23,'ALERTA SANITARIA'!$B$2:$B$269,1),'2018'!$A$1:$A$1047)),"NO","SI")</f>
        <v>SI</v>
      </c>
      <c r="J23" s="6" t="str">
        <f t="shared" si="0"/>
        <v>COFEPRIS</v>
      </c>
      <c r="K23" s="6" t="str">
        <f t="array" ref="K23">IFERROR(INDEX(Anterior!$C$1:$D$323,MATCH(B23,Anterior!$B$2:$B$323,0)+1,2),0)</f>
        <v>COFEPRIS</v>
      </c>
      <c r="L23" s="6" t="str">
        <f t="shared" si="1"/>
        <v>coinciden</v>
      </c>
      <c r="M23" s="2"/>
    </row>
    <row r="24" spans="1:13" ht="15.75" customHeight="1" x14ac:dyDescent="0.25">
      <c r="A24" s="6" t="s">
        <v>56</v>
      </c>
      <c r="B24" s="1" t="s">
        <v>57</v>
      </c>
      <c r="C24" s="7" t="str">
        <f>IF(ISERROR(LOOKUP(2^15,SEARCH(B24,'2023'!$B$3:$B$1734,1),'2023'!$A$3:$A$1734)),"NO","SI")</f>
        <v>NO</v>
      </c>
      <c r="D24" s="7" t="str">
        <f>IF(ISERROR(LOOKUP(2^15,SEARCH(B24,'2022'!$B$2:$B$1591,1),'2022'!$A$2:$A$1591)),"NO","SI")</f>
        <v>NO</v>
      </c>
      <c r="E24" s="7" t="str">
        <f>IF(ISERROR(LOOKUP(2^15,SEARCH(B24,'2021'!$B$2:$B$1494,1),'2021'!$A$2:$A$1494)),"NO","SI")</f>
        <v>NO</v>
      </c>
      <c r="F24" s="7" t="str">
        <f>IF(ISERROR(LOOKUP(2^15,SEARCH(B24,'2020'!$B$2:$B$1278,1),'2020'!$A$2:$A$1278)),"NO","SI")</f>
        <v>NO</v>
      </c>
      <c r="G24" s="7" t="str">
        <f>IF(ISERROR(LOOKUP(2^15,SEARCH(B24,'2019'!$B$2:$B$1108,1),'2019'!$A$2:$A$1108)),"NO","SI")</f>
        <v>NO</v>
      </c>
      <c r="H24" s="7" t="str">
        <f>IF(ISERROR(LOOKUP(2^15,SEARCH(B24,'2018'!$B$1:$B$1047,1),'2018'!$A$1:$A$1047)),"NO","SI")</f>
        <v>NO</v>
      </c>
      <c r="I24" s="8" t="str">
        <f>IF(ISERROR(LOOKUP(2^15,SEARCH(B24,'ALERTA SANITARIA'!$B$2:$B$269,1),'2018'!$A$1:$A$1047)),"NO","SI")</f>
        <v>SI</v>
      </c>
      <c r="J24" s="6" t="str">
        <f t="shared" si="0"/>
        <v>COFEPRIS</v>
      </c>
      <c r="K24" s="6" t="str">
        <f t="array" ref="K24">IFERROR(INDEX(Anterior!$C$1:$D$323,MATCH(B24,Anterior!$B$2:$B$323,0)+1,2),0)</f>
        <v>COFEPRIS</v>
      </c>
      <c r="L24" s="6" t="str">
        <f t="shared" si="1"/>
        <v>coinciden</v>
      </c>
      <c r="M24" s="2"/>
    </row>
    <row r="25" spans="1:13" ht="15.75" customHeight="1" x14ac:dyDescent="0.25">
      <c r="A25" s="6" t="s">
        <v>58</v>
      </c>
      <c r="B25" s="1" t="s">
        <v>59</v>
      </c>
      <c r="C25" s="7" t="str">
        <f>IF(ISERROR(LOOKUP(2^15,SEARCH(B25,'2023'!$B$3:$B$1734,1),'2023'!$A$3:$A$1734)),"NO","SI")</f>
        <v>SI</v>
      </c>
      <c r="D25" s="7" t="str">
        <f>IF(ISERROR(LOOKUP(2^15,SEARCH(B25,'2022'!$B$2:$B$1591,1),'2022'!$A$2:$A$1591)),"NO","SI")</f>
        <v>SI</v>
      </c>
      <c r="E25" s="7" t="str">
        <f>IF(ISERROR(LOOKUP(2^15,SEARCH(B25,'2021'!$B$2:$B$1494,1),'2021'!$A$2:$A$1494)),"NO","SI")</f>
        <v>SI</v>
      </c>
      <c r="F25" s="7" t="str">
        <f>IF(ISERROR(LOOKUP(2^15,SEARCH(B25,'2020'!$B$2:$B$1278,1),'2020'!$A$2:$A$1278)),"NO","SI")</f>
        <v>SI</v>
      </c>
      <c r="G25" s="7" t="str">
        <f>IF(ISERROR(LOOKUP(2^15,SEARCH(B25,'2019'!$B$2:$B$1108,1),'2019'!$A$2:$A$1108)),"NO","SI")</f>
        <v>SI</v>
      </c>
      <c r="H25" s="7" t="str">
        <f>IF(ISERROR(LOOKUP(2^15,SEARCH(B25,'2018'!$B$1:$B$1047,1),'2018'!$A$1:$A$1047)),"NO","SI")</f>
        <v>SI</v>
      </c>
      <c r="I25" s="8" t="str">
        <f>IF(ISERROR(LOOKUP(2^15,SEARCH(B25,'ALERTA SANITARIA'!$B$2:$B$269,1),'2018'!$A$1:$A$1047)),"NO","SI")</f>
        <v>SI</v>
      </c>
      <c r="J25" s="6" t="str">
        <f t="shared" si="0"/>
        <v>AMBOS</v>
      </c>
      <c r="K25" s="6" t="str">
        <f t="array" ref="K25">IFERROR(INDEX(Anterior!$C$1:$D$323,MATCH(B25,Anterior!$B$2:$B$323,0)+1,2),0)</f>
        <v>Ambos</v>
      </c>
      <c r="L25" s="6" t="str">
        <f t="shared" si="1"/>
        <v>coinciden</v>
      </c>
      <c r="M25" s="2" t="s">
        <v>14</v>
      </c>
    </row>
    <row r="26" spans="1:13" ht="15.75" customHeight="1" x14ac:dyDescent="0.25">
      <c r="A26" s="6" t="s">
        <v>60</v>
      </c>
      <c r="B26" s="1" t="s">
        <v>61</v>
      </c>
      <c r="C26" s="7" t="str">
        <f>IF(ISERROR(LOOKUP(2^15,SEARCH(B26,'2023'!$B$3:$B$1734,1),'2023'!$A$3:$A$1734)),"NO","SI")</f>
        <v>NO</v>
      </c>
      <c r="D26" s="7" t="str">
        <f>IF(ISERROR(LOOKUP(2^15,SEARCH(B26,'2022'!$B$2:$B$1591,1),'2022'!$A$2:$A$1591)),"NO","SI")</f>
        <v>NO</v>
      </c>
      <c r="E26" s="7" t="str">
        <f>IF(ISERROR(LOOKUP(2^15,SEARCH(B26,'2021'!$B$2:$B$1494,1),'2021'!$A$2:$A$1494)),"NO","SI")</f>
        <v>NO</v>
      </c>
      <c r="F26" s="7" t="str">
        <f>IF(ISERROR(LOOKUP(2^15,SEARCH(B26,'2020'!$B$2:$B$1278,1),'2020'!$A$2:$A$1278)),"NO","SI")</f>
        <v>NO</v>
      </c>
      <c r="G26" s="7" t="str">
        <f>IF(ISERROR(LOOKUP(2^15,SEARCH(B26,'2019'!$B$2:$B$1108,1),'2019'!$A$2:$A$1108)),"NO","SI")</f>
        <v>NO</v>
      </c>
      <c r="H26" s="7" t="str">
        <f>IF(ISERROR(LOOKUP(2^15,SEARCH(B26,'2018'!$B$1:$B$1047,1),'2018'!$A$1:$A$1047)),"NO","SI")</f>
        <v>NO</v>
      </c>
      <c r="I26" s="8" t="str">
        <f>IF(ISERROR(LOOKUP(2^15,SEARCH(B26,'ALERTA SANITARIA'!$B$2:$B$269,1),'2018'!$A$1:$A$1047)),"NO","SI")</f>
        <v>SI</v>
      </c>
      <c r="J26" s="6" t="str">
        <f t="shared" si="0"/>
        <v>COFEPRIS</v>
      </c>
      <c r="K26" s="6" t="str">
        <f t="array" ref="K26">IFERROR(INDEX(Anterior!$C$1:$D$323,MATCH(B26,Anterior!$B$2:$B$323,0)+1,2),0)</f>
        <v>COFEPRIS</v>
      </c>
      <c r="L26" s="6" t="str">
        <f t="shared" si="1"/>
        <v>coinciden</v>
      </c>
      <c r="M26" s="2"/>
    </row>
    <row r="27" spans="1:13" ht="15.75" customHeight="1" x14ac:dyDescent="0.25">
      <c r="A27" s="6" t="s">
        <v>62</v>
      </c>
      <c r="B27" s="1" t="s">
        <v>63</v>
      </c>
      <c r="C27" s="7" t="str">
        <f>IF(ISERROR(LOOKUP(2^15,SEARCH(B27,'2023'!$B$3:$B$1734,1),'2023'!$A$3:$A$1734)),"NO","SI")</f>
        <v>NO</v>
      </c>
      <c r="D27" s="7" t="str">
        <f>IF(ISERROR(LOOKUP(2^15,SEARCH(B27,'2022'!$B$2:$B$1591,1),'2022'!$A$2:$A$1591)),"NO","SI")</f>
        <v>NO</v>
      </c>
      <c r="E27" s="7" t="str">
        <f>IF(ISERROR(LOOKUP(2^15,SEARCH(B27,'2021'!$B$2:$B$1494,1),'2021'!$A$2:$A$1494)),"NO","SI")</f>
        <v>NO</v>
      </c>
      <c r="F27" s="7" t="str">
        <f>IF(ISERROR(LOOKUP(2^15,SEARCH(B27,'2020'!$B$2:$B$1278,1),'2020'!$A$2:$A$1278)),"NO","SI")</f>
        <v>NO</v>
      </c>
      <c r="G27" s="7" t="str">
        <f>IF(ISERROR(LOOKUP(2^15,SEARCH(B27,'2019'!$B$2:$B$1108,1),'2019'!$A$2:$A$1108)),"NO","SI")</f>
        <v>NO</v>
      </c>
      <c r="H27" s="7" t="str">
        <f>IF(ISERROR(LOOKUP(2^15,SEARCH(B27,'2018'!$B$1:$B$1047,1),'2018'!$A$1:$A$1047)),"NO","SI")</f>
        <v>NO</v>
      </c>
      <c r="I27" s="8" t="str">
        <f>IF(ISERROR(LOOKUP(2^15,SEARCH(B27,'ALERTA SANITARIA'!$B$2:$B$269,1),'2018'!$A$1:$A$1047)),"NO","SI")</f>
        <v>SI</v>
      </c>
      <c r="J27" s="6" t="str">
        <f t="shared" si="0"/>
        <v>COFEPRIS</v>
      </c>
      <c r="K27" s="6" t="str">
        <f t="array" ref="K27">IFERROR(INDEX(Anterior!$C$1:$D$323,MATCH(B27,Anterior!$B$2:$B$323,0)+1,2),0)</f>
        <v>COFEPRIS</v>
      </c>
      <c r="L27" s="6" t="str">
        <f t="shared" si="1"/>
        <v>coinciden</v>
      </c>
      <c r="M27" s="2"/>
    </row>
    <row r="28" spans="1:13" ht="15.75" customHeight="1" x14ac:dyDescent="0.25">
      <c r="A28" s="6" t="s">
        <v>64</v>
      </c>
      <c r="B28" s="1" t="s">
        <v>65</v>
      </c>
      <c r="C28" s="7" t="str">
        <f>IF(ISERROR(LOOKUP(2^15,SEARCH(B28,'2023'!$B$3:$B$1734,1),'2023'!$A$3:$A$1734)),"NO","SI")</f>
        <v>NO</v>
      </c>
      <c r="D28" s="7" t="str">
        <f>IF(ISERROR(LOOKUP(2^15,SEARCH(B28,'2022'!$B$2:$B$1591,1),'2022'!$A$2:$A$1591)),"NO","SI")</f>
        <v>NO</v>
      </c>
      <c r="E28" s="7" t="str">
        <f>IF(ISERROR(LOOKUP(2^15,SEARCH(B28,'2021'!$B$2:$B$1494,1),'2021'!$A$2:$A$1494)),"NO","SI")</f>
        <v>NO</v>
      </c>
      <c r="F28" s="7" t="str">
        <f>IF(ISERROR(LOOKUP(2^15,SEARCH(B28,'2020'!$B$2:$B$1278,1),'2020'!$A$2:$A$1278)),"NO","SI")</f>
        <v>NO</v>
      </c>
      <c r="G28" s="7" t="str">
        <f>IF(ISERROR(LOOKUP(2^15,SEARCH(B28,'2019'!$B$2:$B$1108,1),'2019'!$A$2:$A$1108)),"NO","SI")</f>
        <v>NO</v>
      </c>
      <c r="H28" s="7" t="str">
        <f>IF(ISERROR(LOOKUP(2^15,SEARCH(B28,'2018'!$B$1:$B$1047,1),'2018'!$A$1:$A$1047)),"NO","SI")</f>
        <v>NO</v>
      </c>
      <c r="I28" s="8" t="str">
        <f>IF(ISERROR(LOOKUP(2^15,SEARCH(B28,'ALERTA SANITARIA'!$B$2:$B$269,1),'2018'!$A$1:$A$1047)),"NO","SI")</f>
        <v>SI</v>
      </c>
      <c r="J28" s="6" t="str">
        <f t="shared" si="0"/>
        <v>COFEPRIS</v>
      </c>
      <c r="K28" s="6" t="str">
        <f t="array" ref="K28">IFERROR(INDEX(Anterior!$C$1:$D$323,MATCH(B28,Anterior!$B$2:$B$323,0)+1,2),0)</f>
        <v>COFEPRIS</v>
      </c>
      <c r="L28" s="6" t="str">
        <f t="shared" si="1"/>
        <v>coinciden</v>
      </c>
      <c r="M28" s="2"/>
    </row>
    <row r="29" spans="1:13" ht="15.75" customHeight="1" x14ac:dyDescent="0.25">
      <c r="A29" s="6" t="s">
        <v>66</v>
      </c>
      <c r="B29" s="1" t="s">
        <v>67</v>
      </c>
      <c r="C29" s="7" t="str">
        <f>IF(ISERROR(LOOKUP(2^15,SEARCH(B29,'2023'!$B$3:$B$1734,1),'2023'!$A$3:$A$1734)),"NO","SI")</f>
        <v>NO</v>
      </c>
      <c r="D29" s="7" t="str">
        <f>IF(ISERROR(LOOKUP(2^15,SEARCH(B29,'2022'!$B$2:$B$1591,1),'2022'!$A$2:$A$1591)),"NO","SI")</f>
        <v>NO</v>
      </c>
      <c r="E29" s="7" t="str">
        <f>IF(ISERROR(LOOKUP(2^15,SEARCH(B29,'2021'!$B$2:$B$1494,1),'2021'!$A$2:$A$1494)),"NO","SI")</f>
        <v>NO</v>
      </c>
      <c r="F29" s="7" t="str">
        <f>IF(ISERROR(LOOKUP(2^15,SEARCH(B29,'2020'!$B$2:$B$1278,1),'2020'!$A$2:$A$1278)),"NO","SI")</f>
        <v>NO</v>
      </c>
      <c r="G29" s="7" t="str">
        <f>IF(ISERROR(LOOKUP(2^15,SEARCH(B29,'2019'!$B$2:$B$1108,1),'2019'!$A$2:$A$1108)),"NO","SI")</f>
        <v>NO</v>
      </c>
      <c r="H29" s="7" t="str">
        <f>IF(ISERROR(LOOKUP(2^15,SEARCH(B29,'2018'!$B$1:$B$1047,1),'2018'!$A$1:$A$1047)),"NO","SI")</f>
        <v>NO</v>
      </c>
      <c r="I29" s="8" t="str">
        <f>IF(ISERROR(LOOKUP(2^15,SEARCH(B29,'ALERTA SANITARIA'!$B$2:$B$269,1),'2018'!$A$1:$A$1047)),"NO","SI")</f>
        <v>SI</v>
      </c>
      <c r="J29" s="6" t="str">
        <f t="shared" si="0"/>
        <v>COFEPRIS</v>
      </c>
      <c r="K29" s="6" t="str">
        <f t="array" ref="K29">IFERROR(INDEX(Anterior!$C$1:$D$323,MATCH(B29,Anterior!$B$2:$B$323,0)+1,2),0)</f>
        <v>COFEPRIS</v>
      </c>
      <c r="L29" s="6" t="str">
        <f t="shared" si="1"/>
        <v>coinciden</v>
      </c>
      <c r="M29" s="2"/>
    </row>
    <row r="30" spans="1:13" ht="15.75" customHeight="1" x14ac:dyDescent="0.25">
      <c r="A30" s="6" t="s">
        <v>68</v>
      </c>
      <c r="B30" s="1" t="s">
        <v>69</v>
      </c>
      <c r="C30" s="7" t="str">
        <f>IF(ISERROR(LOOKUP(2^15,SEARCH(B30,'2023'!$B$3:$B$1734,1),'2023'!$A$3:$A$1734)),"NO","SI")</f>
        <v>SI</v>
      </c>
      <c r="D30" s="7" t="str">
        <f>IF(ISERROR(LOOKUP(2^15,SEARCH(B30,'2022'!$B$2:$B$1591,1),'2022'!$A$2:$A$1591)),"NO","SI")</f>
        <v>SI</v>
      </c>
      <c r="E30" s="7" t="str">
        <f>IF(ISERROR(LOOKUP(2^15,SEARCH(B30,'2021'!$B$2:$B$1494,1),'2021'!$A$2:$A$1494)),"NO","SI")</f>
        <v>SI</v>
      </c>
      <c r="F30" s="7" t="str">
        <f>IF(ISERROR(LOOKUP(2^15,SEARCH(B30,'2020'!$B$2:$B$1278,1),'2020'!$A$2:$A$1278)),"NO","SI")</f>
        <v>SI</v>
      </c>
      <c r="G30" s="7" t="str">
        <f>IF(ISERROR(LOOKUP(2^15,SEARCH(B30,'2019'!$B$2:$B$1108,1),'2019'!$A$2:$A$1108)),"NO","SI")</f>
        <v>SI</v>
      </c>
      <c r="H30" s="7" t="str">
        <f>IF(ISERROR(LOOKUP(2^15,SEARCH(B30,'2018'!$B$1:$B$1047,1),'2018'!$A$1:$A$1047)),"NO","SI")</f>
        <v>SI</v>
      </c>
      <c r="I30" s="8" t="str">
        <f>IF(ISERROR(LOOKUP(2^15,SEARCH(B30,'ALERTA SANITARIA'!$B$2:$B$269,1),'2018'!$A$1:$A$1047)),"NO","SI")</f>
        <v>NO</v>
      </c>
      <c r="J30" s="6" t="str">
        <f t="shared" si="0"/>
        <v>DOF</v>
      </c>
      <c r="K30" s="6" t="str">
        <f t="array" ref="K30">IFERROR(INDEX(Anterior!$C$1:$D$323,MATCH(B30,Anterior!$B$2:$B$323,0)+1,2),0)</f>
        <v>DOF</v>
      </c>
      <c r="L30" s="6" t="str">
        <f t="shared" si="1"/>
        <v>coinciden</v>
      </c>
      <c r="M30" s="2"/>
    </row>
    <row r="31" spans="1:13" ht="15.75" customHeight="1" x14ac:dyDescent="0.25">
      <c r="A31" s="6" t="s">
        <v>70</v>
      </c>
      <c r="B31" s="1" t="s">
        <v>71</v>
      </c>
      <c r="C31" s="7" t="str">
        <f>IF(ISERROR(LOOKUP(2^15,SEARCH(B31,'2023'!$B$3:$B$1734,1),'2023'!$A$3:$A$1734)),"NO","SI")</f>
        <v>SI</v>
      </c>
      <c r="D31" s="7" t="str">
        <f>IF(ISERROR(LOOKUP(2^15,SEARCH(B31,'2022'!$B$2:$B$1591,1),'2022'!$A$2:$A$1591)),"NO","SI")</f>
        <v>SI</v>
      </c>
      <c r="E31" s="7" t="str">
        <f>IF(ISERROR(LOOKUP(2^15,SEARCH(B31,'2021'!$B$2:$B$1494,1),'2021'!$A$2:$A$1494)),"NO","SI")</f>
        <v>SI</v>
      </c>
      <c r="F31" s="7" t="str">
        <f>IF(ISERROR(LOOKUP(2^15,SEARCH(B31,'2020'!$B$2:$B$1278,1),'2020'!$A$2:$A$1278)),"NO","SI")</f>
        <v>SI</v>
      </c>
      <c r="G31" s="7" t="str">
        <f>IF(ISERROR(LOOKUP(2^15,SEARCH(B31,'2019'!$B$2:$B$1108,1),'2019'!$A$2:$A$1108)),"NO","SI")</f>
        <v>SI</v>
      </c>
      <c r="H31" s="7" t="str">
        <f>IF(ISERROR(LOOKUP(2^15,SEARCH(B31,'2018'!$B$1:$B$1047,1),'2018'!$A$1:$A$1047)),"NO","SI")</f>
        <v>SI</v>
      </c>
      <c r="I31" s="8" t="str">
        <f>IF(ISERROR(LOOKUP(2^15,SEARCH(B31,'ALERTA SANITARIA'!$B$2:$B$269,1),'2018'!$A$1:$A$1047)),"NO","SI")</f>
        <v>SI</v>
      </c>
      <c r="J31" s="6" t="str">
        <f t="shared" si="0"/>
        <v>AMBOS</v>
      </c>
      <c r="K31" s="6" t="str">
        <f t="array" ref="K31">IFERROR(INDEX(Anterior!$C$1:$D$323,MATCH(B31,Anterior!$B$2:$B$323,0)+1,2),0)</f>
        <v>DOF</v>
      </c>
      <c r="L31" s="6" t="str">
        <f t="shared" si="1"/>
        <v>Discrepan</v>
      </c>
      <c r="M31" s="2" t="s">
        <v>14</v>
      </c>
    </row>
    <row r="32" spans="1:13" ht="15.75" customHeight="1" x14ac:dyDescent="0.25">
      <c r="A32" s="6" t="s">
        <v>72</v>
      </c>
      <c r="B32" s="1" t="s">
        <v>73</v>
      </c>
      <c r="C32" s="7" t="str">
        <f>IF(ISERROR(LOOKUP(2^15,SEARCH(B32,'2023'!$B$3:$B$1734,1),'2023'!$A$3:$A$1734)),"NO","SI")</f>
        <v>SI</v>
      </c>
      <c r="D32" s="7" t="str">
        <f>IF(ISERROR(LOOKUP(2^15,SEARCH(B32,'2022'!$B$2:$B$1591,1),'2022'!$A$2:$A$1591)),"NO","SI")</f>
        <v>SI</v>
      </c>
      <c r="E32" s="7" t="str">
        <f>IF(ISERROR(LOOKUP(2^15,SEARCH(B32,'2021'!$B$2:$B$1494,1),'2021'!$A$2:$A$1494)),"NO","SI")</f>
        <v>SI</v>
      </c>
      <c r="F32" s="7" t="str">
        <f>IF(ISERROR(LOOKUP(2^15,SEARCH(B32,'2020'!$B$2:$B$1278,1),'2020'!$A$2:$A$1278)),"NO","SI")</f>
        <v>SI</v>
      </c>
      <c r="G32" s="7" t="str">
        <f>IF(ISERROR(LOOKUP(2^15,SEARCH(B32,'2019'!$B$2:$B$1108,1),'2019'!$A$2:$A$1108)),"NO","SI")</f>
        <v>SI</v>
      </c>
      <c r="H32" s="7" t="str">
        <f>IF(ISERROR(LOOKUP(2^15,SEARCH(B32,'2018'!$B$1:$B$1047,1),'2018'!$A$1:$A$1047)),"NO","SI")</f>
        <v>SI</v>
      </c>
      <c r="I32" s="8" t="str">
        <f>IF(ISERROR(LOOKUP(2^15,SEARCH(B32,'ALERTA SANITARIA'!$B$2:$B$269,1),'2018'!$A$1:$A$1047)),"NO","SI")</f>
        <v>NO</v>
      </c>
      <c r="J32" s="6" t="str">
        <f t="shared" si="0"/>
        <v>DOF</v>
      </c>
      <c r="K32" s="6" t="str">
        <f t="array" ref="K32">IFERROR(INDEX(Anterior!$C$1:$D$323,MATCH(B32,Anterior!$B$2:$B$323,0)+1,2),0)</f>
        <v>DOF</v>
      </c>
      <c r="L32" s="6" t="str">
        <f t="shared" si="1"/>
        <v>coinciden</v>
      </c>
      <c r="M32" s="2"/>
    </row>
    <row r="33" spans="1:13" ht="15.75" customHeight="1" x14ac:dyDescent="0.25">
      <c r="A33" s="6" t="s">
        <v>74</v>
      </c>
      <c r="B33" s="1" t="s">
        <v>75</v>
      </c>
      <c r="C33" s="7" t="str">
        <f>IF(ISERROR(LOOKUP(2^15,SEARCH(B33,'2023'!$B$3:$B$1734,1),'2023'!$A$3:$A$1734)),"NO","SI")</f>
        <v>NO</v>
      </c>
      <c r="D33" s="7" t="str">
        <f>IF(ISERROR(LOOKUP(2^15,SEARCH(B33,'2022'!$B$2:$B$1591,1),'2022'!$A$2:$A$1591)),"NO","SI")</f>
        <v>NO</v>
      </c>
      <c r="E33" s="7" t="str">
        <f>IF(ISERROR(LOOKUP(2^15,SEARCH(B33,'2021'!$B$2:$B$1494,1),'2021'!$A$2:$A$1494)),"NO","SI")</f>
        <v>NO</v>
      </c>
      <c r="F33" s="7" t="str">
        <f>IF(ISERROR(LOOKUP(2^15,SEARCH(B33,'2020'!$B$2:$B$1278,1),'2020'!$A$2:$A$1278)),"NO","SI")</f>
        <v>NO</v>
      </c>
      <c r="G33" s="7" t="str">
        <f>IF(ISERROR(LOOKUP(2^15,SEARCH(B33,'2019'!$B$2:$B$1108,1),'2019'!$A$2:$A$1108)),"NO","SI")</f>
        <v>NO</v>
      </c>
      <c r="H33" s="7" t="str">
        <f>IF(ISERROR(LOOKUP(2^15,SEARCH(B33,'2018'!$B$1:$B$1047,1),'2018'!$A$1:$A$1047)),"NO","SI")</f>
        <v>NO</v>
      </c>
      <c r="I33" s="8" t="str">
        <f>IF(ISERROR(LOOKUP(2^15,SEARCH(B33,'ALERTA SANITARIA'!$B$2:$B$269,1),'2018'!$A$1:$A$1047)),"NO","SI")</f>
        <v>SI</v>
      </c>
      <c r="J33" s="6" t="str">
        <f t="shared" si="0"/>
        <v>COFEPRIS</v>
      </c>
      <c r="K33" s="6" t="str">
        <f t="array" ref="K33">IFERROR(INDEX(Anterior!$C$1:$D$323,MATCH(B33,Anterior!$B$2:$B$323,0)+1,2),0)</f>
        <v>COFEPRIS</v>
      </c>
      <c r="L33" s="6" t="str">
        <f t="shared" si="1"/>
        <v>coinciden</v>
      </c>
      <c r="M33" s="2"/>
    </row>
    <row r="34" spans="1:13" ht="15.75" customHeight="1" x14ac:dyDescent="0.25">
      <c r="A34" s="6" t="s">
        <v>76</v>
      </c>
      <c r="B34" s="1" t="s">
        <v>77</v>
      </c>
      <c r="C34" s="7" t="str">
        <f>IF(ISERROR(LOOKUP(2^15,SEARCH(B34,'2023'!$B$3:$B$1734,1),'2023'!$A$3:$A$1734)),"NO","SI")</f>
        <v>NO</v>
      </c>
      <c r="D34" s="7" t="str">
        <f>IF(ISERROR(LOOKUP(2^15,SEARCH(B34,'2022'!$B$2:$B$1591,1),'2022'!$A$2:$A$1591)),"NO","SI")</f>
        <v>NO</v>
      </c>
      <c r="E34" s="7" t="str">
        <f>IF(ISERROR(LOOKUP(2^15,SEARCH(B34,'2021'!$B$2:$B$1494,1),'2021'!$A$2:$A$1494)),"NO","SI")</f>
        <v>NO</v>
      </c>
      <c r="F34" s="7" t="str">
        <f>IF(ISERROR(LOOKUP(2^15,SEARCH(B34,'2020'!$B$2:$B$1278,1),'2020'!$A$2:$A$1278)),"NO","SI")</f>
        <v>NO</v>
      </c>
      <c r="G34" s="7" t="str">
        <f>IF(ISERROR(LOOKUP(2^15,SEARCH(B34,'2019'!$B$2:$B$1108,1),'2019'!$A$2:$A$1108)),"NO","SI")</f>
        <v>NO</v>
      </c>
      <c r="H34" s="7" t="str">
        <f>IF(ISERROR(LOOKUP(2^15,SEARCH(B34,'2018'!$B$1:$B$1047,1),'2018'!$A$1:$A$1047)),"NO","SI")</f>
        <v>NO</v>
      </c>
      <c r="I34" s="8" t="str">
        <f>IF(ISERROR(LOOKUP(2^15,SEARCH(B34,'ALERTA SANITARIA'!$B$2:$B$269,1),'2018'!$A$1:$A$1047)),"NO","SI")</f>
        <v>SI</v>
      </c>
      <c r="J34" s="6" t="str">
        <f t="shared" si="0"/>
        <v>COFEPRIS</v>
      </c>
      <c r="K34" s="6" t="str">
        <f t="array" ref="K34">IFERROR(INDEX(Anterior!$C$1:$D$323,MATCH(B34,Anterior!$B$2:$B$323,0)+1,2),0)</f>
        <v>COFEPRIS</v>
      </c>
      <c r="L34" s="6" t="str">
        <f t="shared" si="1"/>
        <v>coinciden</v>
      </c>
      <c r="M34" s="2"/>
    </row>
    <row r="35" spans="1:13" ht="15.75" customHeight="1" x14ac:dyDescent="0.25">
      <c r="A35" s="6" t="s">
        <v>78</v>
      </c>
      <c r="B35" s="1" t="s">
        <v>79</v>
      </c>
      <c r="C35" s="7" t="str">
        <f>IF(ISERROR(LOOKUP(2^15,SEARCH(B35,'2023'!$B$3:$B$1734,1),'2023'!$A$3:$A$1734)),"NO","SI")</f>
        <v>NO</v>
      </c>
      <c r="D35" s="7" t="str">
        <f>IF(ISERROR(LOOKUP(2^15,SEARCH(B35,'2022'!$B$2:$B$1591,1),'2022'!$A$2:$A$1591)),"NO","SI")</f>
        <v>NO</v>
      </c>
      <c r="E35" s="7" t="str">
        <f>IF(ISERROR(LOOKUP(2^15,SEARCH(B35,'2021'!$B$2:$B$1494,1),'2021'!$A$2:$A$1494)),"NO","SI")</f>
        <v>NO</v>
      </c>
      <c r="F35" s="7" t="str">
        <f>IF(ISERROR(LOOKUP(2^15,SEARCH(B35,'2020'!$B$2:$B$1278,1),'2020'!$A$2:$A$1278)),"NO","SI")</f>
        <v>NO</v>
      </c>
      <c r="G35" s="7" t="str">
        <f>IF(ISERROR(LOOKUP(2^15,SEARCH(B35,'2019'!$B$2:$B$1108,1),'2019'!$A$2:$A$1108)),"NO","SI")</f>
        <v>NO</v>
      </c>
      <c r="H35" s="7" t="str">
        <f>IF(ISERROR(LOOKUP(2^15,SEARCH(B35,'2018'!$B$1:$B$1047,1),'2018'!$A$1:$A$1047)),"NO","SI")</f>
        <v>NO</v>
      </c>
      <c r="I35" s="8" t="str">
        <f>IF(ISERROR(LOOKUP(2^15,SEARCH(B35,'ALERTA SANITARIA'!$B$2:$B$269,1),'2018'!$A$1:$A$1047)),"NO","SI")</f>
        <v>SI</v>
      </c>
      <c r="J35" s="6" t="str">
        <f t="shared" si="0"/>
        <v>COFEPRIS</v>
      </c>
      <c r="K35" s="6" t="str">
        <f t="array" ref="K35">IFERROR(INDEX(Anterior!$C$1:$D$323,MATCH(B35,Anterior!$B$2:$B$323,0)+1,2),0)</f>
        <v>COFEPRIS</v>
      </c>
      <c r="L35" s="6" t="str">
        <f t="shared" si="1"/>
        <v>coinciden</v>
      </c>
      <c r="M35" s="2"/>
    </row>
    <row r="36" spans="1:13" ht="15.75" customHeight="1" x14ac:dyDescent="0.25">
      <c r="A36" s="6" t="s">
        <v>80</v>
      </c>
      <c r="B36" s="1" t="s">
        <v>81</v>
      </c>
      <c r="C36" s="7" t="str">
        <f>IF(ISERROR(LOOKUP(2^15,SEARCH(B36,'2023'!$B$3:$B$1734,1),'2023'!$A$3:$A$1734)),"NO","SI")</f>
        <v>NO</v>
      </c>
      <c r="D36" s="7" t="str">
        <f>IF(ISERROR(LOOKUP(2^15,SEARCH(B36,'2022'!$B$2:$B$1591,1),'2022'!$A$2:$A$1591)),"NO","SI")</f>
        <v>NO</v>
      </c>
      <c r="E36" s="7" t="str">
        <f>IF(ISERROR(LOOKUP(2^15,SEARCH(B36,'2021'!$B$2:$B$1494,1),'2021'!$A$2:$A$1494)),"NO","SI")</f>
        <v>NO</v>
      </c>
      <c r="F36" s="7" t="str">
        <f>IF(ISERROR(LOOKUP(2^15,SEARCH(B36,'2020'!$B$2:$B$1278,1),'2020'!$A$2:$A$1278)),"NO","SI")</f>
        <v>NO</v>
      </c>
      <c r="G36" s="7" t="str">
        <f>IF(ISERROR(LOOKUP(2^15,SEARCH(B36,'2019'!$B$2:$B$1108,1),'2019'!$A$2:$A$1108)),"NO","SI")</f>
        <v>NO</v>
      </c>
      <c r="H36" s="7" t="str">
        <f>IF(ISERROR(LOOKUP(2^15,SEARCH(B36,'2018'!$B$1:$B$1047,1),'2018'!$A$1:$A$1047)),"NO","SI")</f>
        <v>NO</v>
      </c>
      <c r="I36" s="8" t="str">
        <f>IF(ISERROR(LOOKUP(2^15,SEARCH(B36,'ALERTA SANITARIA'!$B$2:$B$269,1),'2018'!$A$1:$A$1047)),"NO","SI")</f>
        <v>SI</v>
      </c>
      <c r="J36" s="6" t="str">
        <f t="shared" si="0"/>
        <v>COFEPRIS</v>
      </c>
      <c r="K36" s="6" t="str">
        <f t="array" ref="K36">IFERROR(INDEX(Anterior!$C$1:$D$323,MATCH(B36,Anterior!$B$2:$B$323,0)+1,2),0)</f>
        <v>COFEPRIS</v>
      </c>
      <c r="L36" s="6" t="str">
        <f t="shared" si="1"/>
        <v>coinciden</v>
      </c>
      <c r="M36" s="2"/>
    </row>
    <row r="37" spans="1:13" ht="15.75" customHeight="1" x14ac:dyDescent="0.25">
      <c r="A37" s="6" t="s">
        <v>82</v>
      </c>
      <c r="B37" s="1" t="s">
        <v>83</v>
      </c>
      <c r="C37" s="7" t="str">
        <f>IF(ISERROR(LOOKUP(2^15,SEARCH(B37,'2023'!$B$3:$B$1734,1),'2023'!$A$3:$A$1734)),"NO","SI")</f>
        <v>NO</v>
      </c>
      <c r="D37" s="7" t="str">
        <f>IF(ISERROR(LOOKUP(2^15,SEARCH(B37,'2022'!$B$2:$B$1591,1),'2022'!$A$2:$A$1591)),"NO","SI")</f>
        <v>NO</v>
      </c>
      <c r="E37" s="7" t="str">
        <f>IF(ISERROR(LOOKUP(2^15,SEARCH(B37,'2021'!$B$2:$B$1494,1),'2021'!$A$2:$A$1494)),"NO","SI")</f>
        <v>NO</v>
      </c>
      <c r="F37" s="7" t="str">
        <f>IF(ISERROR(LOOKUP(2^15,SEARCH(B37,'2020'!$B$2:$B$1278,1),'2020'!$A$2:$A$1278)),"NO","SI")</f>
        <v>NO</v>
      </c>
      <c r="G37" s="7" t="str">
        <f>IF(ISERROR(LOOKUP(2^15,SEARCH(B37,'2019'!$B$2:$B$1108,1),'2019'!$A$2:$A$1108)),"NO","SI")</f>
        <v>NO</v>
      </c>
      <c r="H37" s="7" t="str">
        <f>IF(ISERROR(LOOKUP(2^15,SEARCH(B37,'2018'!$B$1:$B$1047,1),'2018'!$A$1:$A$1047)),"NO","SI")</f>
        <v>NO</v>
      </c>
      <c r="I37" s="8" t="str">
        <f>IF(ISERROR(LOOKUP(2^15,SEARCH(B37,'ALERTA SANITARIA'!$B$2:$B$269,1),'2018'!$A$1:$A$1047)),"NO","SI")</f>
        <v>SI</v>
      </c>
      <c r="J37" s="6" t="str">
        <f t="shared" si="0"/>
        <v>COFEPRIS</v>
      </c>
      <c r="K37" s="6">
        <f t="array" ref="K37">IFERROR(INDEX(Anterior!$C$1:$D$323,MATCH(B37,Anterior!$B$2:$B$323,0)+1,2),0)</f>
        <v>0</v>
      </c>
      <c r="L37" s="6" t="str">
        <f t="shared" si="1"/>
        <v>Nuevo</v>
      </c>
      <c r="M37" s="2"/>
    </row>
    <row r="38" spans="1:13" ht="15.75" customHeight="1" x14ac:dyDescent="0.25">
      <c r="A38" s="6" t="s">
        <v>84</v>
      </c>
      <c r="B38" s="1" t="s">
        <v>85</v>
      </c>
      <c r="C38" s="7" t="str">
        <f>IF(ISERROR(LOOKUP(2^15,SEARCH(B38,'2023'!$B$3:$B$1734,1),'2023'!$A$3:$A$1734)),"NO","SI")</f>
        <v>NO</v>
      </c>
      <c r="D38" s="7" t="str">
        <f>IF(ISERROR(LOOKUP(2^15,SEARCH(B38,'2022'!$B$2:$B$1591,1),'2022'!$A$2:$A$1591)),"NO","SI")</f>
        <v>NO</v>
      </c>
      <c r="E38" s="7" t="str">
        <f>IF(ISERROR(LOOKUP(2^15,SEARCH(B38,'2021'!$B$2:$B$1494,1),'2021'!$A$2:$A$1494)),"NO","SI")</f>
        <v>NO</v>
      </c>
      <c r="F38" s="7" t="str">
        <f>IF(ISERROR(LOOKUP(2^15,SEARCH(B38,'2020'!$B$2:$B$1278,1),'2020'!$A$2:$A$1278)),"NO","SI")</f>
        <v>NO</v>
      </c>
      <c r="G38" s="7" t="str">
        <f>IF(ISERROR(LOOKUP(2^15,SEARCH(B38,'2019'!$B$2:$B$1108,1),'2019'!$A$2:$A$1108)),"NO","SI")</f>
        <v>NO</v>
      </c>
      <c r="H38" s="7" t="str">
        <f>IF(ISERROR(LOOKUP(2^15,SEARCH(B38,'2018'!$B$1:$B$1047,1),'2018'!$A$1:$A$1047)),"NO","SI")</f>
        <v>NO</v>
      </c>
      <c r="I38" s="8" t="str">
        <f>IF(ISERROR(LOOKUP(2^15,SEARCH(B38,'ALERTA SANITARIA'!$B$2:$B$269,1),'2018'!$A$1:$A$1047)),"NO","SI")</f>
        <v>SI</v>
      </c>
      <c r="J38" s="6" t="str">
        <f t="shared" si="0"/>
        <v>COFEPRIS</v>
      </c>
      <c r="K38" s="6" t="str">
        <f t="array" ref="K38">IFERROR(INDEX(Anterior!$C$1:$D$323,MATCH(B38,Anterior!$B$2:$B$323,0)+1,2),0)</f>
        <v>COFEPRIS</v>
      </c>
      <c r="L38" s="6" t="str">
        <f t="shared" si="1"/>
        <v>coinciden</v>
      </c>
      <c r="M38" s="2"/>
    </row>
    <row r="39" spans="1:13" ht="15.75" customHeight="1" x14ac:dyDescent="0.25">
      <c r="A39" s="6" t="s">
        <v>86</v>
      </c>
      <c r="B39" s="1" t="s">
        <v>87</v>
      </c>
      <c r="C39" s="7" t="str">
        <f>IF(ISERROR(LOOKUP(2^15,SEARCH(B39,'2023'!$B$3:$B$1734,1),'2023'!$A$3:$A$1734)),"NO","SI")</f>
        <v>NO</v>
      </c>
      <c r="D39" s="7" t="str">
        <f>IF(ISERROR(LOOKUP(2^15,SEARCH(B39,'2022'!$B$2:$B$1591,1),'2022'!$A$2:$A$1591)),"NO","SI")</f>
        <v>NO</v>
      </c>
      <c r="E39" s="7" t="str">
        <f>IF(ISERROR(LOOKUP(2^15,SEARCH(B39,'2021'!$B$2:$B$1494,1),'2021'!$A$2:$A$1494)),"NO","SI")</f>
        <v>NO</v>
      </c>
      <c r="F39" s="7" t="str">
        <f>IF(ISERROR(LOOKUP(2^15,SEARCH(B39,'2020'!$B$2:$B$1278,1),'2020'!$A$2:$A$1278)),"NO","SI")</f>
        <v>NO</v>
      </c>
      <c r="G39" s="7" t="str">
        <f>IF(ISERROR(LOOKUP(2^15,SEARCH(B39,'2019'!$B$2:$B$1108,1),'2019'!$A$2:$A$1108)),"NO","SI")</f>
        <v>NO</v>
      </c>
      <c r="H39" s="7" t="str">
        <f>IF(ISERROR(LOOKUP(2^15,SEARCH(B39,'2018'!$B$1:$B$1047,1),'2018'!$A$1:$A$1047)),"NO","SI")</f>
        <v>NO</v>
      </c>
      <c r="I39" s="8" t="str">
        <f>IF(ISERROR(LOOKUP(2^15,SEARCH(B39,'ALERTA SANITARIA'!$B$2:$B$269,1),'2018'!$A$1:$A$1047)),"NO","SI")</f>
        <v>SI</v>
      </c>
      <c r="J39" s="6" t="str">
        <f t="shared" si="0"/>
        <v>COFEPRIS</v>
      </c>
      <c r="K39" s="6" t="str">
        <f t="array" ref="K39">IFERROR(INDEX(Anterior!$C$1:$D$323,MATCH(B39,Anterior!$B$2:$B$323,0)+1,2),0)</f>
        <v>COFEPRIS</v>
      </c>
      <c r="L39" s="6" t="str">
        <f t="shared" si="1"/>
        <v>coinciden</v>
      </c>
      <c r="M39" s="2"/>
    </row>
    <row r="40" spans="1:13" ht="15.75" customHeight="1" x14ac:dyDescent="0.25">
      <c r="A40" s="6" t="s">
        <v>88</v>
      </c>
      <c r="B40" s="1" t="s">
        <v>89</v>
      </c>
      <c r="C40" s="7" t="str">
        <f>IF(ISERROR(LOOKUP(2^15,SEARCH(B40,'2023'!$B$3:$B$1734,1),'2023'!$A$3:$A$1734)),"NO","SI")</f>
        <v>NO</v>
      </c>
      <c r="D40" s="7" t="str">
        <f>IF(ISERROR(LOOKUP(2^15,SEARCH(B40,'2022'!$B$2:$B$1591,1),'2022'!$A$2:$A$1591)),"NO","SI")</f>
        <v>NO</v>
      </c>
      <c r="E40" s="7" t="str">
        <f>IF(ISERROR(LOOKUP(2^15,SEARCH(B40,'2021'!$B$2:$B$1494,1),'2021'!$A$2:$A$1494)),"NO","SI")</f>
        <v>NO</v>
      </c>
      <c r="F40" s="7" t="str">
        <f>IF(ISERROR(LOOKUP(2^15,SEARCH(B40,'2020'!$B$2:$B$1278,1),'2020'!$A$2:$A$1278)),"NO","SI")</f>
        <v>NO</v>
      </c>
      <c r="G40" s="7" t="str">
        <f>IF(ISERROR(LOOKUP(2^15,SEARCH(B40,'2019'!$B$2:$B$1108,1),'2019'!$A$2:$A$1108)),"NO","SI")</f>
        <v>NO</v>
      </c>
      <c r="H40" s="7" t="str">
        <f>IF(ISERROR(LOOKUP(2^15,SEARCH(B40,'2018'!$B$1:$B$1047,1),'2018'!$A$1:$A$1047)),"NO","SI")</f>
        <v>NO</v>
      </c>
      <c r="I40" s="8" t="str">
        <f>IF(ISERROR(LOOKUP(2^15,SEARCH(B40,'ALERTA SANITARIA'!$B$2:$B$269,1),'2018'!$A$1:$A$1047)),"NO","SI")</f>
        <v>SI</v>
      </c>
      <c r="J40" s="6" t="str">
        <f t="shared" si="0"/>
        <v>COFEPRIS</v>
      </c>
      <c r="K40" s="6" t="str">
        <f t="array" ref="K40">IFERROR(INDEX(Anterior!$C$1:$D$323,MATCH(B40,Anterior!$B$2:$B$323,0)+1,2),0)</f>
        <v>COFEPRIS</v>
      </c>
      <c r="L40" s="6" t="str">
        <f t="shared" si="1"/>
        <v>coinciden</v>
      </c>
      <c r="M40" s="2"/>
    </row>
    <row r="41" spans="1:13" ht="15.75" customHeight="1" x14ac:dyDescent="0.25">
      <c r="A41" s="6" t="s">
        <v>90</v>
      </c>
      <c r="B41" s="1" t="s">
        <v>91</v>
      </c>
      <c r="C41" s="7" t="str">
        <f>IF(ISERROR(LOOKUP(2^15,SEARCH(B41,'2023'!$B$3:$B$1734,1),'2023'!$A$3:$A$1734)),"NO","SI")</f>
        <v>SI</v>
      </c>
      <c r="D41" s="7" t="str">
        <f>IF(ISERROR(LOOKUP(2^15,SEARCH(B41,'2022'!$B$2:$B$1591,1),'2022'!$A$2:$A$1591)),"NO","SI")</f>
        <v>SI</v>
      </c>
      <c r="E41" s="7" t="str">
        <f>IF(ISERROR(LOOKUP(2^15,SEARCH(B41,'2021'!$B$2:$B$1494,1),'2021'!$A$2:$A$1494)),"NO","SI")</f>
        <v>SI</v>
      </c>
      <c r="F41" s="7" t="str">
        <f>IF(ISERROR(LOOKUP(2^15,SEARCH(B41,'2020'!$B$2:$B$1278,1),'2020'!$A$2:$A$1278)),"NO","SI")</f>
        <v>SI</v>
      </c>
      <c r="G41" s="7" t="str">
        <f>IF(ISERROR(LOOKUP(2^15,SEARCH(B41,'2019'!$B$2:$B$1108,1),'2019'!$A$2:$A$1108)),"NO","SI")</f>
        <v>SI</v>
      </c>
      <c r="H41" s="7" t="str">
        <f>IF(ISERROR(LOOKUP(2^15,SEARCH(B41,'2018'!$B$1:$B$1047,1),'2018'!$A$1:$A$1047)),"NO","SI")</f>
        <v>SI</v>
      </c>
      <c r="I41" s="8" t="str">
        <f>IF(ISERROR(LOOKUP(2^15,SEARCH(B41,'ALERTA SANITARIA'!$B$2:$B$269,1),'2018'!$A$1:$A$1047)),"NO","SI")</f>
        <v>NO</v>
      </c>
      <c r="J41" s="6" t="str">
        <f t="shared" si="0"/>
        <v>DOF</v>
      </c>
      <c r="K41" s="6" t="str">
        <f t="array" ref="K41">IFERROR(INDEX(Anterior!$C$1:$D$323,MATCH(B41,Anterior!$B$2:$B$323,0)+1,2),0)</f>
        <v>DOF</v>
      </c>
      <c r="L41" s="6" t="str">
        <f t="shared" si="1"/>
        <v>coinciden</v>
      </c>
      <c r="M41" s="2"/>
    </row>
    <row r="42" spans="1:13" ht="15.75" customHeight="1" x14ac:dyDescent="0.25">
      <c r="A42" s="6" t="s">
        <v>92</v>
      </c>
      <c r="B42" s="1" t="s">
        <v>93</v>
      </c>
      <c r="C42" s="7" t="str">
        <f>IF(ISERROR(LOOKUP(2^15,SEARCH(B42,'2023'!$B$3:$B$1734,1),'2023'!$A$3:$A$1734)),"NO","SI")</f>
        <v>NO</v>
      </c>
      <c r="D42" s="7" t="str">
        <f>IF(ISERROR(LOOKUP(2^15,SEARCH(B42,'2022'!$B$2:$B$1591,1),'2022'!$A$2:$A$1591)),"NO","SI")</f>
        <v>NO</v>
      </c>
      <c r="E42" s="7" t="str">
        <f>IF(ISERROR(LOOKUP(2^15,SEARCH(B42,'2021'!$B$2:$B$1494,1),'2021'!$A$2:$A$1494)),"NO","SI")</f>
        <v>NO</v>
      </c>
      <c r="F42" s="7" t="str">
        <f>IF(ISERROR(LOOKUP(2^15,SEARCH(B42,'2020'!$B$2:$B$1278,1),'2020'!$A$2:$A$1278)),"NO","SI")</f>
        <v>NO</v>
      </c>
      <c r="G42" s="7" t="str">
        <f>IF(ISERROR(LOOKUP(2^15,SEARCH(B42,'2019'!$B$2:$B$1108,1),'2019'!$A$2:$A$1108)),"NO","SI")</f>
        <v>NO</v>
      </c>
      <c r="H42" s="7" t="str">
        <f>IF(ISERROR(LOOKUP(2^15,SEARCH(B42,'2018'!$B$1:$B$1047,1),'2018'!$A$1:$A$1047)),"NO","SI")</f>
        <v>NO</v>
      </c>
      <c r="I42" s="8" t="str">
        <f>IF(ISERROR(LOOKUP(2^15,SEARCH(B42,'ALERTA SANITARIA'!$B$2:$B$269,1),'2018'!$A$1:$A$1047)),"NO","SI")</f>
        <v>SI</v>
      </c>
      <c r="J42" s="6" t="str">
        <f t="shared" si="0"/>
        <v>COFEPRIS</v>
      </c>
      <c r="K42" s="6" t="str">
        <f t="array" ref="K42">IFERROR(INDEX(Anterior!$C$1:$D$323,MATCH(B42,Anterior!$B$2:$B$323,0)+1,2),0)</f>
        <v>COFEPRIS</v>
      </c>
      <c r="L42" s="6" t="str">
        <f t="shared" si="1"/>
        <v>coinciden</v>
      </c>
      <c r="M42" s="2"/>
    </row>
    <row r="43" spans="1:13" ht="15.75" customHeight="1" x14ac:dyDescent="0.25">
      <c r="A43" s="6" t="s">
        <v>94</v>
      </c>
      <c r="B43" s="1" t="s">
        <v>95</v>
      </c>
      <c r="C43" s="7" t="str">
        <f>IF(ISERROR(LOOKUP(2^15,SEARCH(B43,'2023'!$B$3:$B$1734,1),'2023'!$A$3:$A$1734)),"NO","SI")</f>
        <v>NO</v>
      </c>
      <c r="D43" s="7" t="str">
        <f>IF(ISERROR(LOOKUP(2^15,SEARCH(B43,'2022'!$B$2:$B$1591,1),'2022'!$A$2:$A$1591)),"NO","SI")</f>
        <v>NO</v>
      </c>
      <c r="E43" s="7" t="str">
        <f>IF(ISERROR(LOOKUP(2^15,SEARCH(B43,'2021'!$B$2:$B$1494,1),'2021'!$A$2:$A$1494)),"NO","SI")</f>
        <v>NO</v>
      </c>
      <c r="F43" s="7" t="str">
        <f>IF(ISERROR(LOOKUP(2^15,SEARCH(B43,'2020'!$B$2:$B$1278,1),'2020'!$A$2:$A$1278)),"NO","SI")</f>
        <v>NO</v>
      </c>
      <c r="G43" s="7" t="str">
        <f>IF(ISERROR(LOOKUP(2^15,SEARCH(B43,'2019'!$B$2:$B$1108,1),'2019'!$A$2:$A$1108)),"NO","SI")</f>
        <v>NO</v>
      </c>
      <c r="H43" s="7" t="str">
        <f>IF(ISERROR(LOOKUP(2^15,SEARCH(B43,'2018'!$B$1:$B$1047,1),'2018'!$A$1:$A$1047)),"NO","SI")</f>
        <v>NO</v>
      </c>
      <c r="I43" s="8" t="str">
        <f>IF(ISERROR(LOOKUP(2^15,SEARCH(B43,'ALERTA SANITARIA'!$B$2:$B$269,1),'2018'!$A$1:$A$1047)),"NO","SI")</f>
        <v>SI</v>
      </c>
      <c r="J43" s="6" t="str">
        <f t="shared" si="0"/>
        <v>COFEPRIS</v>
      </c>
      <c r="K43" s="6" t="str">
        <f t="array" ref="K43">IFERROR(INDEX(Anterior!$C$1:$D$323,MATCH(B43,Anterior!$B$2:$B$323,0)+1,2),0)</f>
        <v>COFEPRIS</v>
      </c>
      <c r="L43" s="6" t="str">
        <f t="shared" si="1"/>
        <v>coinciden</v>
      </c>
      <c r="M43" s="2"/>
    </row>
    <row r="44" spans="1:13" ht="15.75" customHeight="1" x14ac:dyDescent="0.25">
      <c r="A44" s="6" t="s">
        <v>96</v>
      </c>
      <c r="B44" s="1" t="s">
        <v>97</v>
      </c>
      <c r="C44" s="7" t="str">
        <f>IF(ISERROR(LOOKUP(2^15,SEARCH(B44,'2023'!$B$3:$B$1734,1),'2023'!$A$3:$A$1734)),"NO","SI")</f>
        <v>NO</v>
      </c>
      <c r="D44" s="7" t="str">
        <f>IF(ISERROR(LOOKUP(2^15,SEARCH(B44,'2022'!$B$2:$B$1591,1),'2022'!$A$2:$A$1591)),"NO","SI")</f>
        <v>NO</v>
      </c>
      <c r="E44" s="7" t="str">
        <f>IF(ISERROR(LOOKUP(2^15,SEARCH(B44,'2021'!$B$2:$B$1494,1),'2021'!$A$2:$A$1494)),"NO","SI")</f>
        <v>NO</v>
      </c>
      <c r="F44" s="7" t="str">
        <f>IF(ISERROR(LOOKUP(2^15,SEARCH(B44,'2020'!$B$2:$B$1278,1),'2020'!$A$2:$A$1278)),"NO","SI")</f>
        <v>NO</v>
      </c>
      <c r="G44" s="7" t="str">
        <f>IF(ISERROR(LOOKUP(2^15,SEARCH(B44,'2019'!$B$2:$B$1108,1),'2019'!$A$2:$A$1108)),"NO","SI")</f>
        <v>NO</v>
      </c>
      <c r="H44" s="7" t="str">
        <f>IF(ISERROR(LOOKUP(2^15,SEARCH(B44,'2018'!$B$1:$B$1047,1),'2018'!$A$1:$A$1047)),"NO","SI")</f>
        <v>NO</v>
      </c>
      <c r="I44" s="8" t="str">
        <f>IF(ISERROR(LOOKUP(2^15,SEARCH(B44,'ALERTA SANITARIA'!$B$2:$B$269,1),'2018'!$A$1:$A$1047)),"NO","SI")</f>
        <v>NO</v>
      </c>
      <c r="J44" s="6" t="str">
        <f t="shared" si="0"/>
        <v>Ninguno</v>
      </c>
      <c r="K44" s="6" t="str">
        <f t="array" ref="K44">IFERROR(INDEX(Anterior!$C$1:$D$323,MATCH(B44,Anterior!$B$2:$B$323,0)+1,2),0)</f>
        <v>COFEPRIS</v>
      </c>
      <c r="L44" s="6" t="str">
        <f t="shared" si="1"/>
        <v>Discrepan</v>
      </c>
      <c r="M44" s="2" t="s">
        <v>14</v>
      </c>
    </row>
    <row r="45" spans="1:13" ht="15.75" customHeight="1" x14ac:dyDescent="0.25">
      <c r="A45" s="6" t="s">
        <v>98</v>
      </c>
      <c r="B45" s="1" t="s">
        <v>99</v>
      </c>
      <c r="C45" s="7" t="s">
        <v>14</v>
      </c>
      <c r="D45" s="7" t="s">
        <v>14</v>
      </c>
      <c r="E45" s="7" t="s">
        <v>14</v>
      </c>
      <c r="F45" s="7" t="str">
        <f>IF(ISERROR(LOOKUP(2^15,SEARCH(B45,'2020'!$B$2:$B$1278,1),'2020'!$A$2:$A$1278)),"NO","SI")</f>
        <v>NO</v>
      </c>
      <c r="G45" s="7" t="str">
        <f>IF(ISERROR(LOOKUP(2^15,SEARCH(B45,'2019'!$B$2:$B$1108,1),'2019'!$A$2:$A$1108)),"NO","SI")</f>
        <v>NO</v>
      </c>
      <c r="H45" s="7" t="str">
        <f>IF(ISERROR(LOOKUP(2^15,SEARCH(B45,'2018'!$B$1:$B$1047,1),'2018'!$A$1:$A$1047)),"NO","SI")</f>
        <v>NO</v>
      </c>
      <c r="I45" s="8" t="str">
        <f>IF(ISERROR(LOOKUP(2^15,SEARCH(B45,'ALERTA SANITARIA'!$B$2:$B$269,1),'2018'!$A$1:$A$1047)),"NO","SI")</f>
        <v>SI</v>
      </c>
      <c r="J45" s="6" t="str">
        <f t="shared" si="0"/>
        <v>COFEPRIS</v>
      </c>
      <c r="K45" s="6" t="str">
        <f t="array" ref="K45">IFERROR(INDEX(Anterior!$C$1:$D$323,MATCH(B45,Anterior!$B$2:$B$323,0)+1,2),0)</f>
        <v>COFEPRIS</v>
      </c>
      <c r="L45" s="6" t="str">
        <f t="shared" si="1"/>
        <v>coinciden</v>
      </c>
      <c r="M45" s="2"/>
    </row>
    <row r="46" spans="1:13" ht="15.75" customHeight="1" x14ac:dyDescent="0.25">
      <c r="A46" s="6" t="s">
        <v>100</v>
      </c>
      <c r="B46" s="1" t="s">
        <v>101</v>
      </c>
      <c r="C46" s="7" t="str">
        <f>IF(ISERROR(LOOKUP(2^15,SEARCH(B46,'2023'!$B$3:$B$1734,1),'2023'!$A$3:$A$1734)),"NO","SI")</f>
        <v>NO</v>
      </c>
      <c r="D46" s="7" t="str">
        <f>IF(ISERROR(LOOKUP(2^15,SEARCH(B46,'2022'!$B$2:$B$1591,1),'2022'!$A$2:$A$1591)),"NO","SI")</f>
        <v>NO</v>
      </c>
      <c r="E46" s="7" t="str">
        <f>IF(ISERROR(LOOKUP(2^15,SEARCH(B46,'2021'!$B$2:$B$1494,1),'2021'!$A$2:$A$1494)),"NO","SI")</f>
        <v>NO</v>
      </c>
      <c r="F46" s="7" t="str">
        <f>IF(ISERROR(LOOKUP(2^15,SEARCH(B46,'2020'!$B$2:$B$1278,1),'2020'!$A$2:$A$1278)),"NO","SI")</f>
        <v>NO</v>
      </c>
      <c r="G46" s="7" t="str">
        <f>IF(ISERROR(LOOKUP(2^15,SEARCH(B46,'2019'!$B$2:$B$1108,1),'2019'!$A$2:$A$1108)),"NO","SI")</f>
        <v>NO</v>
      </c>
      <c r="H46" s="7" t="str">
        <f>IF(ISERROR(LOOKUP(2^15,SEARCH(B46,'2018'!$B$1:$B$1047,1),'2018'!$A$1:$A$1047)),"NO","SI")</f>
        <v>NO</v>
      </c>
      <c r="I46" s="8" t="str">
        <f>IF(ISERROR(LOOKUP(2^15,SEARCH(B46,'ALERTA SANITARIA'!$B$2:$B$269,1),'2018'!$A$1:$A$1047)),"NO","SI")</f>
        <v>NO</v>
      </c>
      <c r="J46" s="6" t="str">
        <f t="shared" si="0"/>
        <v>Ninguno</v>
      </c>
      <c r="K46" s="6" t="str">
        <f t="array" ref="K46">IFERROR(INDEX(Anterior!$C$1:$D$323,MATCH(B46,Anterior!$B$2:$B$323,0)+1,2),0)</f>
        <v>Ninguno</v>
      </c>
      <c r="L46" s="6" t="str">
        <f t="shared" si="1"/>
        <v>coinciden</v>
      </c>
      <c r="M46" s="2"/>
    </row>
    <row r="47" spans="1:13" ht="15.75" customHeight="1" x14ac:dyDescent="0.25">
      <c r="A47" s="6" t="s">
        <v>102</v>
      </c>
      <c r="B47" s="1" t="s">
        <v>103</v>
      </c>
      <c r="C47" s="7" t="str">
        <f>IF(ISERROR(LOOKUP(2^15,SEARCH(B47,'2023'!$B$3:$B$1734,1),'2023'!$A$3:$A$1734)),"NO","SI")</f>
        <v>SI</v>
      </c>
      <c r="D47" s="7" t="str">
        <f>IF(ISERROR(LOOKUP(2^15,SEARCH(B47,'2022'!$B$2:$B$1591,1),'2022'!$A$2:$A$1591)),"NO","SI")</f>
        <v>SI</v>
      </c>
      <c r="E47" s="7" t="str">
        <f>IF(ISERROR(LOOKUP(2^15,SEARCH(B47,'2021'!$B$2:$B$1494,1),'2021'!$A$2:$A$1494)),"NO","SI")</f>
        <v>SI</v>
      </c>
      <c r="F47" s="7" t="str">
        <f>IF(ISERROR(LOOKUP(2^15,SEARCH(B47,'2020'!$B$2:$B$1278,1),'2020'!$A$2:$A$1278)),"NO","SI")</f>
        <v>SI</v>
      </c>
      <c r="G47" s="7" t="str">
        <f>IF(ISERROR(LOOKUP(2^15,SEARCH(B47,'2019'!$B$2:$B$1108,1),'2019'!$A$2:$A$1108)),"NO","SI")</f>
        <v>SI</v>
      </c>
      <c r="H47" s="7" t="str">
        <f>IF(ISERROR(LOOKUP(2^15,SEARCH(B47,'2018'!$B$1:$B$1047,1),'2018'!$A$1:$A$1047)),"NO","SI")</f>
        <v>SI</v>
      </c>
      <c r="I47" s="8" t="str">
        <f>IF(ISERROR(LOOKUP(2^15,SEARCH(B47,'ALERTA SANITARIA'!$B$2:$B$269,1),'2018'!$A$1:$A$1047)),"NO","SI")</f>
        <v>NO</v>
      </c>
      <c r="J47" s="6" t="str">
        <f t="shared" si="0"/>
        <v>DOF</v>
      </c>
      <c r="K47" s="6" t="str">
        <f t="array" ref="K47">IFERROR(INDEX(Anterior!$C$1:$D$323,MATCH(B47,Anterior!$B$2:$B$323,0)+1,2),0)</f>
        <v>DOF</v>
      </c>
      <c r="L47" s="6" t="str">
        <f t="shared" si="1"/>
        <v>coinciden</v>
      </c>
      <c r="M47" s="2"/>
    </row>
    <row r="48" spans="1:13" ht="15.75" customHeight="1" x14ac:dyDescent="0.25">
      <c r="A48" s="6" t="s">
        <v>104</v>
      </c>
      <c r="B48" s="1" t="s">
        <v>105</v>
      </c>
      <c r="C48" s="7" t="str">
        <f>IF(ISERROR(LOOKUP(2^15,SEARCH(B48,'2023'!$B$3:$B$1734,1),'2023'!$A$3:$A$1734)),"NO","SI")</f>
        <v>NO</v>
      </c>
      <c r="D48" s="7" t="str">
        <f>IF(ISERROR(LOOKUP(2^15,SEARCH(B48,'2022'!$B$2:$B$1591,1),'2022'!$A$2:$A$1591)),"NO","SI")</f>
        <v>NO</v>
      </c>
      <c r="E48" s="7" t="str">
        <f>IF(ISERROR(LOOKUP(2^15,SEARCH(B48,'2021'!$B$2:$B$1494,1),'2021'!$A$2:$A$1494)),"NO","SI")</f>
        <v>NO</v>
      </c>
      <c r="F48" s="7" t="str">
        <f>IF(ISERROR(LOOKUP(2^15,SEARCH(B48,'2020'!$B$2:$B$1278,1),'2020'!$A$2:$A$1278)),"NO","SI")</f>
        <v>NO</v>
      </c>
      <c r="G48" s="7" t="str">
        <f>IF(ISERROR(LOOKUP(2^15,SEARCH(B48,'2019'!$B$2:$B$1108,1),'2019'!$A$2:$A$1108)),"NO","SI")</f>
        <v>NO</v>
      </c>
      <c r="H48" s="7" t="str">
        <f>IF(ISERROR(LOOKUP(2^15,SEARCH(B48,'2018'!$B$1:$B$1047,1),'2018'!$A$1:$A$1047)),"NO","SI")</f>
        <v>NO</v>
      </c>
      <c r="I48" s="8" t="str">
        <f>IF(ISERROR(LOOKUP(2^15,SEARCH(B48,'ALERTA SANITARIA'!$B$2:$B$269,1),'2018'!$A$1:$A$1047)),"NO","SI")</f>
        <v>SI</v>
      </c>
      <c r="J48" s="6" t="str">
        <f t="shared" si="0"/>
        <v>COFEPRIS</v>
      </c>
      <c r="K48" s="6" t="str">
        <f t="array" ref="K48">IFERROR(INDEX(Anterior!$C$1:$D$323,MATCH(B48,Anterior!$B$2:$B$323,0)+1,2),0)</f>
        <v>COFEPRIS</v>
      </c>
      <c r="L48" s="6" t="str">
        <f t="shared" si="1"/>
        <v>coinciden</v>
      </c>
      <c r="M48" s="2"/>
    </row>
    <row r="49" spans="1:16" ht="15.75" customHeight="1" x14ac:dyDescent="0.25">
      <c r="A49" s="6" t="s">
        <v>106</v>
      </c>
      <c r="B49" s="1" t="s">
        <v>107</v>
      </c>
      <c r="C49" s="7" t="str">
        <f>IF(ISERROR(LOOKUP(2^15,SEARCH(B49,'2023'!$B$3:$B$1734,1),'2023'!$A$3:$A$1734)),"NO","SI")</f>
        <v>SI</v>
      </c>
      <c r="D49" s="7" t="str">
        <f>IF(ISERROR(LOOKUP(2^15,SEARCH(B49,'2022'!$B$2:$B$1591,1),'2022'!$A$2:$A$1591)),"NO","SI")</f>
        <v>SI</v>
      </c>
      <c r="E49" s="7" t="str">
        <f>IF(ISERROR(LOOKUP(2^15,SEARCH(B49,'2021'!$B$2:$B$1494,1),'2021'!$A$2:$A$1494)),"NO","SI")</f>
        <v>SI</v>
      </c>
      <c r="F49" s="7" t="str">
        <f>IF(ISERROR(LOOKUP(2^15,SEARCH(B49,'2020'!$B$2:$B$1278,1),'2020'!$A$2:$A$1278)),"NO","SI")</f>
        <v>SI</v>
      </c>
      <c r="G49" s="7" t="str">
        <f>IF(ISERROR(LOOKUP(2^15,SEARCH(B49,'2019'!$B$2:$B$1108,1),'2019'!$A$2:$A$1108)),"NO","SI")</f>
        <v>SI</v>
      </c>
      <c r="H49" s="7" t="str">
        <f>IF(ISERROR(LOOKUP(2^15,SEARCH(B49,'2018'!$B$1:$B$1047,1),'2018'!$A$1:$A$1047)),"NO","SI")</f>
        <v>SI</v>
      </c>
      <c r="I49" s="8" t="str">
        <f>IF(ISERROR(LOOKUP(2^15,SEARCH(B49,'ALERTA SANITARIA'!$B$2:$B$269,1),'2018'!$A$1:$A$1047)),"NO","SI")</f>
        <v>NO</v>
      </c>
      <c r="J49" s="6" t="str">
        <f t="shared" si="0"/>
        <v>DOF</v>
      </c>
      <c r="K49" s="6" t="str">
        <f t="array" ref="K49">IFERROR(INDEX(Anterior!$C$1:$D$323,MATCH(B49,Anterior!$B$2:$B$323,0)+1,2),0)</f>
        <v>DOF</v>
      </c>
      <c r="L49" s="6" t="str">
        <f t="shared" si="1"/>
        <v>coinciden</v>
      </c>
      <c r="M49" s="2"/>
    </row>
    <row r="50" spans="1:16" ht="15.75" customHeight="1" x14ac:dyDescent="0.25">
      <c r="A50" s="6" t="s">
        <v>108</v>
      </c>
      <c r="B50" s="1" t="s">
        <v>109</v>
      </c>
      <c r="C50" s="7" t="str">
        <f>IF(ISERROR(LOOKUP(2^15,SEARCH(B50,'2023'!$B$3:$B$1734,1),'2023'!$A$3:$A$1734)),"NO","SI")</f>
        <v>NO</v>
      </c>
      <c r="D50" s="7" t="str">
        <f>IF(ISERROR(LOOKUP(2^15,SEARCH(B50,'2022'!$B$2:$B$1591,1),'2022'!$A$2:$A$1591)),"NO","SI")</f>
        <v>NO</v>
      </c>
      <c r="E50" s="7" t="str">
        <f>IF(ISERROR(LOOKUP(2^15,SEARCH(B50,'2021'!$B$2:$B$1494,1),'2021'!$A$2:$A$1494)),"NO","SI")</f>
        <v>NO</v>
      </c>
      <c r="F50" s="7" t="str">
        <f>IF(ISERROR(LOOKUP(2^15,SEARCH(B50,'2020'!$B$2:$B$1278,1),'2020'!$A$2:$A$1278)),"NO","SI")</f>
        <v>NO</v>
      </c>
      <c r="G50" s="7" t="str">
        <f>IF(ISERROR(LOOKUP(2^15,SEARCH(B50,'2019'!$B$2:$B$1108,1),'2019'!$A$2:$A$1108)),"NO","SI")</f>
        <v>NO</v>
      </c>
      <c r="H50" s="7" t="str">
        <f>IF(ISERROR(LOOKUP(2^15,SEARCH(B50,'2018'!$B$1:$B$1047,1),'2018'!$A$1:$A$1047)),"NO","SI")</f>
        <v>NO</v>
      </c>
      <c r="I50" s="8" t="str">
        <f>IF(ISERROR(LOOKUP(2^15,SEARCH(B50,'ALERTA SANITARIA'!$B$2:$B$269,1),'2018'!$A$1:$A$1047)),"NO","SI")</f>
        <v>SI</v>
      </c>
      <c r="J50" s="6" t="str">
        <f t="shared" si="0"/>
        <v>COFEPRIS</v>
      </c>
      <c r="K50" s="6" t="str">
        <f t="array" ref="K50">IFERROR(INDEX(Anterior!$C$1:$D$323,MATCH(B50,Anterior!$B$2:$B$323,0)+1,2),0)</f>
        <v>COFEPRIS</v>
      </c>
      <c r="L50" s="6" t="str">
        <f t="shared" si="1"/>
        <v>coinciden</v>
      </c>
      <c r="M50" s="2"/>
    </row>
    <row r="51" spans="1:16" ht="15.75" customHeight="1" x14ac:dyDescent="0.25">
      <c r="A51" s="6" t="s">
        <v>110</v>
      </c>
      <c r="B51" s="1" t="s">
        <v>111</v>
      </c>
      <c r="C51" s="7" t="str">
        <f>IF(ISERROR(LOOKUP(2^15,SEARCH(B51,'2023'!$B$3:$B$1734,1),'2023'!$A$3:$A$1734)),"NO","SI")</f>
        <v>NO</v>
      </c>
      <c r="D51" s="7" t="str">
        <f>IF(ISERROR(LOOKUP(2^15,SEARCH(B51,'2022'!$B$2:$B$1591,1),'2022'!$A$2:$A$1591)),"NO","SI")</f>
        <v>NO</v>
      </c>
      <c r="E51" s="7" t="str">
        <f>IF(ISERROR(LOOKUP(2^15,SEARCH(B51,'2021'!$B$2:$B$1494,1),'2021'!$A$2:$A$1494)),"NO","SI")</f>
        <v>NO</v>
      </c>
      <c r="F51" s="7" t="str">
        <f>IF(ISERROR(LOOKUP(2^15,SEARCH(B51,'2020'!$B$2:$B$1278,1),'2020'!$A$2:$A$1278)),"NO","SI")</f>
        <v>NO</v>
      </c>
      <c r="G51" s="7" t="str">
        <f>IF(ISERROR(LOOKUP(2^15,SEARCH(B51,'2019'!$B$2:$B$1108,1),'2019'!$A$2:$A$1108)),"NO","SI")</f>
        <v>NO</v>
      </c>
      <c r="H51" s="7" t="str">
        <f>IF(ISERROR(LOOKUP(2^15,SEARCH(B51,'2018'!$B$1:$B$1047,1),'2018'!$A$1:$A$1047)),"NO","SI")</f>
        <v>NO</v>
      </c>
      <c r="I51" s="8" t="str">
        <f>IF(ISERROR(LOOKUP(2^15,SEARCH(B51,'ALERTA SANITARIA'!$B$2:$B$269,1),'2018'!$A$1:$A$1047)),"NO","SI")</f>
        <v>SI</v>
      </c>
      <c r="J51" s="6" t="str">
        <f t="shared" si="0"/>
        <v>COFEPRIS</v>
      </c>
      <c r="K51" s="6" t="str">
        <f t="array" ref="K51">IFERROR(INDEX(Anterior!$C$1:$D$323,MATCH(B51,Anterior!$B$2:$B$323,0)+1,2),0)</f>
        <v>COFEPRIS</v>
      </c>
      <c r="L51" s="6" t="str">
        <f t="shared" si="1"/>
        <v>coinciden</v>
      </c>
      <c r="M51" s="2"/>
    </row>
    <row r="52" spans="1:16" ht="15.75" customHeight="1" x14ac:dyDescent="0.25">
      <c r="A52" s="6" t="s">
        <v>112</v>
      </c>
      <c r="B52" s="1" t="s">
        <v>113</v>
      </c>
      <c r="C52" s="7" t="str">
        <f>IF(ISERROR(LOOKUP(2^15,SEARCH(B52,'2023'!$B$3:$B$1734,1),'2023'!$A$3:$A$1734)),"NO","SI")</f>
        <v>NO</v>
      </c>
      <c r="D52" s="7" t="str">
        <f>IF(ISERROR(LOOKUP(2^15,SEARCH(B52,'2022'!$B$2:$B$1591,1),'2022'!$A$2:$A$1591)),"NO","SI")</f>
        <v>NO</v>
      </c>
      <c r="E52" s="7" t="str">
        <f>IF(ISERROR(LOOKUP(2^15,SEARCH(B52,'2021'!$B$2:$B$1494,1),'2021'!$A$2:$A$1494)),"NO","SI")</f>
        <v>NO</v>
      </c>
      <c r="F52" s="7" t="str">
        <f>IF(ISERROR(LOOKUP(2^15,SEARCH(B52,'2020'!$B$2:$B$1278,1),'2020'!$A$2:$A$1278)),"NO","SI")</f>
        <v>NO</v>
      </c>
      <c r="G52" s="7" t="str">
        <f>IF(ISERROR(LOOKUP(2^15,SEARCH(B52,'2019'!$B$2:$B$1108,1),'2019'!$A$2:$A$1108)),"NO","SI")</f>
        <v>NO</v>
      </c>
      <c r="H52" s="7" t="str">
        <f>IF(ISERROR(LOOKUP(2^15,SEARCH(B52,'2018'!$B$1:$B$1047,1),'2018'!$A$1:$A$1047)),"NO","SI")</f>
        <v>NO</v>
      </c>
      <c r="I52" s="8" t="str">
        <f>IF(ISERROR(LOOKUP(2^15,SEARCH(B52,'ALERTA SANITARIA'!$B$2:$B$269,1),'2018'!$A$1:$A$1047)),"NO","SI")</f>
        <v>SI</v>
      </c>
      <c r="J52" s="6" t="str">
        <f t="shared" si="0"/>
        <v>COFEPRIS</v>
      </c>
      <c r="K52" s="6" t="str">
        <f t="array" ref="K52">IFERROR(INDEX(Anterior!$C$1:$D$323,MATCH(B52,Anterior!$B$2:$B$323,0)+1,2),0)</f>
        <v>COFEPRIS</v>
      </c>
      <c r="L52" s="6" t="str">
        <f t="shared" si="1"/>
        <v>coinciden</v>
      </c>
      <c r="M52" s="2"/>
    </row>
    <row r="53" spans="1:16" ht="15.75" customHeight="1" x14ac:dyDescent="0.25">
      <c r="A53" s="6" t="s">
        <v>114</v>
      </c>
      <c r="B53" s="1" t="s">
        <v>115</v>
      </c>
      <c r="C53" s="7" t="str">
        <f>IF(ISERROR(LOOKUP(2^15,SEARCH(B53,'2023'!$B$3:$B$1734,1),'2023'!$A$3:$A$1734)),"NO","SI")</f>
        <v>SI</v>
      </c>
      <c r="D53" s="7" t="str">
        <f>IF(ISERROR(LOOKUP(2^15,SEARCH(B53,'2022'!$B$2:$B$1591,1),'2022'!$A$2:$A$1591)),"NO","SI")</f>
        <v>SI</v>
      </c>
      <c r="E53" s="7" t="str">
        <f>IF(ISERROR(LOOKUP(2^15,SEARCH(B53,'2021'!$B$2:$B$1494,1),'2021'!$A$2:$A$1494)),"NO","SI")</f>
        <v>SI</v>
      </c>
      <c r="F53" s="7" t="str">
        <f>IF(ISERROR(LOOKUP(2^15,SEARCH(B53,'2020'!$B$2:$B$1278,1),'2020'!$A$2:$A$1278)),"NO","SI")</f>
        <v>SI</v>
      </c>
      <c r="G53" s="7" t="str">
        <f>IF(ISERROR(LOOKUP(2^15,SEARCH(B53,'2019'!$B$2:$B$1108,1),'2019'!$A$2:$A$1108)),"NO","SI")</f>
        <v>SI</v>
      </c>
      <c r="H53" s="7" t="str">
        <f>IF(ISERROR(LOOKUP(2^15,SEARCH(B53,'2018'!$B$1:$B$1047,1),'2018'!$A$1:$A$1047)),"NO","SI")</f>
        <v>SI</v>
      </c>
      <c r="I53" s="8" t="str">
        <f>IF(ISERROR(LOOKUP(2^15,SEARCH(B53,'ALERTA SANITARIA'!$B$2:$B$269,1),'2018'!$A$1:$A$1047)),"NO","SI")</f>
        <v>NO</v>
      </c>
      <c r="J53" s="6" t="str">
        <f t="shared" si="0"/>
        <v>DOF</v>
      </c>
      <c r="K53" s="6" t="str">
        <f t="array" ref="K53">IFERROR(INDEX(Anterior!$C$1:$D$323,MATCH(B53,Anterior!$B$2:$B$323,0)+1,2),0)</f>
        <v>DOF</v>
      </c>
      <c r="L53" s="6" t="str">
        <f t="shared" si="1"/>
        <v>coinciden</v>
      </c>
      <c r="M53" s="2"/>
    </row>
    <row r="54" spans="1:16" ht="15.75" customHeight="1" x14ac:dyDescent="0.25">
      <c r="A54" s="6" t="s">
        <v>116</v>
      </c>
      <c r="B54" s="1" t="s">
        <v>117</v>
      </c>
      <c r="C54" s="7" t="str">
        <f>IF(ISERROR(LOOKUP(2^15,SEARCH(B54,'2023'!$B$3:$B$1734,1),'2023'!$A$3:$A$1734)),"NO","SI")</f>
        <v>NO</v>
      </c>
      <c r="D54" s="7" t="str">
        <f>IF(ISERROR(LOOKUP(2^15,SEARCH(B54,'2022'!$B$2:$B$1591,1),'2022'!$A$2:$A$1591)),"NO","SI")</f>
        <v>NO</v>
      </c>
      <c r="E54" s="7" t="str">
        <f>IF(ISERROR(LOOKUP(2^15,SEARCH(B54,'2021'!$B$2:$B$1494,1),'2021'!$A$2:$A$1494)),"NO","SI")</f>
        <v>NO</v>
      </c>
      <c r="F54" s="7" t="str">
        <f>IF(ISERROR(LOOKUP(2^15,SEARCH(B54,'2020'!$B$2:$B$1278,1),'2020'!$A$2:$A$1278)),"NO","SI")</f>
        <v>NO</v>
      </c>
      <c r="G54" s="7" t="str">
        <f>IF(ISERROR(LOOKUP(2^15,SEARCH(B54,'2019'!$B$2:$B$1108,1),'2019'!$A$2:$A$1108)),"NO","SI")</f>
        <v>NO</v>
      </c>
      <c r="H54" s="7" t="str">
        <f>IF(ISERROR(LOOKUP(2^15,SEARCH(B54,'2018'!$B$1:$B$1047,1),'2018'!$A$1:$A$1047)),"NO","SI")</f>
        <v>NO</v>
      </c>
      <c r="I54" s="8" t="str">
        <f>IF(ISERROR(LOOKUP(2^15,SEARCH(B54,'ALERTA SANITARIA'!$B$2:$B$269,1),'2018'!$A$1:$A$1047)),"NO","SI")</f>
        <v>NO</v>
      </c>
      <c r="J54" s="6" t="str">
        <f t="shared" si="0"/>
        <v>Ninguno</v>
      </c>
      <c r="K54" s="6" t="str">
        <f t="array" ref="K54">IFERROR(INDEX(Anterior!$C$1:$D$323,MATCH(B54,Anterior!$B$2:$B$323,0)+1,2),0)</f>
        <v>Ninguno</v>
      </c>
      <c r="L54" s="6" t="str">
        <f t="shared" si="1"/>
        <v>coinciden</v>
      </c>
      <c r="M54" s="2" t="s">
        <v>14</v>
      </c>
    </row>
    <row r="55" spans="1:16" ht="15.75" customHeight="1" x14ac:dyDescent="0.25">
      <c r="A55" s="6" t="s">
        <v>118</v>
      </c>
      <c r="B55" s="1" t="s">
        <v>119</v>
      </c>
      <c r="C55" s="7" t="str">
        <f>IF(ISERROR(LOOKUP(2^15,SEARCH(B55,'2023'!$B$3:$B$1734,1),'2023'!$A$3:$A$1734)),"NO","SI")</f>
        <v>NO</v>
      </c>
      <c r="D55" s="7" t="str">
        <f>IF(ISERROR(LOOKUP(2^15,SEARCH(B55,'2022'!$B$2:$B$1591,1),'2022'!$A$2:$A$1591)),"NO","SI")</f>
        <v>NO</v>
      </c>
      <c r="E55" s="7" t="str">
        <f>IF(ISERROR(LOOKUP(2^15,SEARCH(B55,'2021'!$B$2:$B$1494,1),'2021'!$A$2:$A$1494)),"NO","SI")</f>
        <v>NO</v>
      </c>
      <c r="F55" s="7" t="str">
        <f>IF(ISERROR(LOOKUP(2^15,SEARCH(B55,'2020'!$B$2:$B$1278,1),'2020'!$A$2:$A$1278)),"NO","SI")</f>
        <v>NO</v>
      </c>
      <c r="G55" s="7" t="str">
        <f>IF(ISERROR(LOOKUP(2^15,SEARCH(B55,'2019'!$B$2:$B$1108,1),'2019'!$A$2:$A$1108)),"NO","SI")</f>
        <v>NO</v>
      </c>
      <c r="H55" s="7" t="str">
        <f>IF(ISERROR(LOOKUP(2^15,SEARCH(B55,'2018'!$B$1:$B$1047,1),'2018'!$A$1:$A$1047)),"NO","SI")</f>
        <v>NO</v>
      </c>
      <c r="I55" s="8" t="str">
        <f>IF(ISERROR(LOOKUP(2^15,SEARCH(B55,'ALERTA SANITARIA'!$B$2:$B$269,1),'2018'!$A$1:$A$1047)),"NO","SI")</f>
        <v>SI</v>
      </c>
      <c r="J55" s="6" t="str">
        <f t="shared" si="0"/>
        <v>COFEPRIS</v>
      </c>
      <c r="K55" s="6" t="str">
        <f t="array" ref="K55">IFERROR(INDEX(Anterior!$C$1:$D$323,MATCH(B55,Anterior!$B$2:$B$323,0)+1,2),0)</f>
        <v>COFEPRIS</v>
      </c>
      <c r="L55" s="6" t="str">
        <f t="shared" si="1"/>
        <v>coinciden</v>
      </c>
      <c r="M55" s="2"/>
    </row>
    <row r="56" spans="1:16" ht="15.75" customHeight="1" x14ac:dyDescent="0.25">
      <c r="A56" s="6" t="s">
        <v>120</v>
      </c>
      <c r="B56" s="1" t="s">
        <v>121</v>
      </c>
      <c r="C56" s="7" t="str">
        <f>IF(ISERROR(LOOKUP(2^15,SEARCH(B56,'2023'!$B$3:$B$1734,1),'2023'!$A$3:$A$1734)),"NO","SI")</f>
        <v>NO</v>
      </c>
      <c r="D56" s="7" t="str">
        <f>IF(ISERROR(LOOKUP(2^15,SEARCH(B56,'2022'!$B$2:$B$1591,1),'2022'!$A$2:$A$1591)),"NO","SI")</f>
        <v>NO</v>
      </c>
      <c r="E56" s="7" t="str">
        <f>IF(ISERROR(LOOKUP(2^15,SEARCH(B56,'2021'!$B$2:$B$1494,1),'2021'!$A$2:$A$1494)),"NO","SI")</f>
        <v>NO</v>
      </c>
      <c r="F56" s="7" t="str">
        <f>IF(ISERROR(LOOKUP(2^15,SEARCH(B56,'2020'!$B$2:$B$1278,1),'2020'!$A$2:$A$1278)),"NO","SI")</f>
        <v>NO</v>
      </c>
      <c r="G56" s="7" t="str">
        <f>IF(ISERROR(LOOKUP(2^15,SEARCH(B56,'2019'!$B$2:$B$1108,1),'2019'!$A$2:$A$1108)),"NO","SI")</f>
        <v>NO</v>
      </c>
      <c r="H56" s="7" t="str">
        <f>IF(ISERROR(LOOKUP(2^15,SEARCH(B56,'2018'!$B$1:$B$1047,1),'2018'!$A$1:$A$1047)),"NO","SI")</f>
        <v>NO</v>
      </c>
      <c r="I56" s="8" t="str">
        <f>IF(ISERROR(LOOKUP(2^15,SEARCH(B56,'ALERTA SANITARIA'!$B$2:$B$269,1),'2018'!$A$1:$A$1047)),"NO","SI")</f>
        <v>SI</v>
      </c>
      <c r="J56" s="6" t="str">
        <f t="shared" si="0"/>
        <v>COFEPRIS</v>
      </c>
      <c r="K56" s="6" t="str">
        <f t="array" ref="K56">IFERROR(INDEX(Anterior!$C$1:$D$323,MATCH(B56,Anterior!$B$2:$B$323,0)+1,2),0)</f>
        <v>COFEPRIS</v>
      </c>
      <c r="L56" s="6" t="str">
        <f t="shared" si="1"/>
        <v>coinciden</v>
      </c>
      <c r="M56" s="2"/>
    </row>
    <row r="57" spans="1:16" ht="15.75" customHeight="1" x14ac:dyDescent="0.25">
      <c r="A57" s="6" t="s">
        <v>122</v>
      </c>
      <c r="B57" s="1" t="s">
        <v>123</v>
      </c>
      <c r="C57" s="7" t="str">
        <f>IF(ISERROR(LOOKUP(2^15,SEARCH(B57,'2023'!$B$3:$B$1734,1),'2023'!$A$3:$A$1734)),"NO","SI")</f>
        <v>NO</v>
      </c>
      <c r="D57" s="7" t="str">
        <f>IF(ISERROR(LOOKUP(2^15,SEARCH(B57,'2022'!$B$2:$B$1591,1),'2022'!$A$2:$A$1591)),"NO","SI")</f>
        <v>NO</v>
      </c>
      <c r="E57" s="7" t="str">
        <f>IF(ISERROR(LOOKUP(2^15,SEARCH(B57,'2021'!$B$2:$B$1494,1),'2021'!$A$2:$A$1494)),"NO","SI")</f>
        <v>NO</v>
      </c>
      <c r="F57" s="7" t="str">
        <f>IF(ISERROR(LOOKUP(2^15,SEARCH(B57,'2020'!$B$2:$B$1278,1),'2020'!$A$2:$A$1278)),"NO","SI")</f>
        <v>NO</v>
      </c>
      <c r="G57" s="7" t="str">
        <f>IF(ISERROR(LOOKUP(2^15,SEARCH(B57,'2019'!$B$2:$B$1108,1),'2019'!$A$2:$A$1108)),"NO","SI")</f>
        <v>NO</v>
      </c>
      <c r="H57" s="7" t="str">
        <f>IF(ISERROR(LOOKUP(2^15,SEARCH(B57,'2018'!$B$1:$B$1047,1),'2018'!$A$1:$A$1047)),"NO","SI")</f>
        <v>NO</v>
      </c>
      <c r="I57" s="8" t="str">
        <f>IF(ISERROR(LOOKUP(2^15,SEARCH(B57,'ALERTA SANITARIA'!$B$2:$B$269,1),'2018'!$A$1:$A$1047)),"NO","SI")</f>
        <v>SI</v>
      </c>
      <c r="J57" s="6" t="str">
        <f t="shared" si="0"/>
        <v>COFEPRIS</v>
      </c>
      <c r="K57" s="6" t="str">
        <f t="array" ref="K57">IFERROR(INDEX(Anterior!$C$1:$D$323,MATCH(B57,Anterior!$B$2:$B$323,0)+1,2),0)</f>
        <v>COFEPRIS</v>
      </c>
      <c r="L57" s="6" t="str">
        <f t="shared" si="1"/>
        <v>coinciden</v>
      </c>
      <c r="M57" s="2"/>
    </row>
    <row r="58" spans="1:16" ht="15.75" customHeight="1" x14ac:dyDescent="0.25">
      <c r="A58" s="6" t="s">
        <v>124</v>
      </c>
      <c r="B58" s="1" t="s">
        <v>125</v>
      </c>
      <c r="C58" s="7" t="str">
        <f>IF(ISERROR(LOOKUP(2^15,SEARCH(B58,'2023'!$B$3:$B$1734,1),'2023'!$A$3:$A$1734)),"NO","SI")</f>
        <v>SI</v>
      </c>
      <c r="D58" s="7" t="str">
        <f>IF(ISERROR(LOOKUP(2^15,SEARCH(B58,'2022'!$B$2:$B$1591,1),'2022'!$A$2:$A$1591)),"NO","SI")</f>
        <v>SI</v>
      </c>
      <c r="E58" s="7" t="str">
        <f>IF(ISERROR(LOOKUP(2^15,SEARCH(B58,'2021'!$B$2:$B$1494,1),'2021'!$A$2:$A$1494)),"NO","SI")</f>
        <v>SI</v>
      </c>
      <c r="F58" s="7" t="str">
        <f>IF(ISERROR(LOOKUP(2^15,SEARCH(B58,'2020'!$B$2:$B$1278,1),'2020'!$A$2:$A$1278)),"NO","SI")</f>
        <v>SI</v>
      </c>
      <c r="G58" s="7" t="str">
        <f>IF(ISERROR(LOOKUP(2^15,SEARCH(B58,'2019'!$B$2:$B$1108,1),'2019'!$A$2:$A$1108)),"NO","SI")</f>
        <v>SI</v>
      </c>
      <c r="H58" s="7" t="str">
        <f>IF(ISERROR(LOOKUP(2^15,SEARCH(B58,'2018'!$B$1:$B$1047,1),'2018'!$A$1:$A$1047)),"NO","SI")</f>
        <v>SI</v>
      </c>
      <c r="I58" s="8" t="str">
        <f>IF(ISERROR(LOOKUP(2^15,SEARCH(B58,'ALERTA SANITARIA'!$B$2:$B$269,1),'2018'!$A$1:$A$1047)),"NO","SI")</f>
        <v>NO</v>
      </c>
      <c r="J58" s="6" t="str">
        <f t="shared" si="0"/>
        <v>DOF</v>
      </c>
      <c r="K58" s="6" t="str">
        <f t="array" ref="K58">IFERROR(INDEX(Anterior!$C$1:$D$323,MATCH(B58,Anterior!$B$2:$B$323,0)+1,2),0)</f>
        <v>DOF</v>
      </c>
      <c r="L58" s="6" t="str">
        <f t="shared" si="1"/>
        <v>coinciden</v>
      </c>
      <c r="M58" s="2"/>
    </row>
    <row r="59" spans="1:16" ht="15.75" customHeight="1" x14ac:dyDescent="0.25">
      <c r="A59" s="6" t="s">
        <v>126</v>
      </c>
      <c r="B59" s="1" t="s">
        <v>127</v>
      </c>
      <c r="C59" s="7" t="s">
        <v>14</v>
      </c>
      <c r="D59" s="7" t="s">
        <v>14</v>
      </c>
      <c r="E59" s="7" t="s">
        <v>14</v>
      </c>
      <c r="F59" s="7" t="s">
        <v>14</v>
      </c>
      <c r="G59" s="7" t="s">
        <v>14</v>
      </c>
      <c r="H59" s="7" t="s">
        <v>14</v>
      </c>
      <c r="I59" s="8" t="str">
        <f>IF(ISERROR(LOOKUP(2^15,SEARCH(B59,'ALERTA SANITARIA'!$B$2:$B$269,1),'2018'!$A$1:$A$1047)),"NO","SI")</f>
        <v>SI</v>
      </c>
      <c r="J59" s="6" t="str">
        <f t="shared" si="0"/>
        <v>COFEPRIS</v>
      </c>
      <c r="K59" s="6" t="str">
        <f t="array" ref="K59">IFERROR(INDEX(Anterior!$C$1:$D$323,MATCH(B59,Anterior!$B$2:$B$323,0)+1,2),0)</f>
        <v>COFEPRIS</v>
      </c>
      <c r="L59" s="6" t="str">
        <f t="shared" si="1"/>
        <v>coinciden</v>
      </c>
      <c r="M59" s="2"/>
      <c r="P59" s="6" t="s">
        <v>128</v>
      </c>
    </row>
    <row r="60" spans="1:16" ht="15.75" customHeight="1" x14ac:dyDescent="0.25">
      <c r="A60" s="6" t="s">
        <v>129</v>
      </c>
      <c r="B60" s="1" t="s">
        <v>130</v>
      </c>
      <c r="C60" s="7" t="str">
        <f>IF(ISERROR(LOOKUP(2^15,SEARCH(B60,'2023'!$B$3:$B$1734,1),'2023'!$A$3:$A$1734)),"NO","SI")</f>
        <v>NO</v>
      </c>
      <c r="D60" s="7" t="str">
        <f>IF(ISERROR(LOOKUP(2^15,SEARCH(B60,'2022'!$B$2:$B$1591,1),'2022'!$A$2:$A$1591)),"NO","SI")</f>
        <v>NO</v>
      </c>
      <c r="E60" s="7" t="str">
        <f>IF(ISERROR(LOOKUP(2^15,SEARCH(B60,'2021'!$B$2:$B$1494,1),'2021'!$A$2:$A$1494)),"NO","SI")</f>
        <v>NO</v>
      </c>
      <c r="F60" s="7" t="str">
        <f>IF(ISERROR(LOOKUP(2^15,SEARCH(B60,'2020'!$B$2:$B$1278,1),'2020'!$A$2:$A$1278)),"NO","SI")</f>
        <v>NO</v>
      </c>
      <c r="G60" s="7" t="str">
        <f>IF(ISERROR(LOOKUP(2^15,SEARCH(B60,'2019'!$B$2:$B$1108,1),'2019'!$A$2:$A$1108)),"NO","SI")</f>
        <v>NO</v>
      </c>
      <c r="H60" s="7" t="str">
        <f>IF(ISERROR(LOOKUP(2^15,SEARCH(B60,'2018'!$B$1:$B$1047,1),'2018'!$A$1:$A$1047)),"NO","SI")</f>
        <v>NO</v>
      </c>
      <c r="I60" s="8" t="str">
        <f>IF(ISERROR(LOOKUP(2^15,SEARCH(B60,'ALERTA SANITARIA'!$B$2:$B$269,1),'2018'!$A$1:$A$1047)),"NO","SI")</f>
        <v>SI</v>
      </c>
      <c r="J60" s="6" t="str">
        <f t="shared" si="0"/>
        <v>COFEPRIS</v>
      </c>
      <c r="K60" s="6" t="str">
        <f t="array" ref="K60">IFERROR(INDEX(Anterior!$C$1:$D$323,MATCH(B60,Anterior!$B$2:$B$323,0)+1,2),0)</f>
        <v>COFEPRIS</v>
      </c>
      <c r="L60" s="6" t="str">
        <f t="shared" si="1"/>
        <v>coinciden</v>
      </c>
      <c r="M60" s="2"/>
    </row>
    <row r="61" spans="1:16" ht="15.75" customHeight="1" x14ac:dyDescent="0.25">
      <c r="A61" s="6" t="s">
        <v>131</v>
      </c>
      <c r="B61" s="1" t="s">
        <v>132</v>
      </c>
      <c r="C61" s="7" t="str">
        <f>IF(ISERROR(LOOKUP(2^15,SEARCH(B61,'2023'!$B$3:$B$1734,1),'2023'!$A$3:$A$1734)),"NO","SI")</f>
        <v>NO</v>
      </c>
      <c r="D61" s="7" t="str">
        <f>IF(ISERROR(LOOKUP(2^15,SEARCH(B61,'2022'!$B$2:$B$1591,1),'2022'!$A$2:$A$1591)),"NO","SI")</f>
        <v>NO</v>
      </c>
      <c r="E61" s="7" t="str">
        <f>IF(ISERROR(LOOKUP(2^15,SEARCH(B61,'2021'!$B$2:$B$1494,1),'2021'!$A$2:$A$1494)),"NO","SI")</f>
        <v>NO</v>
      </c>
      <c r="F61" s="7" t="str">
        <f>IF(ISERROR(LOOKUP(2^15,SEARCH(B61,'2020'!$B$2:$B$1278,1),'2020'!$A$2:$A$1278)),"NO","SI")</f>
        <v>NO</v>
      </c>
      <c r="G61" s="7" t="str">
        <f>IF(ISERROR(LOOKUP(2^15,SEARCH(B61,'2019'!$B$2:$B$1108,1),'2019'!$A$2:$A$1108)),"NO","SI")</f>
        <v>NO</v>
      </c>
      <c r="H61" s="7" t="str">
        <f>IF(ISERROR(LOOKUP(2^15,SEARCH(B61,'2018'!$B$1:$B$1047,1),'2018'!$A$1:$A$1047)),"NO","SI")</f>
        <v>NO</v>
      </c>
      <c r="I61" s="8" t="str">
        <f>IF(ISERROR(LOOKUP(2^15,SEARCH(B61,'ALERTA SANITARIA'!$B$2:$B$269,1),'2018'!$A$1:$A$1047)),"NO","SI")</f>
        <v>SI</v>
      </c>
      <c r="J61" s="6" t="str">
        <f t="shared" si="0"/>
        <v>COFEPRIS</v>
      </c>
      <c r="K61" s="6" t="str">
        <f t="array" ref="K61">IFERROR(INDEX(Anterior!$C$1:$D$323,MATCH(B61,Anterior!$B$2:$B$323,0)+1,2),0)</f>
        <v>COFEPRIS</v>
      </c>
      <c r="L61" s="6" t="str">
        <f t="shared" si="1"/>
        <v>coinciden</v>
      </c>
      <c r="M61" s="2"/>
    </row>
    <row r="62" spans="1:16" ht="15.75" customHeight="1" x14ac:dyDescent="0.25">
      <c r="A62" s="6" t="s">
        <v>133</v>
      </c>
      <c r="B62" s="1" t="s">
        <v>134</v>
      </c>
      <c r="C62" s="7" t="str">
        <f>IF(ISERROR(LOOKUP(2^15,SEARCH(B62,'2023'!$B$3:$B$1734,1),'2023'!$A$3:$A$1734)),"NO","SI")</f>
        <v>NO</v>
      </c>
      <c r="D62" s="7" t="str">
        <f>IF(ISERROR(LOOKUP(2^15,SEARCH(B62,'2022'!$B$2:$B$1591,1),'2022'!$A$2:$A$1591)),"NO","SI")</f>
        <v>NO</v>
      </c>
      <c r="E62" s="7" t="str">
        <f>IF(ISERROR(LOOKUP(2^15,SEARCH(B62,'2021'!$B$2:$B$1494,1),'2021'!$A$2:$A$1494)),"NO","SI")</f>
        <v>NO</v>
      </c>
      <c r="F62" s="7" t="str">
        <f>IF(ISERROR(LOOKUP(2^15,SEARCH(B62,'2020'!$B$2:$B$1278,1),'2020'!$A$2:$A$1278)),"NO","SI")</f>
        <v>NO</v>
      </c>
      <c r="G62" s="7" t="str">
        <f>IF(ISERROR(LOOKUP(2^15,SEARCH(B62,'2019'!$B$2:$B$1108,1),'2019'!$A$2:$A$1108)),"NO","SI")</f>
        <v>NO</v>
      </c>
      <c r="H62" s="7" t="str">
        <f>IF(ISERROR(LOOKUP(2^15,SEARCH(B62,'2018'!$B$1:$B$1047,1),'2018'!$A$1:$A$1047)),"NO","SI")</f>
        <v>NO</v>
      </c>
      <c r="I62" s="8" t="str">
        <f>IF(ISERROR(LOOKUP(2^15,SEARCH(B62,'ALERTA SANITARIA'!$B$2:$B$269,1),'2018'!$A$1:$A$1047)),"NO","SI")</f>
        <v>NO</v>
      </c>
      <c r="J62" s="6" t="str">
        <f t="shared" si="0"/>
        <v>Ninguno</v>
      </c>
      <c r="K62" s="6" t="str">
        <f t="array" ref="K62">IFERROR(INDEX(Anterior!$C$1:$D$323,MATCH(B62,Anterior!$B$2:$B$323,0)+1,2),0)</f>
        <v>DOF</v>
      </c>
      <c r="L62" s="6" t="str">
        <f t="shared" si="1"/>
        <v>Discrepan</v>
      </c>
      <c r="M62" s="2" t="s">
        <v>14</v>
      </c>
    </row>
    <row r="63" spans="1:16" ht="15.75" customHeight="1" x14ac:dyDescent="0.25">
      <c r="A63" s="6" t="s">
        <v>135</v>
      </c>
      <c r="B63" s="1" t="s">
        <v>136</v>
      </c>
      <c r="C63" s="7" t="str">
        <f>IF(ISERROR(LOOKUP(2^15,SEARCH(B63,'2023'!$B$3:$B$1734,1),'2023'!$A$3:$A$1734)),"NO","SI")</f>
        <v>SI</v>
      </c>
      <c r="D63" s="7" t="str">
        <f>IF(ISERROR(LOOKUP(2^15,SEARCH(B63,'2022'!$B$2:$B$1591,1),'2022'!$A$2:$A$1591)),"NO","SI")</f>
        <v>SI</v>
      </c>
      <c r="E63" s="7" t="str">
        <f>IF(ISERROR(LOOKUP(2^15,SEARCH(B63,'2021'!$B$2:$B$1494,1),'2021'!$A$2:$A$1494)),"NO","SI")</f>
        <v>SI</v>
      </c>
      <c r="F63" s="7" t="str">
        <f>IF(ISERROR(LOOKUP(2^15,SEARCH(B63,'2020'!$B$2:$B$1278,1),'2020'!$A$2:$A$1278)),"NO","SI")</f>
        <v>SI</v>
      </c>
      <c r="G63" s="7" t="str">
        <f>IF(ISERROR(LOOKUP(2^15,SEARCH(B63,'2019'!$B$2:$B$1108,1),'2019'!$A$2:$A$1108)),"NO","SI")</f>
        <v>SI</v>
      </c>
      <c r="H63" s="7" t="str">
        <f>IF(ISERROR(LOOKUP(2^15,SEARCH(B63,'2018'!$B$1:$B$1047,1),'2018'!$A$1:$A$1047)),"NO","SI")</f>
        <v>SI</v>
      </c>
      <c r="I63" s="8" t="str">
        <f>IF(ISERROR(LOOKUP(2^15,SEARCH(B63,'ALERTA SANITARIA'!$B$2:$B$269,1),'2018'!$A$1:$A$1047)),"NO","SI")</f>
        <v>NO</v>
      </c>
      <c r="J63" s="6" t="str">
        <f t="shared" si="0"/>
        <v>DOF</v>
      </c>
      <c r="K63" s="6" t="str">
        <f t="array" ref="K63">IFERROR(INDEX(Anterior!$C$1:$D$323,MATCH(B63,Anterior!$B$2:$B$323,0)+1,2),0)</f>
        <v>DOF</v>
      </c>
      <c r="L63" s="6" t="str">
        <f t="shared" si="1"/>
        <v>coinciden</v>
      </c>
      <c r="M63" s="2"/>
    </row>
    <row r="64" spans="1:16" ht="15.75" customHeight="1" x14ac:dyDescent="0.25">
      <c r="A64" s="6" t="s">
        <v>137</v>
      </c>
      <c r="B64" s="1" t="s">
        <v>138</v>
      </c>
      <c r="C64" s="7" t="str">
        <f>IF(ISERROR(LOOKUP(2^15,SEARCH(B64,'2023'!$B$3:$B$1734,1),'2023'!$A$3:$A$1734)),"NO","SI")</f>
        <v>NO</v>
      </c>
      <c r="D64" s="7" t="str">
        <f>IF(ISERROR(LOOKUP(2^15,SEARCH(B64,'2022'!$B$2:$B$1591,1),'2022'!$A$2:$A$1591)),"NO","SI")</f>
        <v>NO</v>
      </c>
      <c r="E64" s="7" t="str">
        <f>IF(ISERROR(LOOKUP(2^15,SEARCH(B64,'2021'!$B$2:$B$1494,1),'2021'!$A$2:$A$1494)),"NO","SI")</f>
        <v>NO</v>
      </c>
      <c r="F64" s="7" t="str">
        <f>IF(ISERROR(LOOKUP(2^15,SEARCH(B64,'2020'!$B$2:$B$1278,1),'2020'!$A$2:$A$1278)),"NO","SI")</f>
        <v>NO</v>
      </c>
      <c r="G64" s="7" t="str">
        <f>IF(ISERROR(LOOKUP(2^15,SEARCH(B64,'2019'!$B$2:$B$1108,1),'2019'!$A$2:$A$1108)),"NO","SI")</f>
        <v>NO</v>
      </c>
      <c r="H64" s="7" t="str">
        <f>IF(ISERROR(LOOKUP(2^15,SEARCH(B64,'2018'!$B$1:$B$1047,1),'2018'!$A$1:$A$1047)),"NO","SI")</f>
        <v>NO</v>
      </c>
      <c r="I64" s="8" t="str">
        <f>IF(ISERROR(LOOKUP(2^15,SEARCH(B64,'ALERTA SANITARIA'!$B$2:$B$269,1),'2018'!$A$1:$A$1047)),"NO","SI")</f>
        <v>SI</v>
      </c>
      <c r="J64" s="6" t="str">
        <f t="shared" si="0"/>
        <v>COFEPRIS</v>
      </c>
      <c r="K64" s="6">
        <f t="array" ref="K64">IFERROR(INDEX(Anterior!$C$1:$D$323,MATCH(B64,Anterior!$B$2:$B$323,0)+1,2),0)</f>
        <v>0</v>
      </c>
      <c r="L64" s="6" t="str">
        <f t="shared" si="1"/>
        <v>Nuevo</v>
      </c>
      <c r="M64" s="2"/>
    </row>
    <row r="65" spans="1:16" ht="15.75" customHeight="1" x14ac:dyDescent="0.25">
      <c r="A65" s="6" t="s">
        <v>139</v>
      </c>
      <c r="B65" s="1" t="s">
        <v>140</v>
      </c>
      <c r="C65" s="7" t="str">
        <f>IF(ISERROR(LOOKUP(2^15,SEARCH(B65,'2023'!$B$3:$B$1734,1),'2023'!$A$3:$A$1734)),"NO","SI")</f>
        <v>NO</v>
      </c>
      <c r="D65" s="7" t="str">
        <f>IF(ISERROR(LOOKUP(2^15,SEARCH(B65,'2022'!$B$2:$B$1591,1),'2022'!$A$2:$A$1591)),"NO","SI")</f>
        <v>NO</v>
      </c>
      <c r="E65" s="7" t="str">
        <f>IF(ISERROR(LOOKUP(2^15,SEARCH(B65,'2021'!$B$2:$B$1494,1),'2021'!$A$2:$A$1494)),"NO","SI")</f>
        <v>NO</v>
      </c>
      <c r="F65" s="7" t="str">
        <f>IF(ISERROR(LOOKUP(2^15,SEARCH(B65,'2020'!$B$2:$B$1278,1),'2020'!$A$2:$A$1278)),"NO","SI")</f>
        <v>NO</v>
      </c>
      <c r="G65" s="7" t="str">
        <f>IF(ISERROR(LOOKUP(2^15,SEARCH(B65,'2019'!$B$2:$B$1108,1),'2019'!$A$2:$A$1108)),"NO","SI")</f>
        <v>NO</v>
      </c>
      <c r="H65" s="7" t="str">
        <f>IF(ISERROR(LOOKUP(2^15,SEARCH(B65,'2018'!$B$1:$B$1047,1),'2018'!$A$1:$A$1047)),"NO","SI")</f>
        <v>NO</v>
      </c>
      <c r="I65" s="8" t="str">
        <f>IF(ISERROR(LOOKUP(2^15,SEARCH(B65,'ALERTA SANITARIA'!$B$2:$B$269,1),'2018'!$A$1:$A$1047)),"NO","SI")</f>
        <v>SI</v>
      </c>
      <c r="J65" s="6" t="str">
        <f t="shared" si="0"/>
        <v>COFEPRIS</v>
      </c>
      <c r="K65" s="6" t="str">
        <f t="array" ref="K65">IFERROR(INDEX(Anterior!$C$1:$D$323,MATCH(B65,Anterior!$B$2:$B$323,0)+1,2),0)</f>
        <v>COFEPRIS</v>
      </c>
      <c r="L65" s="6" t="str">
        <f t="shared" si="1"/>
        <v>coinciden</v>
      </c>
      <c r="M65" s="2"/>
    </row>
    <row r="66" spans="1:16" ht="15.75" customHeight="1" x14ac:dyDescent="0.25">
      <c r="A66" s="6" t="s">
        <v>141</v>
      </c>
      <c r="B66" s="1" t="s">
        <v>142</v>
      </c>
      <c r="C66" s="7" t="s">
        <v>14</v>
      </c>
      <c r="D66" s="7" t="s">
        <v>14</v>
      </c>
      <c r="E66" s="7" t="s">
        <v>14</v>
      </c>
      <c r="F66" s="7" t="s">
        <v>14</v>
      </c>
      <c r="G66" s="7" t="s">
        <v>14</v>
      </c>
      <c r="H66" s="7" t="s">
        <v>14</v>
      </c>
      <c r="I66" s="8" t="str">
        <f>IF(ISERROR(LOOKUP(2^15,SEARCH(B66,'ALERTA SANITARIA'!$B$2:$B$269,1),'2018'!$A$1:$A$1047)),"NO","SI")</f>
        <v>SI</v>
      </c>
      <c r="J66" s="6" t="str">
        <f t="shared" si="0"/>
        <v>COFEPRIS</v>
      </c>
      <c r="K66" s="6" t="str">
        <f t="array" ref="K66">IFERROR(INDEX(Anterior!$C$1:$D$323,MATCH(B66,Anterior!$B$2:$B$323,0)+1,2),0)</f>
        <v>COFEPRIS</v>
      </c>
      <c r="L66" s="6" t="str">
        <f t="shared" si="1"/>
        <v>coinciden</v>
      </c>
      <c r="M66" s="2"/>
      <c r="P66" s="6" t="s">
        <v>143</v>
      </c>
    </row>
    <row r="67" spans="1:16" ht="15.75" customHeight="1" x14ac:dyDescent="0.25">
      <c r="A67" s="6" t="s">
        <v>144</v>
      </c>
      <c r="B67" s="1" t="s">
        <v>145</v>
      </c>
      <c r="C67" s="7" t="str">
        <f>IF(ISERROR(LOOKUP(2^15,SEARCH(B67,'2023'!$B$3:$B$1734,1),'2023'!$A$3:$A$1734)),"NO","SI")</f>
        <v>NO</v>
      </c>
      <c r="D67" s="7" t="str">
        <f>IF(ISERROR(LOOKUP(2^15,SEARCH(B67,'2022'!$B$2:$B$1591,1),'2022'!$A$2:$A$1591)),"NO","SI")</f>
        <v>NO</v>
      </c>
      <c r="E67" s="7" t="str">
        <f>IF(ISERROR(LOOKUP(2^15,SEARCH(B67,'2021'!$B$2:$B$1494,1),'2021'!$A$2:$A$1494)),"NO","SI")</f>
        <v>NO</v>
      </c>
      <c r="F67" s="7" t="str">
        <f>IF(ISERROR(LOOKUP(2^15,SEARCH(B67,'2020'!$B$2:$B$1278,1),'2020'!$A$2:$A$1278)),"NO","SI")</f>
        <v>NO</v>
      </c>
      <c r="G67" s="7" t="str">
        <f>IF(ISERROR(LOOKUP(2^15,SEARCH(B67,'2019'!$B$2:$B$1108,1),'2019'!$A$2:$A$1108)),"NO","SI")</f>
        <v>NO</v>
      </c>
      <c r="H67" s="7" t="str">
        <f>IF(ISERROR(LOOKUP(2^15,SEARCH(B67,'2018'!$B$1:$B$1047,1),'2018'!$A$1:$A$1047)),"NO","SI")</f>
        <v>NO</v>
      </c>
      <c r="I67" s="8" t="str">
        <f>IF(ISERROR(LOOKUP(2^15,SEARCH(B67,'ALERTA SANITARIA'!$B$2:$B$269,1),'2018'!$A$1:$A$1047)),"NO","SI")</f>
        <v>SI</v>
      </c>
      <c r="J67" s="6" t="str">
        <f t="shared" si="0"/>
        <v>COFEPRIS</v>
      </c>
      <c r="K67" s="6" t="str">
        <f t="array" ref="K67">IFERROR(INDEX(Anterior!$C$1:$D$323,MATCH(B67,Anterior!$B$2:$B$323,0)+1,2),0)</f>
        <v>COFEPRIS</v>
      </c>
      <c r="L67" s="6" t="str">
        <f t="shared" si="1"/>
        <v>coinciden</v>
      </c>
      <c r="M67" s="2"/>
    </row>
    <row r="68" spans="1:16" ht="15.75" customHeight="1" x14ac:dyDescent="0.25">
      <c r="A68" s="6" t="s">
        <v>146</v>
      </c>
      <c r="B68" s="1" t="s">
        <v>147</v>
      </c>
      <c r="C68" s="7" t="str">
        <f>IF(ISERROR(LOOKUP(2^15,SEARCH(B68,'2023'!$B$3:$B$1734,1),'2023'!$A$3:$A$1734)),"NO","SI")</f>
        <v>SI</v>
      </c>
      <c r="D68" s="7" t="str">
        <f>IF(ISERROR(LOOKUP(2^15,SEARCH(B68,'2022'!$B$2:$B$1591,1),'2022'!$A$2:$A$1591)),"NO","SI")</f>
        <v>SI</v>
      </c>
      <c r="E68" s="7" t="str">
        <f>IF(ISERROR(LOOKUP(2^15,SEARCH(B68,'2021'!$B$2:$B$1494,1),'2021'!$A$2:$A$1494)),"NO","SI")</f>
        <v>SI</v>
      </c>
      <c r="F68" s="7" t="str">
        <f>IF(ISERROR(LOOKUP(2^15,SEARCH(B68,'2020'!$B$2:$B$1278,1),'2020'!$A$2:$A$1278)),"NO","SI")</f>
        <v>SI</v>
      </c>
      <c r="G68" s="7" t="str">
        <f>IF(ISERROR(LOOKUP(2^15,SEARCH(B68,'2019'!$B$2:$B$1108,1),'2019'!$A$2:$A$1108)),"NO","SI")</f>
        <v>SI</v>
      </c>
      <c r="H68" s="7" t="str">
        <f>IF(ISERROR(LOOKUP(2^15,SEARCH(B68,'2018'!$B$1:$B$1047,1),'2018'!$A$1:$A$1047)),"NO","SI")</f>
        <v>SI</v>
      </c>
      <c r="I68" s="8" t="str">
        <f>IF(ISERROR(LOOKUP(2^15,SEARCH(B68,'ALERTA SANITARIA'!$B$2:$B$269,1),'2018'!$A$1:$A$1047)),"NO","SI")</f>
        <v>NO</v>
      </c>
      <c r="J68" s="6" t="str">
        <f t="shared" si="0"/>
        <v>DOF</v>
      </c>
      <c r="K68" s="6" t="str">
        <f t="array" ref="K68">IFERROR(INDEX(Anterior!$C$1:$D$323,MATCH(B68,Anterior!$B$2:$B$323,0)+1,2),0)</f>
        <v>DOF</v>
      </c>
      <c r="L68" s="6" t="str">
        <f t="shared" si="1"/>
        <v>coinciden</v>
      </c>
      <c r="M68" s="2"/>
    </row>
    <row r="69" spans="1:16" ht="15.75" customHeight="1" x14ac:dyDescent="0.25">
      <c r="A69" s="6" t="s">
        <v>148</v>
      </c>
      <c r="B69" s="1" t="s">
        <v>149</v>
      </c>
      <c r="C69" s="7" t="str">
        <f>IF(ISERROR(LOOKUP(2^15,SEARCH(B69,'2023'!$B$3:$B$1734,1),'2023'!$A$3:$A$1734)),"NO","SI")</f>
        <v>NO</v>
      </c>
      <c r="D69" s="7" t="str">
        <f>IF(ISERROR(LOOKUP(2^15,SEARCH(B69,'2022'!$B$2:$B$1591,1),'2022'!$A$2:$A$1591)),"NO","SI")</f>
        <v>NO</v>
      </c>
      <c r="E69" s="7" t="str">
        <f>IF(ISERROR(LOOKUP(2^15,SEARCH(B69,'2021'!$B$2:$B$1494,1),'2021'!$A$2:$A$1494)),"NO","SI")</f>
        <v>NO</v>
      </c>
      <c r="F69" s="7" t="str">
        <f>IF(ISERROR(LOOKUP(2^15,SEARCH(B69,'2020'!$B$2:$B$1278,1),'2020'!$A$2:$A$1278)),"NO","SI")</f>
        <v>NO</v>
      </c>
      <c r="G69" s="7" t="str">
        <f>IF(ISERROR(LOOKUP(2^15,SEARCH(B69,'2019'!$B$2:$B$1108,1),'2019'!$A$2:$A$1108)),"NO","SI")</f>
        <v>NO</v>
      </c>
      <c r="H69" s="7" t="str">
        <f>IF(ISERROR(LOOKUP(2^15,SEARCH(B69,'2018'!$B$1:$B$1047,1),'2018'!$A$1:$A$1047)),"NO","SI")</f>
        <v>NO</v>
      </c>
      <c r="I69" s="8" t="str">
        <f>IF(ISERROR(LOOKUP(2^15,SEARCH(B69,'ALERTA SANITARIA'!$B$2:$B$269,1),'2018'!$A$1:$A$1047)),"NO","SI")</f>
        <v>SI</v>
      </c>
      <c r="J69" s="6" t="str">
        <f t="shared" si="0"/>
        <v>COFEPRIS</v>
      </c>
      <c r="K69" s="6" t="str">
        <f t="array" ref="K69">IFERROR(INDEX(Anterior!$C$1:$D$323,MATCH(B69,Anterior!$B$2:$B$323,0)+1,2),0)</f>
        <v>COFEPRIS</v>
      </c>
      <c r="L69" s="6" t="str">
        <f t="shared" si="1"/>
        <v>coinciden</v>
      </c>
      <c r="M69" s="2"/>
    </row>
    <row r="70" spans="1:16" ht="15.75" customHeight="1" x14ac:dyDescent="0.25">
      <c r="A70" s="6" t="s">
        <v>150</v>
      </c>
      <c r="B70" s="1" t="s">
        <v>151</v>
      </c>
      <c r="C70" s="7" t="str">
        <f>IF(ISERROR(LOOKUP(2^15,SEARCH(B70,'2023'!$B$3:$B$1734,1),'2023'!$A$3:$A$1734)),"NO","SI")</f>
        <v>NO</v>
      </c>
      <c r="D70" s="7" t="str">
        <f>IF(ISERROR(LOOKUP(2^15,SEARCH(B70,'2022'!$B$2:$B$1591,1),'2022'!$A$2:$A$1591)),"NO","SI")</f>
        <v>NO</v>
      </c>
      <c r="E70" s="7" t="str">
        <f>IF(ISERROR(LOOKUP(2^15,SEARCH(B70,'2021'!$B$2:$B$1494,1),'2021'!$A$2:$A$1494)),"NO","SI")</f>
        <v>NO</v>
      </c>
      <c r="F70" s="7" t="str">
        <f>IF(ISERROR(LOOKUP(2^15,SEARCH(B70,'2020'!$B$2:$B$1278,1),'2020'!$A$2:$A$1278)),"NO","SI")</f>
        <v>NO</v>
      </c>
      <c r="G70" s="7" t="str">
        <f>IF(ISERROR(LOOKUP(2^15,SEARCH(B70,'2019'!$B$2:$B$1108,1),'2019'!$A$2:$A$1108)),"NO","SI")</f>
        <v>NO</v>
      </c>
      <c r="H70" s="7" t="str">
        <f>IF(ISERROR(LOOKUP(2^15,SEARCH(B70,'2018'!$B$1:$B$1047,1),'2018'!$A$1:$A$1047)),"NO","SI")</f>
        <v>NO</v>
      </c>
      <c r="I70" s="8" t="str">
        <f>IF(ISERROR(LOOKUP(2^15,SEARCH(B70,'ALERTA SANITARIA'!$B$2:$B$269,1),'2018'!$A$1:$A$1047)),"NO","SI")</f>
        <v>SI</v>
      </c>
      <c r="J70" s="6" t="str">
        <f t="shared" si="0"/>
        <v>COFEPRIS</v>
      </c>
      <c r="K70" s="6" t="str">
        <f t="array" ref="K70">IFERROR(INDEX(Anterior!$C$1:$D$323,MATCH(B70,Anterior!$B$2:$B$323,0)+1,2),0)</f>
        <v>COFEPRIS</v>
      </c>
      <c r="L70" s="6" t="str">
        <f t="shared" si="1"/>
        <v>coinciden</v>
      </c>
      <c r="M70" s="2"/>
    </row>
    <row r="71" spans="1:16" ht="15.75" customHeight="1" x14ac:dyDescent="0.25">
      <c r="A71" s="6" t="s">
        <v>152</v>
      </c>
      <c r="B71" s="1" t="s">
        <v>153</v>
      </c>
      <c r="C71" s="7" t="str">
        <f>IF(ISERROR(LOOKUP(2^15,SEARCH(B71,'2023'!$B$3:$B$1734,1),'2023'!$A$3:$A$1734)),"NO","SI")</f>
        <v>NO</v>
      </c>
      <c r="D71" s="7" t="str">
        <f>IF(ISERROR(LOOKUP(2^15,SEARCH(B71,'2022'!$B$2:$B$1591,1),'2022'!$A$2:$A$1591)),"NO","SI")</f>
        <v>NO</v>
      </c>
      <c r="E71" s="7" t="str">
        <f>IF(ISERROR(LOOKUP(2^15,SEARCH(B71,'2021'!$B$2:$B$1494,1),'2021'!$A$2:$A$1494)),"NO","SI")</f>
        <v>NO</v>
      </c>
      <c r="F71" s="7" t="str">
        <f>IF(ISERROR(LOOKUP(2^15,SEARCH(B71,'2020'!$B$2:$B$1278,1),'2020'!$A$2:$A$1278)),"NO","SI")</f>
        <v>NO</v>
      </c>
      <c r="G71" s="7" t="str">
        <f>IF(ISERROR(LOOKUP(2^15,SEARCH(B71,'2019'!$B$2:$B$1108,1),'2019'!$A$2:$A$1108)),"NO","SI")</f>
        <v>NO</v>
      </c>
      <c r="H71" s="7" t="str">
        <f>IF(ISERROR(LOOKUP(2^15,SEARCH(B71,'2018'!$B$1:$B$1047,1),'2018'!$A$1:$A$1047)),"NO","SI")</f>
        <v>NO</v>
      </c>
      <c r="I71" s="8" t="str">
        <f>IF(ISERROR(LOOKUP(2^15,SEARCH(B71,'ALERTA SANITARIA'!$B$2:$B$269,1),'2018'!$A$1:$A$1047)),"NO","SI")</f>
        <v>SI</v>
      </c>
      <c r="J71" s="6" t="str">
        <f t="shared" si="0"/>
        <v>COFEPRIS</v>
      </c>
      <c r="K71" s="6" t="str">
        <f t="array" ref="K71">IFERROR(INDEX(Anterior!$C$1:$D$323,MATCH(B71,Anterior!$B$2:$B$323,0)+1,2),0)</f>
        <v>COFEPRIS</v>
      </c>
      <c r="L71" s="6" t="str">
        <f t="shared" si="1"/>
        <v>coinciden</v>
      </c>
      <c r="M71" s="2"/>
    </row>
    <row r="72" spans="1:16" ht="15.75" customHeight="1" x14ac:dyDescent="0.25">
      <c r="A72" s="6" t="s">
        <v>154</v>
      </c>
      <c r="B72" s="1" t="s">
        <v>155</v>
      </c>
      <c r="C72" s="7" t="str">
        <f>IF(ISERROR(LOOKUP(2^15,SEARCH(B72,'2023'!$B$3:$B$1734,1),'2023'!$A$3:$A$1734)),"NO","SI")</f>
        <v>SI</v>
      </c>
      <c r="D72" s="7" t="str">
        <f>IF(ISERROR(LOOKUP(2^15,SEARCH(B72,'2022'!$B$2:$B$1591,1),'2022'!$A$2:$A$1591)),"NO","SI")</f>
        <v>SI</v>
      </c>
      <c r="E72" s="7" t="str">
        <f>IF(ISERROR(LOOKUP(2^15,SEARCH(B72,'2021'!$B$2:$B$1494,1),'2021'!$A$2:$A$1494)),"NO","SI")</f>
        <v>SI</v>
      </c>
      <c r="F72" s="7" t="str">
        <f>IF(ISERROR(LOOKUP(2^15,SEARCH(B72,'2020'!$B$2:$B$1278,1),'2020'!$A$2:$A$1278)),"NO","SI")</f>
        <v>SI</v>
      </c>
      <c r="G72" s="7" t="str">
        <f>IF(ISERROR(LOOKUP(2^15,SEARCH(B72,'2019'!$B$2:$B$1108,1),'2019'!$A$2:$A$1108)),"NO","SI")</f>
        <v>SI</v>
      </c>
      <c r="H72" s="7" t="str">
        <f>IF(ISERROR(LOOKUP(2^15,SEARCH(B72,'2018'!$B$1:$B$1047,1),'2018'!$A$1:$A$1047)),"NO","SI")</f>
        <v>NO</v>
      </c>
      <c r="I72" s="8" t="str">
        <f>IF(ISERROR(LOOKUP(2^15,SEARCH(B72,'ALERTA SANITARIA'!$B$2:$B$269,1),'2018'!$A$1:$A$1047)),"NO","SI")</f>
        <v>NO</v>
      </c>
      <c r="J72" s="6" t="str">
        <f t="shared" si="0"/>
        <v>DOF</v>
      </c>
      <c r="K72" s="6" t="str">
        <f t="array" ref="K72">IFERROR(INDEX(Anterior!$C$1:$D$323,MATCH(B72,Anterior!$B$2:$B$323,0)+1,2),0)</f>
        <v>DOF</v>
      </c>
      <c r="L72" s="6" t="str">
        <f t="shared" si="1"/>
        <v>coinciden</v>
      </c>
      <c r="M72" s="2"/>
    </row>
    <row r="73" spans="1:16" ht="15.75" customHeight="1" x14ac:dyDescent="0.25">
      <c r="A73" s="6" t="s">
        <v>156</v>
      </c>
      <c r="B73" s="1" t="s">
        <v>157</v>
      </c>
      <c r="C73" s="7" t="str">
        <f>IF(ISERROR(LOOKUP(2^15,SEARCH(B73,'2023'!$B$3:$B$1734,1),'2023'!$A$3:$A$1734)),"NO","SI")</f>
        <v>NO</v>
      </c>
      <c r="D73" s="7" t="str">
        <f>IF(ISERROR(LOOKUP(2^15,SEARCH(B73,'2022'!$B$2:$B$1591,1),'2022'!$A$2:$A$1591)),"NO","SI")</f>
        <v>NO</v>
      </c>
      <c r="E73" s="7" t="str">
        <f>IF(ISERROR(LOOKUP(2^15,SEARCH(B73,'2021'!$B$2:$B$1494,1),'2021'!$A$2:$A$1494)),"NO","SI")</f>
        <v>NO</v>
      </c>
      <c r="F73" s="7" t="str">
        <f>IF(ISERROR(LOOKUP(2^15,SEARCH(B73,'2020'!$B$2:$B$1278,1),'2020'!$A$2:$A$1278)),"NO","SI")</f>
        <v>NO</v>
      </c>
      <c r="G73" s="7" t="str">
        <f>IF(ISERROR(LOOKUP(2^15,SEARCH(B73,'2019'!$B$2:$B$1108,1),'2019'!$A$2:$A$1108)),"NO","SI")</f>
        <v>NO</v>
      </c>
      <c r="H73" s="7" t="str">
        <f>IF(ISERROR(LOOKUP(2^15,SEARCH(B73,'2018'!$B$1:$B$1047,1),'2018'!$A$1:$A$1047)),"NO","SI")</f>
        <v>NO</v>
      </c>
      <c r="I73" s="8" t="str">
        <f>IF(ISERROR(LOOKUP(2^15,SEARCH(B73,'ALERTA SANITARIA'!$B$2:$B$269,1),'2018'!$A$1:$A$1047)),"NO","SI")</f>
        <v>SI</v>
      </c>
      <c r="J73" s="6" t="str">
        <f t="shared" si="0"/>
        <v>COFEPRIS</v>
      </c>
      <c r="K73" s="6" t="str">
        <f t="array" ref="K73">IFERROR(INDEX(Anterior!$C$1:$D$323,MATCH(B73,Anterior!$B$2:$B$323,0)+1,2),0)</f>
        <v>COFEPRIS</v>
      </c>
      <c r="L73" s="6" t="str">
        <f t="shared" si="1"/>
        <v>coinciden</v>
      </c>
      <c r="M73" s="2"/>
    </row>
    <row r="74" spans="1:16" ht="15.75" customHeight="1" x14ac:dyDescent="0.25">
      <c r="A74" s="6" t="s">
        <v>158</v>
      </c>
      <c r="B74" s="1" t="s">
        <v>159</v>
      </c>
      <c r="C74" s="7" t="str">
        <f>IF(ISERROR(LOOKUP(2^15,SEARCH(B74,'2023'!$B$3:$B$1734,1),'2023'!$A$3:$A$1734)),"NO","SI")</f>
        <v>NO</v>
      </c>
      <c r="D74" s="7" t="str">
        <f>IF(ISERROR(LOOKUP(2^15,SEARCH(B74,'2022'!$B$2:$B$1591,1),'2022'!$A$2:$A$1591)),"NO","SI")</f>
        <v>NO</v>
      </c>
      <c r="E74" s="7" t="str">
        <f>IF(ISERROR(LOOKUP(2^15,SEARCH(B74,'2021'!$B$2:$B$1494,1),'2021'!$A$2:$A$1494)),"NO","SI")</f>
        <v>NO</v>
      </c>
      <c r="F74" s="7" t="str">
        <f>IF(ISERROR(LOOKUP(2^15,SEARCH(B74,'2020'!$B$2:$B$1278,1),'2020'!$A$2:$A$1278)),"NO","SI")</f>
        <v>NO</v>
      </c>
      <c r="G74" s="7" t="str">
        <f>IF(ISERROR(LOOKUP(2^15,SEARCH(B74,'2019'!$B$2:$B$1108,1),'2019'!$A$2:$A$1108)),"NO","SI")</f>
        <v>NO</v>
      </c>
      <c r="H74" s="7" t="str">
        <f>IF(ISERROR(LOOKUP(2^15,SEARCH(B74,'2018'!$B$1:$B$1047,1),'2018'!$A$1:$A$1047)),"NO","SI")</f>
        <v>NO</v>
      </c>
      <c r="I74" s="8" t="str">
        <f>IF(ISERROR(LOOKUP(2^15,SEARCH(B74,'ALERTA SANITARIA'!$B$2:$B$269,1),'2018'!$A$1:$A$1047)),"NO","SI")</f>
        <v>SI</v>
      </c>
      <c r="J74" s="6" t="str">
        <f t="shared" si="0"/>
        <v>COFEPRIS</v>
      </c>
      <c r="K74" s="6" t="str">
        <f t="array" ref="K74">IFERROR(INDEX(Anterior!$C$1:$D$323,MATCH(B74,Anterior!$B$2:$B$323,0)+1,2),0)</f>
        <v>COFEPRIS</v>
      </c>
      <c r="L74" s="6" t="str">
        <f t="shared" si="1"/>
        <v>coinciden</v>
      </c>
      <c r="M74" s="2"/>
    </row>
    <row r="75" spans="1:16" ht="15.75" customHeight="1" x14ac:dyDescent="0.25">
      <c r="A75" s="6" t="s">
        <v>160</v>
      </c>
      <c r="B75" s="1" t="s">
        <v>161</v>
      </c>
      <c r="C75" s="7" t="str">
        <f>IF(ISERROR(LOOKUP(2^15,SEARCH(B75,'2023'!$B$3:$B$1734,1),'2023'!$A$3:$A$1734)),"NO","SI")</f>
        <v>NO</v>
      </c>
      <c r="D75" s="7" t="str">
        <f>IF(ISERROR(LOOKUP(2^15,SEARCH(B75,'2022'!$B$2:$B$1591,1),'2022'!$A$2:$A$1591)),"NO","SI")</f>
        <v>NO</v>
      </c>
      <c r="E75" s="7" t="str">
        <f>IF(ISERROR(LOOKUP(2^15,SEARCH(B75,'2021'!$B$2:$B$1494,1),'2021'!$A$2:$A$1494)),"NO","SI")</f>
        <v>NO</v>
      </c>
      <c r="F75" s="7" t="str">
        <f>IF(ISERROR(LOOKUP(2^15,SEARCH(B75,'2020'!$B$2:$B$1278,1),'2020'!$A$2:$A$1278)),"NO","SI")</f>
        <v>NO</v>
      </c>
      <c r="G75" s="7" t="str">
        <f>IF(ISERROR(LOOKUP(2^15,SEARCH(B75,'2019'!$B$2:$B$1108,1),'2019'!$A$2:$A$1108)),"NO","SI")</f>
        <v>NO</v>
      </c>
      <c r="H75" s="7" t="str">
        <f>IF(ISERROR(LOOKUP(2^15,SEARCH(B75,'2018'!$B$1:$B$1047,1),'2018'!$A$1:$A$1047)),"NO","SI")</f>
        <v>NO</v>
      </c>
      <c r="I75" s="8" t="str">
        <f>IF(ISERROR(LOOKUP(2^15,SEARCH(B75,'ALERTA SANITARIA'!$B$2:$B$269,1),'2018'!$A$1:$A$1047)),"NO","SI")</f>
        <v>SI</v>
      </c>
      <c r="J75" s="6" t="str">
        <f t="shared" si="0"/>
        <v>COFEPRIS</v>
      </c>
      <c r="K75" s="6" t="str">
        <f t="array" ref="K75">IFERROR(INDEX(Anterior!$C$1:$D$323,MATCH(B75,Anterior!$B$2:$B$323,0)+1,2),0)</f>
        <v>COFEPRIS</v>
      </c>
      <c r="L75" s="6" t="str">
        <f t="shared" si="1"/>
        <v>coinciden</v>
      </c>
      <c r="M75" s="2"/>
    </row>
    <row r="76" spans="1:16" ht="15.75" customHeight="1" x14ac:dyDescent="0.25">
      <c r="A76" s="6" t="s">
        <v>162</v>
      </c>
      <c r="B76" s="1" t="s">
        <v>163</v>
      </c>
      <c r="C76" s="7" t="str">
        <f>IF(ISERROR(LOOKUP(2^15,SEARCH(B76,'2023'!$B$3:$B$1734,1),'2023'!$A$3:$A$1734)),"NO","SI")</f>
        <v>NO</v>
      </c>
      <c r="D76" s="7" t="str">
        <f>IF(ISERROR(LOOKUP(2^15,SEARCH(B76,'2022'!$B$2:$B$1591,1),'2022'!$A$2:$A$1591)),"NO","SI")</f>
        <v>NO</v>
      </c>
      <c r="E76" s="7" t="str">
        <f>IF(ISERROR(LOOKUP(2^15,SEARCH(B76,'2021'!$B$2:$B$1494,1),'2021'!$A$2:$A$1494)),"NO","SI")</f>
        <v>NO</v>
      </c>
      <c r="F76" s="7" t="str">
        <f>IF(ISERROR(LOOKUP(2^15,SEARCH(B76,'2020'!$B$2:$B$1278,1),'2020'!$A$2:$A$1278)),"NO","SI")</f>
        <v>NO</v>
      </c>
      <c r="G76" s="7" t="str">
        <f>IF(ISERROR(LOOKUP(2^15,SEARCH(B76,'2019'!$B$2:$B$1108,1),'2019'!$A$2:$A$1108)),"NO","SI")</f>
        <v>NO</v>
      </c>
      <c r="H76" s="7" t="str">
        <f>IF(ISERROR(LOOKUP(2^15,SEARCH(B76,'2018'!$B$1:$B$1047,1),'2018'!$A$1:$A$1047)),"NO","SI")</f>
        <v>NO</v>
      </c>
      <c r="I76" s="8" t="str">
        <f>IF(ISERROR(LOOKUP(2^15,SEARCH(B76,'ALERTA SANITARIA'!$B$2:$B$269,1),'2018'!$A$1:$A$1047)),"NO","SI")</f>
        <v>SI</v>
      </c>
      <c r="J76" s="6" t="str">
        <f t="shared" si="0"/>
        <v>COFEPRIS</v>
      </c>
      <c r="K76" s="6" t="str">
        <f t="array" ref="K76">IFERROR(INDEX(Anterior!$C$1:$D$323,MATCH(B76,Anterior!$B$2:$B$323,0)+1,2),0)</f>
        <v>COFEPRIS</v>
      </c>
      <c r="L76" s="6" t="str">
        <f t="shared" si="1"/>
        <v>coinciden</v>
      </c>
      <c r="M76" s="2"/>
    </row>
    <row r="77" spans="1:16" ht="15.75" customHeight="1" x14ac:dyDescent="0.25">
      <c r="A77" s="6" t="s">
        <v>164</v>
      </c>
      <c r="B77" s="1" t="s">
        <v>165</v>
      </c>
      <c r="C77" s="7" t="str">
        <f>IF(ISERROR(LOOKUP(2^15,SEARCH(B77,'2023'!$B$3:$B$1734,1),'2023'!$A$3:$A$1734)),"NO","SI")</f>
        <v>NO</v>
      </c>
      <c r="D77" s="7" t="str">
        <f>IF(ISERROR(LOOKUP(2^15,SEARCH(B77,'2022'!$B$2:$B$1591,1),'2022'!$A$2:$A$1591)),"NO","SI")</f>
        <v>NO</v>
      </c>
      <c r="E77" s="7" t="str">
        <f>IF(ISERROR(LOOKUP(2^15,SEARCH(B77,'2021'!$B$2:$B$1494,1),'2021'!$A$2:$A$1494)),"NO","SI")</f>
        <v>NO</v>
      </c>
      <c r="F77" s="7" t="str">
        <f>IF(ISERROR(LOOKUP(2^15,SEARCH(B77,'2020'!$B$2:$B$1278,1),'2020'!$A$2:$A$1278)),"NO","SI")</f>
        <v>NO</v>
      </c>
      <c r="G77" s="7" t="str">
        <f>IF(ISERROR(LOOKUP(2^15,SEARCH(B77,'2019'!$B$2:$B$1108,1),'2019'!$A$2:$A$1108)),"NO","SI")</f>
        <v>NO</v>
      </c>
      <c r="H77" s="7" t="str">
        <f>IF(ISERROR(LOOKUP(2^15,SEARCH(B77,'2018'!$B$1:$B$1047,1),'2018'!$A$1:$A$1047)),"NO","SI")</f>
        <v>NO</v>
      </c>
      <c r="I77" s="8" t="str">
        <f>IF(ISERROR(LOOKUP(2^15,SEARCH(B77,'ALERTA SANITARIA'!$B$2:$B$269,1),'2018'!$A$1:$A$1047)),"NO","SI")</f>
        <v>SI</v>
      </c>
      <c r="J77" s="6" t="str">
        <f t="shared" si="0"/>
        <v>COFEPRIS</v>
      </c>
      <c r="K77" s="6" t="str">
        <f t="array" ref="K77">IFERROR(INDEX(Anterior!$C$1:$D$323,MATCH(B77,Anterior!$B$2:$B$323,0)+1,2),0)</f>
        <v>COFEPRIS</v>
      </c>
      <c r="L77" s="6" t="str">
        <f t="shared" si="1"/>
        <v>coinciden</v>
      </c>
      <c r="M77" s="2"/>
    </row>
    <row r="78" spans="1:16" ht="15.75" customHeight="1" x14ac:dyDescent="0.25">
      <c r="A78" s="6" t="s">
        <v>166</v>
      </c>
      <c r="B78" s="1" t="s">
        <v>167</v>
      </c>
      <c r="C78" s="7" t="str">
        <f>IF(ISERROR(LOOKUP(2^15,SEARCH(B78,'2023'!$B$3:$B$1734,1),'2023'!$A$3:$A$1734)),"NO","SI")</f>
        <v>NO</v>
      </c>
      <c r="D78" s="7" t="str">
        <f>IF(ISERROR(LOOKUP(2^15,SEARCH(B78,'2022'!$B$2:$B$1591,1),'2022'!$A$2:$A$1591)),"NO","SI")</f>
        <v>NO</v>
      </c>
      <c r="E78" s="7" t="str">
        <f>IF(ISERROR(LOOKUP(2^15,SEARCH(B78,'2021'!$B$2:$B$1494,1),'2021'!$A$2:$A$1494)),"NO","SI")</f>
        <v>NO</v>
      </c>
      <c r="F78" s="7" t="str">
        <f>IF(ISERROR(LOOKUP(2^15,SEARCH(B78,'2020'!$B$2:$B$1278,1),'2020'!$A$2:$A$1278)),"NO","SI")</f>
        <v>NO</v>
      </c>
      <c r="G78" s="7" t="str">
        <f>IF(ISERROR(LOOKUP(2^15,SEARCH(B78,'2019'!$B$2:$B$1108,1),'2019'!$A$2:$A$1108)),"NO","SI")</f>
        <v>NO</v>
      </c>
      <c r="H78" s="7" t="str">
        <f>IF(ISERROR(LOOKUP(2^15,SEARCH(B78,'2018'!$B$1:$B$1047,1),'2018'!$A$1:$A$1047)),"NO","SI")</f>
        <v>NO</v>
      </c>
      <c r="I78" s="8" t="str">
        <f>IF(ISERROR(LOOKUP(2^15,SEARCH(B78,'ALERTA SANITARIA'!$B$2:$B$269,1),'2018'!$A$1:$A$1047)),"NO","SI")</f>
        <v>SI</v>
      </c>
      <c r="J78" s="6" t="str">
        <f t="shared" si="0"/>
        <v>COFEPRIS</v>
      </c>
      <c r="K78" s="6" t="str">
        <f t="array" ref="K78">IFERROR(INDEX(Anterior!$C$1:$D$323,MATCH(B78,Anterior!$B$2:$B$323,0)+1,2),0)</f>
        <v>COFEPRIS</v>
      </c>
      <c r="L78" s="6" t="str">
        <f t="shared" si="1"/>
        <v>coinciden</v>
      </c>
      <c r="M78" s="2"/>
    </row>
    <row r="79" spans="1:16" ht="15.75" customHeight="1" x14ac:dyDescent="0.25">
      <c r="A79" s="6" t="s">
        <v>168</v>
      </c>
      <c r="B79" s="1" t="s">
        <v>169</v>
      </c>
      <c r="C79" s="7" t="str">
        <f>IF(ISERROR(LOOKUP(2^15,SEARCH(B79,'2023'!$B$3:$B$1734,1),'2023'!$A$3:$A$1734)),"NO","SI")</f>
        <v>NO</v>
      </c>
      <c r="D79" s="7" t="str">
        <f>IF(ISERROR(LOOKUP(2^15,SEARCH(B79,'2022'!$B$2:$B$1591,1),'2022'!$A$2:$A$1591)),"NO","SI")</f>
        <v>NO</v>
      </c>
      <c r="E79" s="7" t="str">
        <f>IF(ISERROR(LOOKUP(2^15,SEARCH(B79,'2021'!$B$2:$B$1494,1),'2021'!$A$2:$A$1494)),"NO","SI")</f>
        <v>NO</v>
      </c>
      <c r="F79" s="7" t="str">
        <f>IF(ISERROR(LOOKUP(2^15,SEARCH(B79,'2020'!$B$2:$B$1278,1),'2020'!$A$2:$A$1278)),"NO","SI")</f>
        <v>NO</v>
      </c>
      <c r="G79" s="7" t="str">
        <f>IF(ISERROR(LOOKUP(2^15,SEARCH(B79,'2019'!$B$2:$B$1108,1),'2019'!$A$2:$A$1108)),"NO","SI")</f>
        <v>NO</v>
      </c>
      <c r="H79" s="7" t="str">
        <f>IF(ISERROR(LOOKUP(2^15,SEARCH(B79,'2018'!$B$1:$B$1047,1),'2018'!$A$1:$A$1047)),"NO","SI")</f>
        <v>NO</v>
      </c>
      <c r="I79" s="8" t="str">
        <f>IF(ISERROR(LOOKUP(2^15,SEARCH(B79,'ALERTA SANITARIA'!$B$2:$B$269,1),'2018'!$A$1:$A$1047)),"NO","SI")</f>
        <v>SI</v>
      </c>
      <c r="J79" s="6" t="str">
        <f t="shared" si="0"/>
        <v>COFEPRIS</v>
      </c>
      <c r="K79" s="6" t="str">
        <f t="array" ref="K79">IFERROR(INDEX(Anterior!$C$1:$D$323,MATCH(B79,Anterior!$B$2:$B$323,0)+1,2),0)</f>
        <v>COFEPRIS</v>
      </c>
      <c r="L79" s="6" t="str">
        <f t="shared" si="1"/>
        <v>coinciden</v>
      </c>
      <c r="M79" s="2"/>
    </row>
    <row r="80" spans="1:16" ht="15.75" customHeight="1" x14ac:dyDescent="0.25">
      <c r="A80" s="6" t="s">
        <v>170</v>
      </c>
      <c r="B80" s="1" t="s">
        <v>171</v>
      </c>
      <c r="C80" s="7" t="str">
        <f>IF(ISERROR(LOOKUP(2^15,SEARCH(B80,'2023'!$B$3:$B$1734,1),'2023'!$A$3:$A$1734)),"NO","SI")</f>
        <v>NO</v>
      </c>
      <c r="D80" s="7" t="str">
        <f>IF(ISERROR(LOOKUP(2^15,SEARCH(B80,'2022'!$B$2:$B$1591,1),'2022'!$A$2:$A$1591)),"NO","SI")</f>
        <v>NO</v>
      </c>
      <c r="E80" s="7" t="str">
        <f>IF(ISERROR(LOOKUP(2^15,SEARCH(B80,'2021'!$B$2:$B$1494,1),'2021'!$A$2:$A$1494)),"NO","SI")</f>
        <v>NO</v>
      </c>
      <c r="F80" s="7" t="str">
        <f>IF(ISERROR(LOOKUP(2^15,SEARCH(B80,'2020'!$B$2:$B$1278,1),'2020'!$A$2:$A$1278)),"NO","SI")</f>
        <v>NO</v>
      </c>
      <c r="G80" s="7" t="str">
        <f>IF(ISERROR(LOOKUP(2^15,SEARCH(B80,'2019'!$B$2:$B$1108,1),'2019'!$A$2:$A$1108)),"NO","SI")</f>
        <v>NO</v>
      </c>
      <c r="H80" s="7" t="str">
        <f>IF(ISERROR(LOOKUP(2^15,SEARCH(B80,'2018'!$B$1:$B$1047,1),'2018'!$A$1:$A$1047)),"NO","SI")</f>
        <v>NO</v>
      </c>
      <c r="I80" s="8" t="str">
        <f>IF(ISERROR(LOOKUP(2^15,SEARCH(B80,'ALERTA SANITARIA'!$B$2:$B$269,1),'2018'!$A$1:$A$1047)),"NO","SI")</f>
        <v>SI</v>
      </c>
      <c r="J80" s="6" t="str">
        <f t="shared" si="0"/>
        <v>COFEPRIS</v>
      </c>
      <c r="K80" s="6" t="str">
        <f t="array" ref="K80">IFERROR(INDEX(Anterior!$C$1:$D$323,MATCH(B80,Anterior!$B$2:$B$323,0)+1,2),0)</f>
        <v>COFEPRIS</v>
      </c>
      <c r="L80" s="6" t="str">
        <f t="shared" si="1"/>
        <v>coinciden</v>
      </c>
      <c r="M80" s="2"/>
    </row>
    <row r="81" spans="1:16" ht="15.75" customHeight="1" x14ac:dyDescent="0.25">
      <c r="A81" s="6" t="s">
        <v>172</v>
      </c>
      <c r="B81" s="1" t="s">
        <v>173</v>
      </c>
      <c r="C81" s="7" t="str">
        <f>IF(ISERROR(LOOKUP(2^15,SEARCH(B81,'2023'!$B$3:$B$1734,1),'2023'!$A$3:$A$1734)),"NO","SI")</f>
        <v>NO</v>
      </c>
      <c r="D81" s="7" t="str">
        <f>IF(ISERROR(LOOKUP(2^15,SEARCH(B81,'2022'!$B$2:$B$1591,1),'2022'!$A$2:$A$1591)),"NO","SI")</f>
        <v>NO</v>
      </c>
      <c r="E81" s="7" t="str">
        <f>IF(ISERROR(LOOKUP(2^15,SEARCH(B81,'2021'!$B$2:$B$1494,1),'2021'!$A$2:$A$1494)),"NO","SI")</f>
        <v>NO</v>
      </c>
      <c r="F81" s="7" t="str">
        <f>IF(ISERROR(LOOKUP(2^15,SEARCH(B81,'2020'!$B$2:$B$1278,1),'2020'!$A$2:$A$1278)),"NO","SI")</f>
        <v>NO</v>
      </c>
      <c r="G81" s="7" t="str">
        <f>IF(ISERROR(LOOKUP(2^15,SEARCH(B81,'2019'!$B$2:$B$1108,1),'2019'!$A$2:$A$1108)),"NO","SI")</f>
        <v>NO</v>
      </c>
      <c r="H81" s="7" t="str">
        <f>IF(ISERROR(LOOKUP(2^15,SEARCH(B81,'2018'!$B$1:$B$1047,1),'2018'!$A$1:$A$1047)),"NO","SI")</f>
        <v>NO</v>
      </c>
      <c r="I81" s="8" t="str">
        <f>IF(ISERROR(LOOKUP(2^15,SEARCH(B81,'ALERTA SANITARIA'!$B$2:$B$269,1),'2018'!$A$1:$A$1047)),"NO","SI")</f>
        <v>SI</v>
      </c>
      <c r="J81" s="6" t="str">
        <f t="shared" si="0"/>
        <v>COFEPRIS</v>
      </c>
      <c r="K81" s="6" t="str">
        <f t="array" ref="K81">IFERROR(INDEX(Anterior!$C$1:$D$323,MATCH(B81,Anterior!$B$2:$B$323,0)+1,2),0)</f>
        <v>COFEPRIS</v>
      </c>
      <c r="L81" s="6" t="str">
        <f t="shared" si="1"/>
        <v>coinciden</v>
      </c>
      <c r="M81" s="2"/>
    </row>
    <row r="82" spans="1:16" ht="15.75" customHeight="1" x14ac:dyDescent="0.25">
      <c r="A82" s="6" t="s">
        <v>174</v>
      </c>
      <c r="B82" s="1" t="s">
        <v>175</v>
      </c>
      <c r="C82" s="7" t="str">
        <f>IF(ISERROR(LOOKUP(2^15,SEARCH(B82,'2023'!$B$3:$B$1734,1),'2023'!$A$3:$A$1734)),"NO","SI")</f>
        <v>NO</v>
      </c>
      <c r="D82" s="7" t="str">
        <f>IF(ISERROR(LOOKUP(2^15,SEARCH(B82,'2022'!$B$2:$B$1591,1),'2022'!$A$2:$A$1591)),"NO","SI")</f>
        <v>NO</v>
      </c>
      <c r="E82" s="7" t="str">
        <f>IF(ISERROR(LOOKUP(2^15,SEARCH(B82,'2021'!$B$2:$B$1494,1),'2021'!$A$2:$A$1494)),"NO","SI")</f>
        <v>NO</v>
      </c>
      <c r="F82" s="7" t="str">
        <f>IF(ISERROR(LOOKUP(2^15,SEARCH(B82,'2020'!$B$2:$B$1278,1),'2020'!$A$2:$A$1278)),"NO","SI")</f>
        <v>NO</v>
      </c>
      <c r="G82" s="7" t="str">
        <f>IF(ISERROR(LOOKUP(2^15,SEARCH(B82,'2019'!$B$2:$B$1108,1),'2019'!$A$2:$A$1108)),"NO","SI")</f>
        <v>NO</v>
      </c>
      <c r="H82" s="7" t="str">
        <f>IF(ISERROR(LOOKUP(2^15,SEARCH(B82,'2018'!$B$1:$B$1047,1),'2018'!$A$1:$A$1047)),"NO","SI")</f>
        <v>NO</v>
      </c>
      <c r="I82" s="8" t="str">
        <f>IF(ISERROR(LOOKUP(2^15,SEARCH(B82,'ALERTA SANITARIA'!$B$2:$B$269,1),'2018'!$A$1:$A$1047)),"NO","SI")</f>
        <v>SI</v>
      </c>
      <c r="J82" s="6" t="str">
        <f t="shared" si="0"/>
        <v>COFEPRIS</v>
      </c>
      <c r="K82" s="6" t="str">
        <f t="array" ref="K82">IFERROR(INDEX(Anterior!$C$1:$D$323,MATCH(B82,Anterior!$B$2:$B$323,0)+1,2),0)</f>
        <v>COFEPRIS</v>
      </c>
      <c r="L82" s="6" t="str">
        <f t="shared" si="1"/>
        <v>coinciden</v>
      </c>
      <c r="M82" s="2"/>
    </row>
    <row r="83" spans="1:16" ht="15.75" customHeight="1" x14ac:dyDescent="0.25">
      <c r="A83" s="6" t="s">
        <v>176</v>
      </c>
      <c r="B83" s="1" t="s">
        <v>177</v>
      </c>
      <c r="C83" s="7" t="s">
        <v>14</v>
      </c>
      <c r="D83" s="7" t="s">
        <v>14</v>
      </c>
      <c r="E83" s="7" t="s">
        <v>14</v>
      </c>
      <c r="F83" s="7" t="s">
        <v>14</v>
      </c>
      <c r="G83" s="7" t="s">
        <v>14</v>
      </c>
      <c r="H83" s="7" t="s">
        <v>14</v>
      </c>
      <c r="I83" s="8" t="str">
        <f>IF(ISERROR(LOOKUP(2^15,SEARCH(B83,'ALERTA SANITARIA'!$B$2:$B$269,1),'2018'!$A$1:$A$1047)),"NO","SI")</f>
        <v>NO</v>
      </c>
      <c r="J83" s="6" t="str">
        <f t="shared" si="0"/>
        <v>Ninguno</v>
      </c>
      <c r="K83" s="6" t="str">
        <f t="array" ref="K83">IFERROR(INDEX(Anterior!$C$1:$D$323,MATCH(B83,Anterior!$B$2:$B$323,0)+1,2),0)</f>
        <v>DOF</v>
      </c>
      <c r="L83" s="6" t="str">
        <f t="shared" si="1"/>
        <v>Discrepan</v>
      </c>
      <c r="M83" s="2" t="s">
        <v>14</v>
      </c>
      <c r="P83" s="6" t="s">
        <v>178</v>
      </c>
    </row>
    <row r="84" spans="1:16" ht="15.75" customHeight="1" x14ac:dyDescent="0.25">
      <c r="A84" s="6" t="s">
        <v>179</v>
      </c>
      <c r="B84" s="6" t="s">
        <v>180</v>
      </c>
      <c r="C84" s="7" t="str">
        <f>IF(ISERROR(LOOKUP(2^15,SEARCH(B84,'2023'!$B$3:$B$1734,1),'2023'!$A$3:$A$1734)),"NO","SI")</f>
        <v>NO</v>
      </c>
      <c r="D84" s="7" t="str">
        <f>IF(ISERROR(LOOKUP(2^15,SEARCH(B84,'2022'!$B$2:$B$1591,1),'2022'!$A$2:$A$1591)),"NO","SI")</f>
        <v>NO</v>
      </c>
      <c r="E84" s="7" t="str">
        <f>IF(ISERROR(LOOKUP(2^15,SEARCH(B84,'2021'!$B$2:$B$1494,1),'2021'!$A$2:$A$1494)),"NO","SI")</f>
        <v>NO</v>
      </c>
      <c r="F84" s="7" t="str">
        <f>IF(ISERROR(LOOKUP(2^15,SEARCH(B84,'2020'!$B$2:$B$1278,1),'2020'!$A$2:$A$1278)),"NO","SI")</f>
        <v>NO</v>
      </c>
      <c r="G84" s="7" t="str">
        <f>IF(ISERROR(LOOKUP(2^15,SEARCH(B84,'2019'!$B$2:$B$1108,1),'2019'!$A$2:$A$1108)),"NO","SI")</f>
        <v>NO</v>
      </c>
      <c r="H84" s="7" t="str">
        <f>IF(ISERROR(LOOKUP(2^15,SEARCH(B84,'2018'!$B$1:$B$1047,1),'2018'!$A$1:$A$1047)),"NO","SI")</f>
        <v>NO</v>
      </c>
      <c r="I84" s="8" t="str">
        <f>IF(ISERROR(LOOKUP(2^15,SEARCH(B84,'ALERTA SANITARIA'!$B$2:$B$269,1),'2018'!$A$1:$A$1047)),"NO","SI")</f>
        <v>SI</v>
      </c>
      <c r="J84" s="6" t="str">
        <f t="shared" si="0"/>
        <v>COFEPRIS</v>
      </c>
      <c r="K84" s="6" t="str">
        <f t="array" ref="K84">IFERROR(INDEX(Anterior!$C$1:$D$323,MATCH(B84,Anterior!$B$2:$B$323,0)+1,2),0)</f>
        <v>COFEPRIS</v>
      </c>
      <c r="L84" s="6" t="str">
        <f t="shared" si="1"/>
        <v>coinciden</v>
      </c>
      <c r="M84" s="2"/>
    </row>
    <row r="85" spans="1:16" ht="15.75" customHeight="1" x14ac:dyDescent="0.25">
      <c r="A85" s="6" t="s">
        <v>181</v>
      </c>
      <c r="B85" s="6" t="s">
        <v>182</v>
      </c>
      <c r="C85" s="7" t="str">
        <f>IF(ISERROR(LOOKUP(2^15,SEARCH(B85,'2023'!$B$3:$B$1734,1),'2023'!$A$3:$A$1734)),"NO","SI")</f>
        <v>SI</v>
      </c>
      <c r="D85" s="7" t="str">
        <f>IF(ISERROR(LOOKUP(2^15,SEARCH(B85,'2022'!$B$2:$B$1591,1),'2022'!$A$2:$A$1591)),"NO","SI")</f>
        <v>SI</v>
      </c>
      <c r="E85" s="7" t="str">
        <f>IF(ISERROR(LOOKUP(2^15,SEARCH(B85,'2021'!$B$2:$B$1494,1),'2021'!$A$2:$A$1494)),"NO","SI")</f>
        <v>SI</v>
      </c>
      <c r="F85" s="7" t="str">
        <f>IF(ISERROR(LOOKUP(2^15,SEARCH(B85,'2020'!$B$2:$B$1278,1),'2020'!$A$2:$A$1278)),"NO","SI")</f>
        <v>SI</v>
      </c>
      <c r="G85" s="7" t="str">
        <f>IF(ISERROR(LOOKUP(2^15,SEARCH(B85,'2019'!$B$2:$B$1108,1),'2019'!$A$2:$A$1108)),"NO","SI")</f>
        <v>SI</v>
      </c>
      <c r="H85" s="7" t="str">
        <f>IF(ISERROR(LOOKUP(2^15,SEARCH(B85,'2018'!$B$1:$B$1047,1),'2018'!$A$1:$A$1047)),"NO","SI")</f>
        <v>SI</v>
      </c>
      <c r="I85" s="8" t="str">
        <f>IF(ISERROR(LOOKUP(2^15,SEARCH(B85,'ALERTA SANITARIA'!$B$2:$B$269,1),'2018'!$A$1:$A$1047)),"NO","SI")</f>
        <v>NO</v>
      </c>
      <c r="J85" s="6" t="str">
        <f t="shared" si="0"/>
        <v>DOF</v>
      </c>
      <c r="K85" s="6" t="str">
        <f t="array" ref="K85">IFERROR(INDEX(Anterior!$C$1:$D$323,MATCH(B85,Anterior!$B$2:$B$323,0)+1,2),0)</f>
        <v>DOF</v>
      </c>
      <c r="L85" s="6" t="str">
        <f t="shared" si="1"/>
        <v>coinciden</v>
      </c>
      <c r="M85" s="2"/>
    </row>
    <row r="86" spans="1:16" ht="15.75" customHeight="1" x14ac:dyDescent="0.25">
      <c r="A86" s="6" t="s">
        <v>183</v>
      </c>
      <c r="B86" s="6" t="s">
        <v>184</v>
      </c>
      <c r="C86" s="7" t="str">
        <f>IF(ISERROR(LOOKUP(2^15,SEARCH(B86,'2023'!$B$3:$B$1734,1),'2023'!$A$3:$A$1734)),"NO","SI")</f>
        <v>NO</v>
      </c>
      <c r="D86" s="7" t="str">
        <f>IF(ISERROR(LOOKUP(2^15,SEARCH(B86,'2022'!$B$2:$B$1591,1),'2022'!$A$2:$A$1591)),"NO","SI")</f>
        <v>NO</v>
      </c>
      <c r="E86" s="7" t="str">
        <f>IF(ISERROR(LOOKUP(2^15,SEARCH(B86,'2021'!$B$2:$B$1494,1),'2021'!$A$2:$A$1494)),"NO","SI")</f>
        <v>NO</v>
      </c>
      <c r="F86" s="7" t="str">
        <f>IF(ISERROR(LOOKUP(2^15,SEARCH(B86,'2020'!$B$2:$B$1278,1),'2020'!$A$2:$A$1278)),"NO","SI")</f>
        <v>NO</v>
      </c>
      <c r="G86" s="7" t="str">
        <f>IF(ISERROR(LOOKUP(2^15,SEARCH(B86,'2019'!$B$2:$B$1108,1),'2019'!$A$2:$A$1108)),"NO","SI")</f>
        <v>NO</v>
      </c>
      <c r="H86" s="7" t="str">
        <f>IF(ISERROR(LOOKUP(2^15,SEARCH(B86,'2018'!$B$1:$B$1047,1),'2018'!$A$1:$A$1047)),"NO","SI")</f>
        <v>NO</v>
      </c>
      <c r="I86" s="8" t="str">
        <f>IF(ISERROR(LOOKUP(2^15,SEARCH(B86,'ALERTA SANITARIA'!$B$2:$B$269,1),'2018'!$A$1:$A$1047)),"NO","SI")</f>
        <v>SI</v>
      </c>
      <c r="J86" s="6" t="str">
        <f t="shared" si="0"/>
        <v>COFEPRIS</v>
      </c>
      <c r="K86" s="6" t="str">
        <f t="array" ref="K86">IFERROR(INDEX(Anterior!$C$1:$D$323,MATCH(B86,Anterior!$B$2:$B$323,0)+1,2),0)</f>
        <v>COFEPRIS</v>
      </c>
      <c r="L86" s="6" t="str">
        <f t="shared" si="1"/>
        <v>coinciden</v>
      </c>
      <c r="M86" s="2"/>
    </row>
    <row r="87" spans="1:16" ht="15.75" customHeight="1" x14ac:dyDescent="0.25">
      <c r="A87" s="6" t="s">
        <v>185</v>
      </c>
      <c r="B87" s="6" t="s">
        <v>186</v>
      </c>
      <c r="C87" s="7" t="str">
        <f>IF(ISERROR(LOOKUP(2^15,SEARCH(B87,'2023'!$B$3:$B$1734,1),'2023'!$A$3:$A$1734)),"NO","SI")</f>
        <v>SI</v>
      </c>
      <c r="D87" s="7" t="str">
        <f>IF(ISERROR(LOOKUP(2^15,SEARCH(B87,'2022'!$B$2:$B$1591,1),'2022'!$A$2:$A$1591)),"NO","SI")</f>
        <v>SI</v>
      </c>
      <c r="E87" s="7" t="str">
        <f>IF(ISERROR(LOOKUP(2^15,SEARCH(B87,'2021'!$B$2:$B$1494,1),'2021'!$A$2:$A$1494)),"NO","SI")</f>
        <v>SI</v>
      </c>
      <c r="F87" s="7" t="str">
        <f>IF(ISERROR(LOOKUP(2^15,SEARCH(B87,'2020'!$B$2:$B$1278,1),'2020'!$A$2:$A$1278)),"NO","SI")</f>
        <v>SI</v>
      </c>
      <c r="G87" s="7" t="str">
        <f>IF(ISERROR(LOOKUP(2^15,SEARCH(B87,'2019'!$B$2:$B$1108,1),'2019'!$A$2:$A$1108)),"NO","SI")</f>
        <v>SI</v>
      </c>
      <c r="H87" s="7" t="str">
        <f>IF(ISERROR(LOOKUP(2^15,SEARCH(B87,'2018'!$B$1:$B$1047,1),'2018'!$A$1:$A$1047)),"NO","SI")</f>
        <v>SI</v>
      </c>
      <c r="I87" s="8" t="str">
        <f>IF(ISERROR(LOOKUP(2^15,SEARCH(B87,'ALERTA SANITARIA'!$B$2:$B$269,1),'2018'!$A$1:$A$1047)),"NO","SI")</f>
        <v>NO</v>
      </c>
      <c r="J87" s="6" t="str">
        <f t="shared" si="0"/>
        <v>DOF</v>
      </c>
      <c r="K87" s="6" t="str">
        <f t="array" ref="K87">IFERROR(INDEX(Anterior!$C$1:$D$323,MATCH(B87,Anterior!$B$2:$B$323,0)+1,2),0)</f>
        <v>DOF</v>
      </c>
      <c r="L87" s="6" t="str">
        <f t="shared" si="1"/>
        <v>coinciden</v>
      </c>
      <c r="M87" s="2"/>
    </row>
    <row r="88" spans="1:16" ht="15.75" customHeight="1" x14ac:dyDescent="0.25">
      <c r="A88" s="6" t="s">
        <v>187</v>
      </c>
      <c r="B88" s="6" t="s">
        <v>188</v>
      </c>
      <c r="C88" s="7" t="str">
        <f>IF(ISERROR(LOOKUP(2^15,SEARCH(B88,'2023'!$B$3:$B$1734,1),'2023'!$A$3:$A$1734)),"NO","SI")</f>
        <v>SI</v>
      </c>
      <c r="D88" s="7" t="str">
        <f>IF(ISERROR(LOOKUP(2^15,SEARCH(B88,'2022'!$B$2:$B$1591,1),'2022'!$A$2:$A$1591)),"NO","SI")</f>
        <v>SI</v>
      </c>
      <c r="E88" s="7" t="str">
        <f>IF(ISERROR(LOOKUP(2^15,SEARCH(B88,'2021'!$B$2:$B$1494,1),'2021'!$A$2:$A$1494)),"NO","SI")</f>
        <v>SI</v>
      </c>
      <c r="F88" s="7" t="str">
        <f>IF(ISERROR(LOOKUP(2^15,SEARCH(B88,'2020'!$B$2:$B$1278,1),'2020'!$A$2:$A$1278)),"NO","SI")</f>
        <v>SI</v>
      </c>
      <c r="G88" s="7" t="str">
        <f>IF(ISERROR(LOOKUP(2^15,SEARCH(B88,'2019'!$B$2:$B$1108,1),'2019'!$A$2:$A$1108)),"NO","SI")</f>
        <v>SI</v>
      </c>
      <c r="H88" s="7" t="str">
        <f>IF(ISERROR(LOOKUP(2^15,SEARCH(B88,'2018'!$B$1:$B$1047,1),'2018'!$A$1:$A$1047)),"NO","SI")</f>
        <v>SI</v>
      </c>
      <c r="I88" s="8" t="str">
        <f>IF(ISERROR(LOOKUP(2^15,SEARCH(B88,'ALERTA SANITARIA'!$B$2:$B$269,1),'2018'!$A$1:$A$1047)),"NO","SI")</f>
        <v>NO</v>
      </c>
      <c r="J88" s="6" t="str">
        <f t="shared" si="0"/>
        <v>DOF</v>
      </c>
      <c r="K88" s="6" t="str">
        <f t="array" ref="K88">IFERROR(INDEX(Anterior!$C$1:$D$323,MATCH(B88,Anterior!$B$2:$B$323,0)+1,2),0)</f>
        <v>DOF</v>
      </c>
      <c r="L88" s="6" t="str">
        <f t="shared" si="1"/>
        <v>coinciden</v>
      </c>
      <c r="M88" s="2"/>
    </row>
    <row r="89" spans="1:16" ht="15.75" customHeight="1" x14ac:dyDescent="0.25">
      <c r="A89" s="6" t="s">
        <v>189</v>
      </c>
      <c r="B89" s="6" t="s">
        <v>190</v>
      </c>
      <c r="C89" s="7" t="s">
        <v>14</v>
      </c>
      <c r="D89" s="7" t="s">
        <v>14</v>
      </c>
      <c r="E89" s="7" t="s">
        <v>14</v>
      </c>
      <c r="F89" s="7" t="str">
        <f>IF(ISERROR(LOOKUP(2^15,SEARCH(B89,'2020'!$B$2:$B$1278,1),'2020'!$A$2:$A$1278)),"NO","SI")</f>
        <v>NO</v>
      </c>
      <c r="G89" s="7" t="str">
        <f>IF(ISERROR(LOOKUP(2^15,SEARCH(B89,'2019'!$B$2:$B$1108,1),'2019'!$A$2:$A$1108)),"NO","SI")</f>
        <v>NO</v>
      </c>
      <c r="H89" s="7" t="str">
        <f>IF(ISERROR(LOOKUP(2^15,SEARCH(B89,'2018'!$B$1:$B$1047,1),'2018'!$A$1:$A$1047)),"NO","SI")</f>
        <v>NO</v>
      </c>
      <c r="I89" s="8" t="str">
        <f>IF(ISERROR(LOOKUP(2^15,SEARCH(B89,'ALERTA SANITARIA'!$B$2:$B$269,1),'2018'!$A$1:$A$1047)),"NO","SI")</f>
        <v>SI</v>
      </c>
      <c r="J89" s="6" t="str">
        <f t="shared" si="0"/>
        <v>COFEPRIS</v>
      </c>
      <c r="K89" s="6">
        <f t="array" ref="K89">IFERROR(INDEX(Anterior!$C$1:$D$323,MATCH(B89,Anterior!$B$2:$B$323,0)+1,2),0)</f>
        <v>0</v>
      </c>
      <c r="L89" s="6" t="str">
        <f t="shared" si="1"/>
        <v>Nuevo</v>
      </c>
      <c r="M89" s="2"/>
      <c r="P89" s="6" t="s">
        <v>191</v>
      </c>
    </row>
    <row r="90" spans="1:16" ht="15.75" customHeight="1" x14ac:dyDescent="0.25">
      <c r="A90" s="6" t="s">
        <v>192</v>
      </c>
      <c r="B90" s="6" t="s">
        <v>193</v>
      </c>
      <c r="C90" s="7" t="str">
        <f>IF(ISERROR(LOOKUP(2^15,SEARCH(B90,'2023'!$B$3:$B$1734,1),'2023'!$A$3:$A$1734)),"NO","SI")</f>
        <v>NO</v>
      </c>
      <c r="D90" s="7" t="str">
        <f>IF(ISERROR(LOOKUP(2^15,SEARCH(B90,'2022'!$B$2:$B$1591,1),'2022'!$A$2:$A$1591)),"NO","SI")</f>
        <v>NO</v>
      </c>
      <c r="E90" s="7" t="str">
        <f>IF(ISERROR(LOOKUP(2^15,SEARCH(B90,'2021'!$B$2:$B$1494,1),'2021'!$A$2:$A$1494)),"NO","SI")</f>
        <v>NO</v>
      </c>
      <c r="F90" s="7" t="str">
        <f>IF(ISERROR(LOOKUP(2^15,SEARCH(B90,'2020'!$B$2:$B$1278,1),'2020'!$A$2:$A$1278)),"NO","SI")</f>
        <v>NO</v>
      </c>
      <c r="G90" s="7" t="str">
        <f>IF(ISERROR(LOOKUP(2^15,SEARCH(B90,'2019'!$B$2:$B$1108,1),'2019'!$A$2:$A$1108)),"NO","SI")</f>
        <v>NO</v>
      </c>
      <c r="H90" s="7" t="str">
        <f>IF(ISERROR(LOOKUP(2^15,SEARCH(B90,'2018'!$B$1:$B$1047,1),'2018'!$A$1:$A$1047)),"NO","SI")</f>
        <v>NO</v>
      </c>
      <c r="I90" s="8" t="str">
        <f>IF(ISERROR(LOOKUP(2^15,SEARCH(B90,'ALERTA SANITARIA'!$B$2:$B$269,1),'2018'!$A$1:$A$1047)),"NO","SI")</f>
        <v>NO</v>
      </c>
      <c r="J90" s="6" t="str">
        <f t="shared" si="0"/>
        <v>Ninguno</v>
      </c>
      <c r="K90" s="6" t="str">
        <f t="array" ref="K90">IFERROR(INDEX(Anterior!$C$1:$D$323,MATCH(B90,Anterior!$B$2:$B$323,0)+1,2),0)</f>
        <v>Ninguno</v>
      </c>
      <c r="L90" s="6" t="str">
        <f t="shared" si="1"/>
        <v>coinciden</v>
      </c>
      <c r="M90" s="2" t="s">
        <v>14</v>
      </c>
    </row>
    <row r="91" spans="1:16" ht="15.75" customHeight="1" x14ac:dyDescent="0.25">
      <c r="A91" s="6" t="s">
        <v>194</v>
      </c>
      <c r="B91" s="6" t="s">
        <v>195</v>
      </c>
      <c r="C91" s="7" t="str">
        <f>IF(ISERROR(LOOKUP(2^15,SEARCH(B91,'2023'!$B$3:$B$1734,1),'2023'!$A$3:$A$1734)),"NO","SI")</f>
        <v>NO</v>
      </c>
      <c r="D91" s="7" t="str">
        <f>IF(ISERROR(LOOKUP(2^15,SEARCH(B91,'2022'!$B$2:$B$1591,1),'2022'!$A$2:$A$1591)),"NO","SI")</f>
        <v>NO</v>
      </c>
      <c r="E91" s="7" t="str">
        <f>IF(ISERROR(LOOKUP(2^15,SEARCH(B91,'2021'!$B$2:$B$1494,1),'2021'!$A$2:$A$1494)),"NO","SI")</f>
        <v>NO</v>
      </c>
      <c r="F91" s="7" t="str">
        <f>IF(ISERROR(LOOKUP(2^15,SEARCH(B91,'2020'!$B$2:$B$1278,1),'2020'!$A$2:$A$1278)),"NO","SI")</f>
        <v>NO</v>
      </c>
      <c r="G91" s="7" t="str">
        <f>IF(ISERROR(LOOKUP(2^15,SEARCH(B91,'2019'!$B$2:$B$1108,1),'2019'!$A$2:$A$1108)),"NO","SI")</f>
        <v>NO</v>
      </c>
      <c r="H91" s="7" t="str">
        <f>IF(ISERROR(LOOKUP(2^15,SEARCH(B91,'2018'!$B$1:$B$1047,1),'2018'!$A$1:$A$1047)),"NO","SI")</f>
        <v>NO</v>
      </c>
      <c r="I91" s="8" t="str">
        <f>IF(ISERROR(LOOKUP(2^15,SEARCH(B91,'ALERTA SANITARIA'!$B$2:$B$269,1),'2018'!$A$1:$A$1047)),"NO","SI")</f>
        <v>SI</v>
      </c>
      <c r="J91" s="6" t="str">
        <f t="shared" si="0"/>
        <v>COFEPRIS</v>
      </c>
      <c r="K91" s="6" t="str">
        <f t="array" ref="K91">IFERROR(INDEX(Anterior!$C$1:$D$323,MATCH(B91,Anterior!$B$2:$B$323,0)+1,2),0)</f>
        <v>COFEPRIS</v>
      </c>
      <c r="L91" s="6" t="str">
        <f t="shared" si="1"/>
        <v>coinciden</v>
      </c>
      <c r="M91" s="2"/>
    </row>
    <row r="92" spans="1:16" ht="15.75" customHeight="1" x14ac:dyDescent="0.25">
      <c r="A92" s="6" t="s">
        <v>196</v>
      </c>
      <c r="B92" s="6" t="s">
        <v>197</v>
      </c>
      <c r="C92" s="7" t="str">
        <f>IF(ISERROR(LOOKUP(2^15,SEARCH(B92,'2023'!$B$3:$B$1734,1),'2023'!$A$3:$A$1734)),"NO","SI")</f>
        <v>SI</v>
      </c>
      <c r="D92" s="7" t="str">
        <f>IF(ISERROR(LOOKUP(2^15,SEARCH(B92,'2022'!$B$2:$B$1591,1),'2022'!$A$2:$A$1591)),"NO","SI")</f>
        <v>SI</v>
      </c>
      <c r="E92" s="7" t="str">
        <f>IF(ISERROR(LOOKUP(2^15,SEARCH(B92,'2021'!$B$2:$B$1494,1),'2021'!$A$2:$A$1494)),"NO","SI")</f>
        <v>SI</v>
      </c>
      <c r="F92" s="7" t="str">
        <f>IF(ISERROR(LOOKUP(2^15,SEARCH(B92,'2020'!$B$2:$B$1278,1),'2020'!$A$2:$A$1278)),"NO","SI")</f>
        <v>SI</v>
      </c>
      <c r="G92" s="7" t="str">
        <f>IF(ISERROR(LOOKUP(2^15,SEARCH(B92,'2019'!$B$2:$B$1108,1),'2019'!$A$2:$A$1108)),"NO","SI")</f>
        <v>SI</v>
      </c>
      <c r="H92" s="7" t="str">
        <f>IF(ISERROR(LOOKUP(2^15,SEARCH(B92,'2018'!$B$1:$B$1047,1),'2018'!$A$1:$A$1047)),"NO","SI")</f>
        <v>SI</v>
      </c>
      <c r="I92" s="8" t="str">
        <f>IF(ISERROR(LOOKUP(2^15,SEARCH(B92,'ALERTA SANITARIA'!$B$2:$B$269,1),'2018'!$A$1:$A$1047)),"NO","SI")</f>
        <v>NO</v>
      </c>
      <c r="J92" s="6" t="str">
        <f t="shared" si="0"/>
        <v>DOF</v>
      </c>
      <c r="K92" s="6" t="str">
        <f t="array" ref="K92">IFERROR(INDEX(Anterior!$C$1:$D$323,MATCH(B92,Anterior!$B$2:$B$323,0)+1,2),0)</f>
        <v>DOF</v>
      </c>
      <c r="L92" s="6" t="str">
        <f t="shared" si="1"/>
        <v>coinciden</v>
      </c>
      <c r="M92" s="2"/>
    </row>
    <row r="93" spans="1:16" ht="15.75" customHeight="1" x14ac:dyDescent="0.25">
      <c r="A93" s="6" t="s">
        <v>198</v>
      </c>
      <c r="B93" s="6" t="s">
        <v>199</v>
      </c>
      <c r="C93" s="7" t="str">
        <f>IF(ISERROR(LOOKUP(2^15,SEARCH(B93,'2023'!$B$3:$B$1734,1),'2023'!$A$3:$A$1734)),"NO","SI")</f>
        <v>NO</v>
      </c>
      <c r="D93" s="7" t="str">
        <f>IF(ISERROR(LOOKUP(2^15,SEARCH(B93,'2022'!$B$2:$B$1591,1),'2022'!$A$2:$A$1591)),"NO","SI")</f>
        <v>NO</v>
      </c>
      <c r="E93" s="7" t="str">
        <f>IF(ISERROR(LOOKUP(2^15,SEARCH(B93,'2021'!$B$2:$B$1494,1),'2021'!$A$2:$A$1494)),"NO","SI")</f>
        <v>NO</v>
      </c>
      <c r="F93" s="7" t="str">
        <f>IF(ISERROR(LOOKUP(2^15,SEARCH(B93,'2020'!$B$2:$B$1278,1),'2020'!$A$2:$A$1278)),"NO","SI")</f>
        <v>NO</v>
      </c>
      <c r="G93" s="7" t="str">
        <f>IF(ISERROR(LOOKUP(2^15,SEARCH(B93,'2019'!$B$2:$B$1108,1),'2019'!$A$2:$A$1108)),"NO","SI")</f>
        <v>NO</v>
      </c>
      <c r="H93" s="7" t="str">
        <f>IF(ISERROR(LOOKUP(2^15,SEARCH(B93,'2018'!$B$1:$B$1047,1),'2018'!$A$1:$A$1047)),"NO","SI")</f>
        <v>NO</v>
      </c>
      <c r="I93" s="8" t="str">
        <f>IF(ISERROR(LOOKUP(2^15,SEARCH(B93,'ALERTA SANITARIA'!$B$2:$B$269,1),'2018'!$A$1:$A$1047)),"NO","SI")</f>
        <v>SI</v>
      </c>
      <c r="J93" s="6" t="str">
        <f t="shared" si="0"/>
        <v>COFEPRIS</v>
      </c>
      <c r="K93" s="6" t="str">
        <f t="array" ref="K93">IFERROR(INDEX(Anterior!$C$1:$D$323,MATCH(B93,Anterior!$B$2:$B$323,0)+1,2),0)</f>
        <v>COFEPRIS</v>
      </c>
      <c r="L93" s="6" t="str">
        <f t="shared" si="1"/>
        <v>coinciden</v>
      </c>
      <c r="M93" s="2"/>
    </row>
    <row r="94" spans="1:16" ht="15.75" customHeight="1" x14ac:dyDescent="0.25">
      <c r="A94" s="6" t="s">
        <v>200</v>
      </c>
      <c r="B94" s="6" t="s">
        <v>201</v>
      </c>
      <c r="C94" s="7" t="str">
        <f>IF(ISERROR(LOOKUP(2^15,SEARCH(B94,'2023'!$B$3:$B$1734,1),'2023'!$A$3:$A$1734)),"NO","SI")</f>
        <v>NO</v>
      </c>
      <c r="D94" s="7" t="str">
        <f>IF(ISERROR(LOOKUP(2^15,SEARCH(B94,'2022'!$B$2:$B$1591,1),'2022'!$A$2:$A$1591)),"NO","SI")</f>
        <v>NO</v>
      </c>
      <c r="E94" s="7" t="str">
        <f>IF(ISERROR(LOOKUP(2^15,SEARCH(B94,'2021'!$B$2:$B$1494,1),'2021'!$A$2:$A$1494)),"NO","SI")</f>
        <v>NO</v>
      </c>
      <c r="F94" s="7" t="str">
        <f>IF(ISERROR(LOOKUP(2^15,SEARCH(B94,'2020'!$B$2:$B$1278,1),'2020'!$A$2:$A$1278)),"NO","SI")</f>
        <v>NO</v>
      </c>
      <c r="G94" s="7" t="str">
        <f>IF(ISERROR(LOOKUP(2^15,SEARCH(B94,'2019'!$B$2:$B$1108,1),'2019'!$A$2:$A$1108)),"NO","SI")</f>
        <v>NO</v>
      </c>
      <c r="H94" s="7" t="str">
        <f>IF(ISERROR(LOOKUP(2^15,SEARCH(B94,'2018'!$B$1:$B$1047,1),'2018'!$A$1:$A$1047)),"NO","SI")</f>
        <v>NO</v>
      </c>
      <c r="I94" s="8" t="str">
        <f>IF(ISERROR(LOOKUP(2^15,SEARCH(B94,'ALERTA SANITARIA'!$B$2:$B$269,1),'2018'!$A$1:$A$1047)),"NO","SI")</f>
        <v>SI</v>
      </c>
      <c r="J94" s="6" t="str">
        <f t="shared" si="0"/>
        <v>COFEPRIS</v>
      </c>
      <c r="K94" s="6" t="str">
        <f t="array" ref="K94">IFERROR(INDEX(Anterior!$C$1:$D$323,MATCH(B94,Anterior!$B$2:$B$323,0)+1,2),0)</f>
        <v>COFEPRIS</v>
      </c>
      <c r="L94" s="6" t="str">
        <f t="shared" si="1"/>
        <v>coinciden</v>
      </c>
      <c r="M94" s="2"/>
    </row>
    <row r="95" spans="1:16" ht="15.75" customHeight="1" x14ac:dyDescent="0.25">
      <c r="A95" s="6" t="s">
        <v>202</v>
      </c>
      <c r="B95" s="6" t="s">
        <v>203</v>
      </c>
      <c r="C95" s="7" t="str">
        <f>IF(ISERROR(LOOKUP(2^15,SEARCH(B95,'2023'!$B$3:$B$1734,1),'2023'!$A$3:$A$1734)),"NO","SI")</f>
        <v>NO</v>
      </c>
      <c r="D95" s="7" t="str">
        <f>IF(ISERROR(LOOKUP(2^15,SEARCH(B95,'2022'!$B$2:$B$1591,1),'2022'!$A$2:$A$1591)),"NO","SI")</f>
        <v>NO</v>
      </c>
      <c r="E95" s="7" t="str">
        <f>IF(ISERROR(LOOKUP(2^15,SEARCH(B95,'2021'!$B$2:$B$1494,1),'2021'!$A$2:$A$1494)),"NO","SI")</f>
        <v>NO</v>
      </c>
      <c r="F95" s="7" t="str">
        <f>IF(ISERROR(LOOKUP(2^15,SEARCH(B95,'2020'!$B$2:$B$1278,1),'2020'!$A$2:$A$1278)),"NO","SI")</f>
        <v>NO</v>
      </c>
      <c r="G95" s="7" t="str">
        <f>IF(ISERROR(LOOKUP(2^15,SEARCH(B95,'2019'!$B$2:$B$1108,1),'2019'!$A$2:$A$1108)),"NO","SI")</f>
        <v>NO</v>
      </c>
      <c r="H95" s="7" t="str">
        <f>IF(ISERROR(LOOKUP(2^15,SEARCH(B95,'2018'!$B$1:$B$1047,1),'2018'!$A$1:$A$1047)),"NO","SI")</f>
        <v>NO</v>
      </c>
      <c r="I95" s="8" t="str">
        <f>IF(ISERROR(LOOKUP(2^15,SEARCH(B95,'ALERTA SANITARIA'!$B$2:$B$269,1),'2018'!$A$1:$A$1047)),"NO","SI")</f>
        <v>SI</v>
      </c>
      <c r="J95" s="6" t="str">
        <f t="shared" si="0"/>
        <v>COFEPRIS</v>
      </c>
      <c r="K95" s="6" t="str">
        <f t="array" ref="K95">IFERROR(INDEX(Anterior!$C$1:$D$323,MATCH(B95,Anterior!$B$2:$B$323,0)+1,2),0)</f>
        <v>COFEPRIS</v>
      </c>
      <c r="L95" s="6" t="str">
        <f t="shared" si="1"/>
        <v>coinciden</v>
      </c>
      <c r="M95" s="2"/>
    </row>
    <row r="96" spans="1:16" ht="15.75" customHeight="1" x14ac:dyDescent="0.25">
      <c r="A96" s="6" t="s">
        <v>204</v>
      </c>
      <c r="B96" s="6" t="s">
        <v>205</v>
      </c>
      <c r="C96" s="7" t="str">
        <f>IF(ISERROR(LOOKUP(2^15,SEARCH(B96,'2023'!$B$3:$B$1734,1),'2023'!$A$3:$A$1734)),"NO","SI")</f>
        <v>SI</v>
      </c>
      <c r="D96" s="7" t="str">
        <f>IF(ISERROR(LOOKUP(2^15,SEARCH(B96,'2022'!$B$2:$B$1591,1),'2022'!$A$2:$A$1591)),"NO","SI")</f>
        <v>SI</v>
      </c>
      <c r="E96" s="7" t="str">
        <f>IF(ISERROR(LOOKUP(2^15,SEARCH(B96,'2021'!$B$2:$B$1494,1),'2021'!$A$2:$A$1494)),"NO","SI")</f>
        <v>SI</v>
      </c>
      <c r="F96" s="7" t="str">
        <f>IF(ISERROR(LOOKUP(2^15,SEARCH(B96,'2020'!$B$2:$B$1278,1),'2020'!$A$2:$A$1278)),"NO","SI")</f>
        <v>SI</v>
      </c>
      <c r="G96" s="7" t="str">
        <f>IF(ISERROR(LOOKUP(2^15,SEARCH(B96,'2019'!$B$2:$B$1108,1),'2019'!$A$2:$A$1108)),"NO","SI")</f>
        <v>SI</v>
      </c>
      <c r="H96" s="7" t="str">
        <f>IF(ISERROR(LOOKUP(2^15,SEARCH(B96,'2018'!$B$1:$B$1047,1),'2018'!$A$1:$A$1047)),"NO","SI")</f>
        <v>SI</v>
      </c>
      <c r="I96" s="8" t="str">
        <f>IF(ISERROR(LOOKUP(2^15,SEARCH(B96,'ALERTA SANITARIA'!$B$2:$B$269,1),'2018'!$A$1:$A$1047)),"NO","SI")</f>
        <v>NO</v>
      </c>
      <c r="J96" s="6" t="str">
        <f t="shared" si="0"/>
        <v>DOF</v>
      </c>
      <c r="K96" s="6" t="str">
        <f t="array" ref="K96">IFERROR(INDEX(Anterior!$C$1:$D$323,MATCH(B96,Anterior!$B$2:$B$323,0)+1,2),0)</f>
        <v>DOF</v>
      </c>
      <c r="L96" s="6" t="str">
        <f t="shared" si="1"/>
        <v>coinciden</v>
      </c>
      <c r="M96" s="2"/>
    </row>
    <row r="97" spans="1:16" ht="15.75" customHeight="1" x14ac:dyDescent="0.25">
      <c r="A97" s="6" t="s">
        <v>206</v>
      </c>
      <c r="B97" s="6" t="s">
        <v>207</v>
      </c>
      <c r="C97" s="7" t="str">
        <f>IF(ISERROR(LOOKUP(2^15,SEARCH(B97,'2023'!$B$3:$B$1734,1),'2023'!$A$3:$A$1734)),"NO","SI")</f>
        <v>SI</v>
      </c>
      <c r="D97" s="7" t="str">
        <f>IF(ISERROR(LOOKUP(2^15,SEARCH(B97,'2022'!$B$2:$B$1591,1),'2022'!$A$2:$A$1591)),"NO","SI")</f>
        <v>SI</v>
      </c>
      <c r="E97" s="7" t="str">
        <f>IF(ISERROR(LOOKUP(2^15,SEARCH(B97,'2021'!$B$2:$B$1494,1),'2021'!$A$2:$A$1494)),"NO","SI")</f>
        <v>SI</v>
      </c>
      <c r="F97" s="7" t="str">
        <f>IF(ISERROR(LOOKUP(2^15,SEARCH(B97,'2020'!$B$2:$B$1278,1),'2020'!$A$2:$A$1278)),"NO","SI")</f>
        <v>SI</v>
      </c>
      <c r="G97" s="7" t="str">
        <f>IF(ISERROR(LOOKUP(2^15,SEARCH(B97,'2019'!$B$2:$B$1108,1),'2019'!$A$2:$A$1108)),"NO","SI")</f>
        <v>SI</v>
      </c>
      <c r="H97" s="7" t="str">
        <f>IF(ISERROR(LOOKUP(2^15,SEARCH(B97,'2018'!$B$1:$B$1047,1),'2018'!$A$1:$A$1047)),"NO","SI")</f>
        <v>SI</v>
      </c>
      <c r="I97" s="8" t="str">
        <f>IF(ISERROR(LOOKUP(2^15,SEARCH(B97,'ALERTA SANITARIA'!$B$2:$B$269,1),'2018'!$A$1:$A$1047)),"NO","SI")</f>
        <v>SI</v>
      </c>
      <c r="J97" s="6" t="str">
        <f t="shared" si="0"/>
        <v>AMBOS</v>
      </c>
      <c r="K97" s="6" t="str">
        <f t="array" ref="K97">IFERROR(INDEX(Anterior!$C$1:$D$323,MATCH(B97,Anterior!$B$2:$B$323,0)+1,2),0)</f>
        <v>COFEPRIS</v>
      </c>
      <c r="L97" s="6" t="str">
        <f t="shared" si="1"/>
        <v>Discrepan</v>
      </c>
      <c r="M97" s="2" t="s">
        <v>14</v>
      </c>
    </row>
    <row r="98" spans="1:16" ht="15.75" customHeight="1" x14ac:dyDescent="0.25">
      <c r="A98" s="6" t="s">
        <v>208</v>
      </c>
      <c r="B98" s="6" t="s">
        <v>209</v>
      </c>
      <c r="C98" s="7" t="str">
        <f>IF(ISERROR(LOOKUP(2^15,SEARCH(B98,'2023'!$B$3:$B$1734,1),'2023'!$A$3:$A$1734)),"NO","SI")</f>
        <v>NO</v>
      </c>
      <c r="D98" s="7" t="str">
        <f>IF(ISERROR(LOOKUP(2^15,SEARCH(B98,'2022'!$B$2:$B$1591,1),'2022'!$A$2:$A$1591)),"NO","SI")</f>
        <v>NO</v>
      </c>
      <c r="E98" s="7" t="str">
        <f>IF(ISERROR(LOOKUP(2^15,SEARCH(B98,'2021'!$B$2:$B$1494,1),'2021'!$A$2:$A$1494)),"NO","SI")</f>
        <v>NO</v>
      </c>
      <c r="F98" s="7" t="str">
        <f>IF(ISERROR(LOOKUP(2^15,SEARCH(B98,'2020'!$B$2:$B$1278,1),'2020'!$A$2:$A$1278)),"NO","SI")</f>
        <v>NO</v>
      </c>
      <c r="G98" s="7" t="str">
        <f>IF(ISERROR(LOOKUP(2^15,SEARCH(B98,'2019'!$B$2:$B$1108,1),'2019'!$A$2:$A$1108)),"NO","SI")</f>
        <v>NO</v>
      </c>
      <c r="H98" s="7" t="str">
        <f>IF(ISERROR(LOOKUP(2^15,SEARCH(B98,'2018'!$B$1:$B$1047,1),'2018'!$A$1:$A$1047)),"NO","SI")</f>
        <v>NO</v>
      </c>
      <c r="I98" s="8" t="str">
        <f>IF(ISERROR(LOOKUP(2^15,SEARCH(B98,'ALERTA SANITARIA'!$B$2:$B$269,1),'2018'!$A$1:$A$1047)),"NO","SI")</f>
        <v>SI</v>
      </c>
      <c r="J98" s="6" t="str">
        <f t="shared" si="0"/>
        <v>COFEPRIS</v>
      </c>
      <c r="K98" s="6" t="str">
        <f t="array" ref="K98">IFERROR(INDEX(Anterior!$C$1:$D$323,MATCH(B98,Anterior!$B$2:$B$323,0)+1,2),0)</f>
        <v>COFEPRIS</v>
      </c>
      <c r="L98" s="6" t="str">
        <f t="shared" si="1"/>
        <v>coinciden</v>
      </c>
      <c r="M98" s="2"/>
    </row>
    <row r="99" spans="1:16" ht="15.75" customHeight="1" x14ac:dyDescent="0.25">
      <c r="A99" s="6" t="s">
        <v>210</v>
      </c>
      <c r="B99" s="6" t="s">
        <v>211</v>
      </c>
      <c r="C99" s="7" t="str">
        <f>IF(ISERROR(LOOKUP(2^15,SEARCH(B99,'2023'!$B$3:$B$1734,1),'2023'!$A$3:$A$1734)),"NO","SI")</f>
        <v>NO</v>
      </c>
      <c r="D99" s="7" t="str">
        <f>IF(ISERROR(LOOKUP(2^15,SEARCH(B99,'2022'!$B$2:$B$1591,1),'2022'!$A$2:$A$1591)),"NO","SI")</f>
        <v>NO</v>
      </c>
      <c r="E99" s="7" t="str">
        <f>IF(ISERROR(LOOKUP(2^15,SEARCH(B99,'2021'!$B$2:$B$1494,1),'2021'!$A$2:$A$1494)),"NO","SI")</f>
        <v>NO</v>
      </c>
      <c r="F99" s="7" t="str">
        <f>IF(ISERROR(LOOKUP(2^15,SEARCH(B99,'2020'!$B$2:$B$1278,1),'2020'!$A$2:$A$1278)),"NO","SI")</f>
        <v>NO</v>
      </c>
      <c r="G99" s="7" t="str">
        <f>IF(ISERROR(LOOKUP(2^15,SEARCH(B99,'2019'!$B$2:$B$1108,1),'2019'!$A$2:$A$1108)),"NO","SI")</f>
        <v>NO</v>
      </c>
      <c r="H99" s="7" t="str">
        <f>IF(ISERROR(LOOKUP(2^15,SEARCH(B99,'2018'!$B$1:$B$1047,1),'2018'!$A$1:$A$1047)),"NO","SI")</f>
        <v>NO</v>
      </c>
      <c r="I99" s="8" t="str">
        <f>IF(ISERROR(LOOKUP(2^15,SEARCH(B99,'ALERTA SANITARIA'!$B$2:$B$269,1),'2018'!$A$1:$A$1047)),"NO","SI")</f>
        <v>SI</v>
      </c>
      <c r="J99" s="6" t="str">
        <f t="shared" si="0"/>
        <v>COFEPRIS</v>
      </c>
      <c r="K99" s="6" t="str">
        <f t="array" ref="K99">IFERROR(INDEX(Anterior!$C$1:$D$323,MATCH(B99,Anterior!$B$2:$B$323,0)+1,2),0)</f>
        <v>COFEPRIS</v>
      </c>
      <c r="L99" s="6" t="str">
        <f t="shared" si="1"/>
        <v>coinciden</v>
      </c>
      <c r="M99" s="2"/>
    </row>
    <row r="100" spans="1:16" ht="15.75" customHeight="1" x14ac:dyDescent="0.25">
      <c r="A100" s="6" t="s">
        <v>212</v>
      </c>
      <c r="B100" s="6" t="s">
        <v>213</v>
      </c>
      <c r="C100" s="7" t="str">
        <f>IF(ISERROR(LOOKUP(2^15,SEARCH(B100,'2023'!$B$3:$B$1734,1),'2023'!$A$3:$A$1734)),"NO","SI")</f>
        <v>NO</v>
      </c>
      <c r="D100" s="7" t="str">
        <f>IF(ISERROR(LOOKUP(2^15,SEARCH(B100,'2022'!$B$2:$B$1591,1),'2022'!$A$2:$A$1591)),"NO","SI")</f>
        <v>NO</v>
      </c>
      <c r="E100" s="7" t="str">
        <f>IF(ISERROR(LOOKUP(2^15,SEARCH(B100,'2021'!$B$2:$B$1494,1),'2021'!$A$2:$A$1494)),"NO","SI")</f>
        <v>NO</v>
      </c>
      <c r="F100" s="7" t="str">
        <f>IF(ISERROR(LOOKUP(2^15,SEARCH(B100,'2020'!$B$2:$B$1278,1),'2020'!$A$2:$A$1278)),"NO","SI")</f>
        <v>NO</v>
      </c>
      <c r="G100" s="7" t="str">
        <f>IF(ISERROR(LOOKUP(2^15,SEARCH(B100,'2019'!$B$2:$B$1108,1),'2019'!$A$2:$A$1108)),"NO","SI")</f>
        <v>NO</v>
      </c>
      <c r="H100" s="7" t="str">
        <f>IF(ISERROR(LOOKUP(2^15,SEARCH(B100,'2018'!$B$1:$B$1047,1),'2018'!$A$1:$A$1047)),"NO","SI")</f>
        <v>NO</v>
      </c>
      <c r="I100" s="8" t="str">
        <f>IF(ISERROR(LOOKUP(2^15,SEARCH(B100,'ALERTA SANITARIA'!$B$2:$B$269,1),'2018'!$A$1:$A$1047)),"NO","SI")</f>
        <v>SI</v>
      </c>
      <c r="J100" s="6" t="str">
        <f t="shared" si="0"/>
        <v>COFEPRIS</v>
      </c>
      <c r="K100" s="6" t="str">
        <f t="array" ref="K100">IFERROR(INDEX(Anterior!$C$1:$D$323,MATCH(B100,Anterior!$B$2:$B$323,0)+1,2),0)</f>
        <v>COFEPRIS</v>
      </c>
      <c r="L100" s="6" t="str">
        <f t="shared" si="1"/>
        <v>coinciden</v>
      </c>
      <c r="M100" s="2"/>
    </row>
    <row r="101" spans="1:16" ht="15.75" customHeight="1" x14ac:dyDescent="0.25">
      <c r="A101" s="6" t="s">
        <v>214</v>
      </c>
      <c r="B101" s="6" t="s">
        <v>215</v>
      </c>
      <c r="C101" s="7" t="str">
        <f>IF(ISERROR(LOOKUP(2^15,SEARCH(B101,'2023'!$B$3:$B$1734,1),'2023'!$A$3:$A$1734)),"NO","SI")</f>
        <v>NO</v>
      </c>
      <c r="D101" s="7" t="str">
        <f>IF(ISERROR(LOOKUP(2^15,SEARCH(B101,'2022'!$B$2:$B$1591,1),'2022'!$A$2:$A$1591)),"NO","SI")</f>
        <v>NO</v>
      </c>
      <c r="E101" s="7" t="str">
        <f>IF(ISERROR(LOOKUP(2^15,SEARCH(B101,'2021'!$B$2:$B$1494,1),'2021'!$A$2:$A$1494)),"NO","SI")</f>
        <v>NO</v>
      </c>
      <c r="F101" s="7" t="str">
        <f>IF(ISERROR(LOOKUP(2^15,SEARCH(B101,'2020'!$B$2:$B$1278,1),'2020'!$A$2:$A$1278)),"NO","SI")</f>
        <v>NO</v>
      </c>
      <c r="G101" s="7" t="str">
        <f>IF(ISERROR(LOOKUP(2^15,SEARCH(B101,'2019'!$B$2:$B$1108,1),'2019'!$A$2:$A$1108)),"NO","SI")</f>
        <v>NO</v>
      </c>
      <c r="H101" s="7" t="str">
        <f>IF(ISERROR(LOOKUP(2^15,SEARCH(B101,'2018'!$B$1:$B$1047,1),'2018'!$A$1:$A$1047)),"NO","SI")</f>
        <v>NO</v>
      </c>
      <c r="I101" s="8" t="str">
        <f>IF(ISERROR(LOOKUP(2^15,SEARCH(B101,'ALERTA SANITARIA'!$B$2:$B$269,1),'2018'!$A$1:$A$1047)),"NO","SI")</f>
        <v>SI</v>
      </c>
      <c r="J101" s="6" t="str">
        <f t="shared" si="0"/>
        <v>COFEPRIS</v>
      </c>
      <c r="K101" s="6" t="str">
        <f t="array" ref="K101">IFERROR(INDEX(Anterior!$C$1:$D$323,MATCH(B101,Anterior!$B$2:$B$323,0)+1,2),0)</f>
        <v>COFEPRIS</v>
      </c>
      <c r="L101" s="6" t="str">
        <f t="shared" si="1"/>
        <v>coinciden</v>
      </c>
      <c r="M101" s="2"/>
    </row>
    <row r="102" spans="1:16" ht="15.75" customHeight="1" x14ac:dyDescent="0.25">
      <c r="A102" s="6" t="s">
        <v>216</v>
      </c>
      <c r="B102" s="6" t="s">
        <v>217</v>
      </c>
      <c r="C102" s="7" t="str">
        <f>IF(ISERROR(LOOKUP(2^15,SEARCH(B102,'2023'!$B$3:$B$1734,1),'2023'!$A$3:$A$1734)),"NO","SI")</f>
        <v>NO</v>
      </c>
      <c r="D102" s="7" t="str">
        <f>IF(ISERROR(LOOKUP(2^15,SEARCH(B102,'2022'!$B$2:$B$1591,1),'2022'!$A$2:$A$1591)),"NO","SI")</f>
        <v>NO</v>
      </c>
      <c r="E102" s="7" t="str">
        <f>IF(ISERROR(LOOKUP(2^15,SEARCH(B102,'2021'!$B$2:$B$1494,1),'2021'!$A$2:$A$1494)),"NO","SI")</f>
        <v>NO</v>
      </c>
      <c r="F102" s="7" t="str">
        <f>IF(ISERROR(LOOKUP(2^15,SEARCH(B102,'2020'!$B$2:$B$1278,1),'2020'!$A$2:$A$1278)),"NO","SI")</f>
        <v>NO</v>
      </c>
      <c r="G102" s="7" t="str">
        <f>IF(ISERROR(LOOKUP(2^15,SEARCH(B102,'2019'!$B$2:$B$1108,1),'2019'!$A$2:$A$1108)),"NO","SI")</f>
        <v>NO</v>
      </c>
      <c r="H102" s="7" t="str">
        <f>IF(ISERROR(LOOKUP(2^15,SEARCH(B102,'2018'!$B$1:$B$1047,1),'2018'!$A$1:$A$1047)),"NO","SI")</f>
        <v>NO</v>
      </c>
      <c r="I102" s="8" t="str">
        <f>IF(ISERROR(LOOKUP(2^15,SEARCH(B102,'ALERTA SANITARIA'!$B$2:$B$269,1),'2018'!$A$1:$A$1047)),"NO","SI")</f>
        <v>SI</v>
      </c>
      <c r="J102" s="6" t="str">
        <f t="shared" si="0"/>
        <v>COFEPRIS</v>
      </c>
      <c r="K102" s="6" t="str">
        <f t="array" ref="K102">IFERROR(INDEX(Anterior!$C$1:$D$323,MATCH(B102,Anterior!$B$2:$B$323,0)+1,2),0)</f>
        <v>COFEPRIS</v>
      </c>
      <c r="L102" s="6" t="str">
        <f t="shared" si="1"/>
        <v>coinciden</v>
      </c>
      <c r="M102" s="2"/>
    </row>
    <row r="103" spans="1:16" ht="15.75" customHeight="1" x14ac:dyDescent="0.25">
      <c r="A103" s="6" t="s">
        <v>218</v>
      </c>
      <c r="B103" s="6" t="s">
        <v>219</v>
      </c>
      <c r="C103" s="7" t="str">
        <f>IF(ISERROR(LOOKUP(2^15,SEARCH(B103,'2023'!$B$3:$B$1734,1),'2023'!$A$3:$A$1734)),"NO","SI")</f>
        <v>NO</v>
      </c>
      <c r="D103" s="7" t="str">
        <f>IF(ISERROR(LOOKUP(2^15,SEARCH(B103,'2022'!$B$2:$B$1591,1),'2022'!$A$2:$A$1591)),"NO","SI")</f>
        <v>NO</v>
      </c>
      <c r="E103" s="7" t="str">
        <f>IF(ISERROR(LOOKUP(2^15,SEARCH(B103,'2021'!$B$2:$B$1494,1),'2021'!$A$2:$A$1494)),"NO","SI")</f>
        <v>NO</v>
      </c>
      <c r="F103" s="7" t="str">
        <f>IF(ISERROR(LOOKUP(2^15,SEARCH(B103,'2020'!$B$2:$B$1278,1),'2020'!$A$2:$A$1278)),"NO","SI")</f>
        <v>NO</v>
      </c>
      <c r="G103" s="7" t="str">
        <f>IF(ISERROR(LOOKUP(2^15,SEARCH(B103,'2019'!$B$2:$B$1108,1),'2019'!$A$2:$A$1108)),"NO","SI")</f>
        <v>NO</v>
      </c>
      <c r="H103" s="7" t="str">
        <f>IF(ISERROR(LOOKUP(2^15,SEARCH(B103,'2018'!$B$1:$B$1047,1),'2018'!$A$1:$A$1047)),"NO","SI")</f>
        <v>NO</v>
      </c>
      <c r="I103" s="8" t="str">
        <f>IF(ISERROR(LOOKUP(2^15,SEARCH(B103,'ALERTA SANITARIA'!$B$2:$B$269,1),'2018'!$A$1:$A$1047)),"NO","SI")</f>
        <v>SI</v>
      </c>
      <c r="J103" s="6" t="str">
        <f t="shared" si="0"/>
        <v>COFEPRIS</v>
      </c>
      <c r="K103" s="6" t="str">
        <f t="array" ref="K103">IFERROR(INDEX(Anterior!$C$1:$D$323,MATCH(B103,Anterior!$B$2:$B$323,0)+1,2),0)</f>
        <v>COFEPRIS</v>
      </c>
      <c r="L103" s="6" t="str">
        <f t="shared" si="1"/>
        <v>coinciden</v>
      </c>
      <c r="M103" s="2"/>
    </row>
    <row r="104" spans="1:16" ht="15.75" customHeight="1" x14ac:dyDescent="0.25">
      <c r="A104" s="6" t="s">
        <v>220</v>
      </c>
      <c r="B104" s="6" t="s">
        <v>221</v>
      </c>
      <c r="C104" s="7" t="s">
        <v>14</v>
      </c>
      <c r="D104" s="7" t="s">
        <v>14</v>
      </c>
      <c r="E104" s="7" t="s">
        <v>14</v>
      </c>
      <c r="F104" s="7" t="s">
        <v>14</v>
      </c>
      <c r="G104" s="7" t="s">
        <v>14</v>
      </c>
      <c r="H104" s="7" t="s">
        <v>14</v>
      </c>
      <c r="I104" s="8" t="str">
        <f>IF(ISERROR(LOOKUP(2^15,SEARCH(B104,'ALERTA SANITARIA'!$B$2:$B$269,1),'2018'!$A$1:$A$1047)),"NO","SI")</f>
        <v>SI</v>
      </c>
      <c r="J104" s="6" t="str">
        <f t="shared" si="0"/>
        <v>COFEPRIS</v>
      </c>
      <c r="K104" s="6">
        <f t="array" ref="K104">IFERROR(INDEX(Anterior!$C$1:$D$323,MATCH(B104,Anterior!$B$2:$B$323,0)+1,2),0)</f>
        <v>0</v>
      </c>
      <c r="L104" s="6" t="str">
        <f t="shared" si="1"/>
        <v>Nuevo</v>
      </c>
      <c r="M104" s="2"/>
      <c r="P104" s="6" t="s">
        <v>222</v>
      </c>
    </row>
    <row r="105" spans="1:16" ht="15.75" customHeight="1" x14ac:dyDescent="0.25">
      <c r="A105" s="6" t="s">
        <v>223</v>
      </c>
      <c r="B105" s="6" t="s">
        <v>224</v>
      </c>
      <c r="C105" s="7" t="str">
        <f>IF(ISERROR(LOOKUP(2^15,SEARCH(B105,'2023'!$B$3:$B$1734,1),'2023'!$A$3:$A$1734)),"NO","SI")</f>
        <v>NO</v>
      </c>
      <c r="D105" s="7" t="str">
        <f>IF(ISERROR(LOOKUP(2^15,SEARCH(B105,'2022'!$B$2:$B$1591,1),'2022'!$A$2:$A$1591)),"NO","SI")</f>
        <v>NO</v>
      </c>
      <c r="E105" s="7" t="str">
        <f>IF(ISERROR(LOOKUP(2^15,SEARCH(B105,'2021'!$B$2:$B$1494,1),'2021'!$A$2:$A$1494)),"NO","SI")</f>
        <v>NO</v>
      </c>
      <c r="F105" s="7" t="str">
        <f>IF(ISERROR(LOOKUP(2^15,SEARCH(B105,'2020'!$B$2:$B$1278,1),'2020'!$A$2:$A$1278)),"NO","SI")</f>
        <v>NO</v>
      </c>
      <c r="G105" s="7" t="str">
        <f>IF(ISERROR(LOOKUP(2^15,SEARCH(B105,'2019'!$B$2:$B$1108,1),'2019'!$A$2:$A$1108)),"NO","SI")</f>
        <v>NO</v>
      </c>
      <c r="H105" s="7" t="str">
        <f>IF(ISERROR(LOOKUP(2^15,SEARCH(B105,'2018'!$B$1:$B$1047,1),'2018'!$A$1:$A$1047)),"NO","SI")</f>
        <v>NO</v>
      </c>
      <c r="I105" s="8" t="str">
        <f>IF(ISERROR(LOOKUP(2^15,SEARCH(B105,'ALERTA SANITARIA'!$B$2:$B$269,1),'2018'!$A$1:$A$1047)),"NO","SI")</f>
        <v>NO</v>
      </c>
      <c r="J105" s="6" t="str">
        <f t="shared" si="0"/>
        <v>Ninguno</v>
      </c>
      <c r="K105" s="6" t="str">
        <f t="array" ref="K105">IFERROR(INDEX(Anterior!$C$1:$D$323,MATCH(B105,Anterior!$B$2:$B$323,0)+1,2),0)</f>
        <v>Ninguno</v>
      </c>
      <c r="L105" s="6" t="str">
        <f t="shared" si="1"/>
        <v>coinciden</v>
      </c>
      <c r="M105" s="2" t="s">
        <v>14</v>
      </c>
    </row>
    <row r="106" spans="1:16" ht="15.75" customHeight="1" x14ac:dyDescent="0.25">
      <c r="A106" s="6" t="s">
        <v>225</v>
      </c>
      <c r="B106" s="6" t="s">
        <v>226</v>
      </c>
      <c r="C106" s="7" t="str">
        <f>IF(ISERROR(LOOKUP(2^15,SEARCH(B106,'2023'!$B$3:$B$1734,1),'2023'!$A$3:$A$1734)),"NO","SI")</f>
        <v>NO</v>
      </c>
      <c r="D106" s="7" t="str">
        <f>IF(ISERROR(LOOKUP(2^15,SEARCH(B106,'2022'!$B$2:$B$1591,1),'2022'!$A$2:$A$1591)),"NO","SI")</f>
        <v>NO</v>
      </c>
      <c r="E106" s="7" t="str">
        <f>IF(ISERROR(LOOKUP(2^15,SEARCH(B106,'2021'!$B$2:$B$1494,1),'2021'!$A$2:$A$1494)),"NO","SI")</f>
        <v>NO</v>
      </c>
      <c r="F106" s="7" t="str">
        <f>IF(ISERROR(LOOKUP(2^15,SEARCH(B106,'2020'!$B$2:$B$1278,1),'2020'!$A$2:$A$1278)),"NO","SI")</f>
        <v>NO</v>
      </c>
      <c r="G106" s="7" t="str">
        <f>IF(ISERROR(LOOKUP(2^15,SEARCH(B106,'2019'!$B$2:$B$1108,1),'2019'!$A$2:$A$1108)),"NO","SI")</f>
        <v>NO</v>
      </c>
      <c r="H106" s="7" t="str">
        <f>IF(ISERROR(LOOKUP(2^15,SEARCH(B106,'2018'!$B$1:$B$1047,1),'2018'!$A$1:$A$1047)),"NO","SI")</f>
        <v>NO</v>
      </c>
      <c r="I106" s="8" t="str">
        <f>IF(ISERROR(LOOKUP(2^15,SEARCH(B106,'ALERTA SANITARIA'!$B$2:$B$269,1),'2018'!$A$1:$A$1047)),"NO","SI")</f>
        <v>SI</v>
      </c>
      <c r="J106" s="6" t="str">
        <f t="shared" si="0"/>
        <v>COFEPRIS</v>
      </c>
      <c r="K106" s="6" t="str">
        <f t="array" ref="K106">IFERROR(INDEX(Anterior!$C$1:$D$323,MATCH(B106,Anterior!$B$2:$B$323,0)+1,2),0)</f>
        <v>COFEPRIS</v>
      </c>
      <c r="L106" s="6" t="str">
        <f t="shared" si="1"/>
        <v>coinciden</v>
      </c>
      <c r="M106" s="2"/>
    </row>
    <row r="107" spans="1:16" ht="15.75" customHeight="1" x14ac:dyDescent="0.25">
      <c r="A107" s="6" t="s">
        <v>227</v>
      </c>
      <c r="B107" s="6" t="s">
        <v>228</v>
      </c>
      <c r="C107" s="7" t="s">
        <v>14</v>
      </c>
      <c r="D107" s="7" t="s">
        <v>14</v>
      </c>
      <c r="E107" s="7" t="s">
        <v>14</v>
      </c>
      <c r="F107" s="7" t="s">
        <v>14</v>
      </c>
      <c r="G107" s="7" t="s">
        <v>14</v>
      </c>
      <c r="H107" s="7" t="s">
        <v>14</v>
      </c>
      <c r="I107" s="8" t="str">
        <f>IF(ISERROR(LOOKUP(2^15,SEARCH(B107,'ALERTA SANITARIA'!$B$2:$B$269,1),'2018'!$A$1:$A$1047)),"NO","SI")</f>
        <v>SI</v>
      </c>
      <c r="J107" s="6" t="str">
        <f t="shared" si="0"/>
        <v>COFEPRIS</v>
      </c>
      <c r="K107" s="6" t="str">
        <f t="array" ref="K107">IFERROR(INDEX(Anterior!$C$1:$D$323,MATCH(B107,Anterior!$B$2:$B$323,0)+1,2),0)</f>
        <v>COFEPRIS</v>
      </c>
      <c r="L107" s="6" t="str">
        <f t="shared" si="1"/>
        <v>coinciden</v>
      </c>
      <c r="M107" s="2"/>
    </row>
    <row r="108" spans="1:16" ht="15.75" customHeight="1" x14ac:dyDescent="0.25">
      <c r="A108" s="6" t="s">
        <v>229</v>
      </c>
      <c r="B108" s="6" t="s">
        <v>230</v>
      </c>
      <c r="C108" s="7" t="str">
        <f>IF(ISERROR(LOOKUP(2^15,SEARCH(B108,'2023'!$B$3:$B$1734,1),'2023'!$A$3:$A$1734)),"NO","SI")</f>
        <v>SI</v>
      </c>
      <c r="D108" s="7" t="str">
        <f>IF(ISERROR(LOOKUP(2^15,SEARCH(B108,'2022'!$B$2:$B$1591,1),'2022'!$A$2:$A$1591)),"NO","SI")</f>
        <v>SI</v>
      </c>
      <c r="E108" s="7" t="str">
        <f>IF(ISERROR(LOOKUP(2^15,SEARCH(B108,'2021'!$B$2:$B$1494,1),'2021'!$A$2:$A$1494)),"NO","SI")</f>
        <v>SI</v>
      </c>
      <c r="F108" s="7" t="str">
        <f>IF(ISERROR(LOOKUP(2^15,SEARCH(B108,'2020'!$B$2:$B$1278,1),'2020'!$A$2:$A$1278)),"NO","SI")</f>
        <v>SI</v>
      </c>
      <c r="G108" s="7" t="str">
        <f>IF(ISERROR(LOOKUP(2^15,SEARCH(B108,'2019'!$B$2:$B$1108,1),'2019'!$A$2:$A$1108)),"NO","SI")</f>
        <v>SI</v>
      </c>
      <c r="H108" s="7" t="str">
        <f>IF(ISERROR(LOOKUP(2^15,SEARCH(B108,'2018'!$B$1:$B$1047,1),'2018'!$A$1:$A$1047)),"NO","SI")</f>
        <v>SI</v>
      </c>
      <c r="I108" s="8" t="str">
        <f>IF(ISERROR(LOOKUP(2^15,SEARCH(B108,'ALERTA SANITARIA'!$B$2:$B$269,1),'2018'!$A$1:$A$1047)),"NO","SI")</f>
        <v>SI</v>
      </c>
      <c r="J108" s="6" t="str">
        <f t="shared" si="0"/>
        <v>AMBOS</v>
      </c>
      <c r="K108" s="6" t="str">
        <f t="array" ref="K108">IFERROR(INDEX(Anterior!$C$1:$D$323,MATCH(B108,Anterior!$B$2:$B$323,0)+1,2),0)</f>
        <v>Ambos</v>
      </c>
      <c r="L108" s="6" t="str">
        <f t="shared" si="1"/>
        <v>coinciden</v>
      </c>
      <c r="M108" s="2" t="s">
        <v>14</v>
      </c>
    </row>
    <row r="109" spans="1:16" ht="15.75" customHeight="1" x14ac:dyDescent="0.25">
      <c r="A109" s="6" t="s">
        <v>231</v>
      </c>
      <c r="B109" s="6" t="s">
        <v>232</v>
      </c>
      <c r="C109" s="7" t="str">
        <f>IF(ISERROR(LOOKUP(2^15,SEARCH(B109,'2023'!$B$3:$B$1734,1),'2023'!$A$3:$A$1734)),"NO","SI")</f>
        <v>NO</v>
      </c>
      <c r="D109" s="7" t="str">
        <f>IF(ISERROR(LOOKUP(2^15,SEARCH(B109,'2022'!$B$2:$B$1591,1),'2022'!$A$2:$A$1591)),"NO","SI")</f>
        <v>NO</v>
      </c>
      <c r="E109" s="7" t="str">
        <f>IF(ISERROR(LOOKUP(2^15,SEARCH(B109,'2021'!$B$2:$B$1494,1),'2021'!$A$2:$A$1494)),"NO","SI")</f>
        <v>NO</v>
      </c>
      <c r="F109" s="7" t="str">
        <f>IF(ISERROR(LOOKUP(2^15,SEARCH(B109,'2020'!$B$2:$B$1278,1),'2020'!$A$2:$A$1278)),"NO","SI")</f>
        <v>NO</v>
      </c>
      <c r="G109" s="7" t="str">
        <f>IF(ISERROR(LOOKUP(2^15,SEARCH(B109,'2019'!$B$2:$B$1108,1),'2019'!$A$2:$A$1108)),"NO","SI")</f>
        <v>NO</v>
      </c>
      <c r="H109" s="7" t="str">
        <f>IF(ISERROR(LOOKUP(2^15,SEARCH(B109,'2018'!$B$1:$B$1047,1),'2018'!$A$1:$A$1047)),"NO","SI")</f>
        <v>NO</v>
      </c>
      <c r="I109" s="8" t="str">
        <f>IF(ISERROR(LOOKUP(2^15,SEARCH(B109,'ALERTA SANITARIA'!$B$2:$B$269,1),'2018'!$A$1:$A$1047)),"NO","SI")</f>
        <v>SI</v>
      </c>
      <c r="J109" s="6" t="str">
        <f t="shared" si="0"/>
        <v>COFEPRIS</v>
      </c>
      <c r="K109" s="6" t="str">
        <f t="array" ref="K109">IFERROR(INDEX(Anterior!$C$1:$D$323,MATCH(B109,Anterior!$B$2:$B$323,0)+1,2),0)</f>
        <v>COFEPRIS</v>
      </c>
      <c r="L109" s="6" t="str">
        <f t="shared" si="1"/>
        <v>coinciden</v>
      </c>
      <c r="M109" s="2"/>
    </row>
    <row r="110" spans="1:16" ht="15.75" customHeight="1" x14ac:dyDescent="0.25">
      <c r="A110" s="6" t="s">
        <v>233</v>
      </c>
      <c r="B110" s="6" t="s">
        <v>234</v>
      </c>
      <c r="C110" s="7" t="str">
        <f>IF(ISERROR(LOOKUP(2^15,SEARCH(B110,'2023'!$B$3:$B$1734,1),'2023'!$A$3:$A$1734)),"NO","SI")</f>
        <v>NO</v>
      </c>
      <c r="D110" s="7" t="str">
        <f>IF(ISERROR(LOOKUP(2^15,SEARCH(B110,'2022'!$B$2:$B$1591,1),'2022'!$A$2:$A$1591)),"NO","SI")</f>
        <v>NO</v>
      </c>
      <c r="E110" s="7" t="str">
        <f>IF(ISERROR(LOOKUP(2^15,SEARCH(B110,'2021'!$B$2:$B$1494,1),'2021'!$A$2:$A$1494)),"NO","SI")</f>
        <v>NO</v>
      </c>
      <c r="F110" s="7" t="str">
        <f>IF(ISERROR(LOOKUP(2^15,SEARCH(B110,'2020'!$B$2:$B$1278,1),'2020'!$A$2:$A$1278)),"NO","SI")</f>
        <v>NO</v>
      </c>
      <c r="G110" s="7" t="str">
        <f>IF(ISERROR(LOOKUP(2^15,SEARCH(B110,'2019'!$B$2:$B$1108,1),'2019'!$A$2:$A$1108)),"NO","SI")</f>
        <v>NO</v>
      </c>
      <c r="H110" s="7" t="str">
        <f>IF(ISERROR(LOOKUP(2^15,SEARCH(B110,'2018'!$B$1:$B$1047,1),'2018'!$A$1:$A$1047)),"NO","SI")</f>
        <v>NO</v>
      </c>
      <c r="I110" s="8" t="str">
        <f>IF(ISERROR(LOOKUP(2^15,SEARCH(B110,'ALERTA SANITARIA'!$B$2:$B$269,1),'2018'!$A$1:$A$1047)),"NO","SI")</f>
        <v>SI</v>
      </c>
      <c r="J110" s="6" t="str">
        <f t="shared" si="0"/>
        <v>COFEPRIS</v>
      </c>
      <c r="K110" s="6" t="str">
        <f t="array" ref="K110">IFERROR(INDEX(Anterior!$C$1:$D$323,MATCH(B110,Anterior!$B$2:$B$323,0)+1,2),0)</f>
        <v>COFEPRIS</v>
      </c>
      <c r="L110" s="6" t="str">
        <f t="shared" si="1"/>
        <v>coinciden</v>
      </c>
      <c r="M110" s="2"/>
    </row>
    <row r="111" spans="1:16" ht="15.75" customHeight="1" x14ac:dyDescent="0.25">
      <c r="A111" s="6" t="s">
        <v>235</v>
      </c>
      <c r="B111" s="6" t="s">
        <v>236</v>
      </c>
      <c r="C111" s="7" t="str">
        <f>IF(ISERROR(LOOKUP(2^15,SEARCH(B111,'2023'!$B$3:$B$1734,1),'2023'!$A$3:$A$1734)),"NO","SI")</f>
        <v>NO</v>
      </c>
      <c r="D111" s="7" t="str">
        <f>IF(ISERROR(LOOKUP(2^15,SEARCH(B111,'2022'!$B$2:$B$1591,1),'2022'!$A$2:$A$1591)),"NO","SI")</f>
        <v>NO</v>
      </c>
      <c r="E111" s="7" t="str">
        <f>IF(ISERROR(LOOKUP(2^15,SEARCH(B111,'2021'!$B$2:$B$1494,1),'2021'!$A$2:$A$1494)),"NO","SI")</f>
        <v>NO</v>
      </c>
      <c r="F111" s="7" t="str">
        <f>IF(ISERROR(LOOKUP(2^15,SEARCH(B111,'2020'!$B$2:$B$1278,1),'2020'!$A$2:$A$1278)),"NO","SI")</f>
        <v>NO</v>
      </c>
      <c r="G111" s="7" t="str">
        <f>IF(ISERROR(LOOKUP(2^15,SEARCH(B111,'2019'!$B$2:$B$1108,1),'2019'!$A$2:$A$1108)),"NO","SI")</f>
        <v>NO</v>
      </c>
      <c r="H111" s="7" t="str">
        <f>IF(ISERROR(LOOKUP(2^15,SEARCH(B111,'2018'!$B$1:$B$1047,1),'2018'!$A$1:$A$1047)),"NO","SI")</f>
        <v>NO</v>
      </c>
      <c r="I111" s="8" t="str">
        <f>IF(ISERROR(LOOKUP(2^15,SEARCH(B111,'ALERTA SANITARIA'!$B$2:$B$269,1),'2018'!$A$1:$A$1047)),"NO","SI")</f>
        <v>NO</v>
      </c>
      <c r="J111" s="6" t="str">
        <f t="shared" si="0"/>
        <v>Ninguno</v>
      </c>
      <c r="K111" s="6" t="str">
        <f t="array" ref="K111">IFERROR(INDEX(Anterior!$C$1:$D$323,MATCH(B111,Anterior!$B$2:$B$323,0)+1,2),0)</f>
        <v>Ninguno</v>
      </c>
      <c r="L111" s="6" t="str">
        <f t="shared" si="1"/>
        <v>coinciden</v>
      </c>
      <c r="M111" s="2" t="s">
        <v>14</v>
      </c>
    </row>
    <row r="112" spans="1:16" ht="15.75" customHeight="1" x14ac:dyDescent="0.25">
      <c r="A112" s="6" t="s">
        <v>237</v>
      </c>
      <c r="B112" s="6" t="s">
        <v>238</v>
      </c>
      <c r="C112" s="7" t="str">
        <f>IF(ISERROR(LOOKUP(2^15,SEARCH(B112,'2023'!$B$3:$B$1734,1),'2023'!$A$3:$A$1734)),"NO","SI")</f>
        <v>NO</v>
      </c>
      <c r="D112" s="7" t="str">
        <f>IF(ISERROR(LOOKUP(2^15,SEARCH(B112,'2022'!$B$2:$B$1591,1),'2022'!$A$2:$A$1591)),"NO","SI")</f>
        <v>NO</v>
      </c>
      <c r="E112" s="7" t="str">
        <f>IF(ISERROR(LOOKUP(2^15,SEARCH(B112,'2021'!$B$2:$B$1494,1),'2021'!$A$2:$A$1494)),"NO","SI")</f>
        <v>NO</v>
      </c>
      <c r="F112" s="7" t="str">
        <f>IF(ISERROR(LOOKUP(2^15,SEARCH(B112,'2020'!$B$2:$B$1278,1),'2020'!$A$2:$A$1278)),"NO","SI")</f>
        <v>NO</v>
      </c>
      <c r="G112" s="7" t="str">
        <f>IF(ISERROR(LOOKUP(2^15,SEARCH(B112,'2019'!$B$2:$B$1108,1),'2019'!$A$2:$A$1108)),"NO","SI")</f>
        <v>NO</v>
      </c>
      <c r="H112" s="7" t="str">
        <f>IF(ISERROR(LOOKUP(2^15,SEARCH(B112,'2018'!$B$1:$B$1047,1),'2018'!$A$1:$A$1047)),"NO","SI")</f>
        <v>NO</v>
      </c>
      <c r="I112" s="8" t="str">
        <f>IF(ISERROR(LOOKUP(2^15,SEARCH(B112,'ALERTA SANITARIA'!$B$2:$B$269,1),'2018'!$A$1:$A$1047)),"NO","SI")</f>
        <v>SI</v>
      </c>
      <c r="J112" s="6" t="str">
        <f t="shared" si="0"/>
        <v>COFEPRIS</v>
      </c>
      <c r="K112" s="6" t="str">
        <f t="array" ref="K112">IFERROR(INDEX(Anterior!$C$1:$D$323,MATCH(B112,Anterior!$B$2:$B$323,0)+1,2),0)</f>
        <v>COFEPRIS</v>
      </c>
      <c r="L112" s="6" t="str">
        <f t="shared" si="1"/>
        <v>coinciden</v>
      </c>
      <c r="M112" s="2"/>
    </row>
    <row r="113" spans="1:16" ht="15.75" customHeight="1" x14ac:dyDescent="0.25">
      <c r="A113" s="6" t="s">
        <v>239</v>
      </c>
      <c r="B113" s="6" t="s">
        <v>240</v>
      </c>
      <c r="C113" s="7" t="str">
        <f>IF(ISERROR(LOOKUP(2^15,SEARCH(B113,'2023'!$B$3:$B$1734,1),'2023'!$A$3:$A$1734)),"NO","SI")</f>
        <v>SI</v>
      </c>
      <c r="D113" s="7" t="str">
        <f>IF(ISERROR(LOOKUP(2^15,SEARCH(B113,'2022'!$B$2:$B$1591,1),'2022'!$A$2:$A$1591)),"NO","SI")</f>
        <v>SI</v>
      </c>
      <c r="E113" s="7" t="str">
        <f>IF(ISERROR(LOOKUP(2^15,SEARCH(B113,'2021'!$B$2:$B$1494,1),'2021'!$A$2:$A$1494)),"NO","SI")</f>
        <v>SI</v>
      </c>
      <c r="F113" s="7" t="str">
        <f>IF(ISERROR(LOOKUP(2^15,SEARCH(B113,'2020'!$B$2:$B$1278,1),'2020'!$A$2:$A$1278)),"NO","SI")</f>
        <v>SI</v>
      </c>
      <c r="G113" s="7" t="str">
        <f>IF(ISERROR(LOOKUP(2^15,SEARCH(B113,'2019'!$B$2:$B$1108,1),'2019'!$A$2:$A$1108)),"NO","SI")</f>
        <v>SI</v>
      </c>
      <c r="H113" s="7" t="str">
        <f>IF(ISERROR(LOOKUP(2^15,SEARCH(B113,'2018'!$B$1:$B$1047,1),'2018'!$A$1:$A$1047)),"NO","SI")</f>
        <v>SI</v>
      </c>
      <c r="I113" s="8" t="str">
        <f>IF(ISERROR(LOOKUP(2^15,SEARCH(B113,'ALERTA SANITARIA'!$B$2:$B$269,1),'2018'!$A$1:$A$1047)),"NO","SI")</f>
        <v>NO</v>
      </c>
      <c r="J113" s="6" t="str">
        <f t="shared" si="0"/>
        <v>DOF</v>
      </c>
      <c r="K113" s="6" t="str">
        <f t="array" ref="K113">IFERROR(INDEX(Anterior!$C$1:$D$323,MATCH(B113,Anterior!$B$2:$B$323,0)+1,2),0)</f>
        <v>DOF</v>
      </c>
      <c r="L113" s="6" t="str">
        <f t="shared" si="1"/>
        <v>coinciden</v>
      </c>
      <c r="M113" s="2"/>
    </row>
    <row r="114" spans="1:16" ht="15.75" customHeight="1" x14ac:dyDescent="0.25">
      <c r="A114" s="6" t="s">
        <v>241</v>
      </c>
      <c r="B114" s="6" t="s">
        <v>242</v>
      </c>
      <c r="C114" s="7" t="str">
        <f>IF(ISERROR(LOOKUP(2^15,SEARCH(B114,'2023'!$B$3:$B$1734,1),'2023'!$A$3:$A$1734)),"NO","SI")</f>
        <v>NO</v>
      </c>
      <c r="D114" s="7" t="str">
        <f>IF(ISERROR(LOOKUP(2^15,SEARCH(B114,'2022'!$B$2:$B$1591,1),'2022'!$A$2:$A$1591)),"NO","SI")</f>
        <v>NO</v>
      </c>
      <c r="E114" s="7" t="str">
        <f>IF(ISERROR(LOOKUP(2^15,SEARCH(B114,'2021'!$B$2:$B$1494,1),'2021'!$A$2:$A$1494)),"NO","SI")</f>
        <v>NO</v>
      </c>
      <c r="F114" s="7" t="str">
        <f>IF(ISERROR(LOOKUP(2^15,SEARCH(B114,'2020'!$B$2:$B$1278,1),'2020'!$A$2:$A$1278)),"NO","SI")</f>
        <v>NO</v>
      </c>
      <c r="G114" s="7" t="str">
        <f>IF(ISERROR(LOOKUP(2^15,SEARCH(B114,'2019'!$B$2:$B$1108,1),'2019'!$A$2:$A$1108)),"NO","SI")</f>
        <v>NO</v>
      </c>
      <c r="H114" s="7" t="str">
        <f>IF(ISERROR(LOOKUP(2^15,SEARCH(B114,'2018'!$B$1:$B$1047,1),'2018'!$A$1:$A$1047)),"NO","SI")</f>
        <v>NO</v>
      </c>
      <c r="I114" s="8" t="str">
        <f>IF(ISERROR(LOOKUP(2^15,SEARCH(B114,'ALERTA SANITARIA'!$B$2:$B$269,1),'2018'!$A$1:$A$1047)),"NO","SI")</f>
        <v>SI</v>
      </c>
      <c r="J114" s="6" t="str">
        <f t="shared" si="0"/>
        <v>COFEPRIS</v>
      </c>
      <c r="K114" s="6" t="str">
        <f t="array" ref="K114">IFERROR(INDEX(Anterior!$C$1:$D$323,MATCH(B114,Anterior!$B$2:$B$323,0)+1,2),0)</f>
        <v>COFEPRIS</v>
      </c>
      <c r="L114" s="6" t="str">
        <f t="shared" si="1"/>
        <v>coinciden</v>
      </c>
      <c r="M114" s="2"/>
    </row>
    <row r="115" spans="1:16" ht="15.75" customHeight="1" x14ac:dyDescent="0.25">
      <c r="A115" s="6" t="s">
        <v>243</v>
      </c>
      <c r="B115" s="6" t="s">
        <v>244</v>
      </c>
      <c r="C115" s="7" t="str">
        <f>IF(ISERROR(LOOKUP(2^15,SEARCH(B115,'2023'!$B$3:$B$1734,1),'2023'!$A$3:$A$1734)),"NO","SI")</f>
        <v>SI</v>
      </c>
      <c r="D115" s="7" t="str">
        <f>IF(ISERROR(LOOKUP(2^15,SEARCH(B115,'2022'!$B$2:$B$1591,1),'2022'!$A$2:$A$1591)),"NO","SI")</f>
        <v>SI</v>
      </c>
      <c r="E115" s="7" t="str">
        <f>IF(ISERROR(LOOKUP(2^15,SEARCH(B115,'2021'!$B$2:$B$1494,1),'2021'!$A$2:$A$1494)),"NO","SI")</f>
        <v>SI</v>
      </c>
      <c r="F115" s="7" t="str">
        <f>IF(ISERROR(LOOKUP(2^15,SEARCH(B115,'2020'!$B$2:$B$1278,1),'2020'!$A$2:$A$1278)),"NO","SI")</f>
        <v>SI</v>
      </c>
      <c r="G115" s="7" t="str">
        <f>IF(ISERROR(LOOKUP(2^15,SEARCH(B115,'2019'!$B$2:$B$1108,1),'2019'!$A$2:$A$1108)),"NO","SI")</f>
        <v>SI</v>
      </c>
      <c r="H115" s="7" t="str">
        <f>IF(ISERROR(LOOKUP(2^15,SEARCH(B115,'2018'!$B$1:$B$1047,1),'2018'!$A$1:$A$1047)),"NO","SI")</f>
        <v>SI</v>
      </c>
      <c r="I115" s="8" t="str">
        <f>IF(ISERROR(LOOKUP(2^15,SEARCH(B115,'ALERTA SANITARIA'!$B$2:$B$269,1),'2018'!$A$1:$A$1047)),"NO","SI")</f>
        <v>NO</v>
      </c>
      <c r="J115" s="6" t="str">
        <f t="shared" si="0"/>
        <v>DOF</v>
      </c>
      <c r="K115" s="6" t="str">
        <f t="array" ref="K115">IFERROR(INDEX(Anterior!$C$1:$D$323,MATCH(B115,Anterior!$B$2:$B$323,0)+1,2),0)</f>
        <v>DOF</v>
      </c>
      <c r="L115" s="6" t="str">
        <f t="shared" si="1"/>
        <v>coinciden</v>
      </c>
      <c r="M115" s="2"/>
    </row>
    <row r="116" spans="1:16" ht="15.75" customHeight="1" x14ac:dyDescent="0.25">
      <c r="A116" s="6" t="s">
        <v>245</v>
      </c>
      <c r="B116" s="6" t="s">
        <v>246</v>
      </c>
      <c r="C116" s="7" t="str">
        <f>IF(ISERROR(LOOKUP(2^15,SEARCH(B116,'2023'!$B$3:$B$1734,1),'2023'!$A$3:$A$1734)),"NO","SI")</f>
        <v>NO</v>
      </c>
      <c r="D116" s="7" t="str">
        <f>IF(ISERROR(LOOKUP(2^15,SEARCH(B116,'2022'!$B$2:$B$1591,1),'2022'!$A$2:$A$1591)),"NO","SI")</f>
        <v>NO</v>
      </c>
      <c r="E116" s="7" t="str">
        <f>IF(ISERROR(LOOKUP(2^15,SEARCH(B116,'2021'!$B$2:$B$1494,1),'2021'!$A$2:$A$1494)),"NO","SI")</f>
        <v>NO</v>
      </c>
      <c r="F116" s="7" t="str">
        <f>IF(ISERROR(LOOKUP(2^15,SEARCH(B116,'2020'!$B$2:$B$1278,1),'2020'!$A$2:$A$1278)),"NO","SI")</f>
        <v>NO</v>
      </c>
      <c r="G116" s="7" t="str">
        <f>IF(ISERROR(LOOKUP(2^15,SEARCH(B116,'2019'!$B$2:$B$1108,1),'2019'!$A$2:$A$1108)),"NO","SI")</f>
        <v>NO</v>
      </c>
      <c r="H116" s="7" t="str">
        <f>IF(ISERROR(LOOKUP(2^15,SEARCH(B116,'2018'!$B$1:$B$1047,1),'2018'!$A$1:$A$1047)),"NO","SI")</f>
        <v>NO</v>
      </c>
      <c r="I116" s="8" t="str">
        <f>IF(ISERROR(LOOKUP(2^15,SEARCH(B116,'ALERTA SANITARIA'!$B$2:$B$269,1),'2018'!$A$1:$A$1047)),"NO","SI")</f>
        <v>SI</v>
      </c>
      <c r="J116" s="6" t="str">
        <f t="shared" si="0"/>
        <v>COFEPRIS</v>
      </c>
      <c r="K116" s="6" t="str">
        <f t="array" ref="K116">IFERROR(INDEX(Anterior!$C$1:$D$323,MATCH(B116,Anterior!$B$2:$B$323,0)+1,2),0)</f>
        <v>COFEPRIS</v>
      </c>
      <c r="L116" s="6" t="str">
        <f t="shared" si="1"/>
        <v>coinciden</v>
      </c>
      <c r="M116" s="2"/>
    </row>
    <row r="117" spans="1:16" ht="15.75" customHeight="1" x14ac:dyDescent="0.25">
      <c r="A117" s="6" t="s">
        <v>247</v>
      </c>
      <c r="B117" s="6" t="s">
        <v>248</v>
      </c>
      <c r="C117" s="7" t="str">
        <f>IF(ISERROR(LOOKUP(2^15,SEARCH(B117,'2023'!$B$3:$B$1734,1),'2023'!$A$3:$A$1734)),"NO","SI")</f>
        <v>NO</v>
      </c>
      <c r="D117" s="7" t="str">
        <f>IF(ISERROR(LOOKUP(2^15,SEARCH(B117,'2022'!$B$2:$B$1591,1),'2022'!$A$2:$A$1591)),"NO","SI")</f>
        <v>NO</v>
      </c>
      <c r="E117" s="7" t="str">
        <f>IF(ISERROR(LOOKUP(2^15,SEARCH(B117,'2021'!$B$2:$B$1494,1),'2021'!$A$2:$A$1494)),"NO","SI")</f>
        <v>NO</v>
      </c>
      <c r="F117" s="7" t="str">
        <f>IF(ISERROR(LOOKUP(2^15,SEARCH(B117,'2020'!$B$2:$B$1278,1),'2020'!$A$2:$A$1278)),"NO","SI")</f>
        <v>NO</v>
      </c>
      <c r="G117" s="7" t="str">
        <f>IF(ISERROR(LOOKUP(2^15,SEARCH(B117,'2019'!$B$2:$B$1108,1),'2019'!$A$2:$A$1108)),"NO","SI")</f>
        <v>NO</v>
      </c>
      <c r="H117" s="7" t="str">
        <f>IF(ISERROR(LOOKUP(2^15,SEARCH(B117,'2018'!$B$1:$B$1047,1),'2018'!$A$1:$A$1047)),"NO","SI")</f>
        <v>NO</v>
      </c>
      <c r="I117" s="8" t="str">
        <f>IF(ISERROR(LOOKUP(2^15,SEARCH(B117,'ALERTA SANITARIA'!$B$2:$B$269,1),'2018'!$A$1:$A$1047)),"NO","SI")</f>
        <v>SI</v>
      </c>
      <c r="J117" s="6" t="str">
        <f t="shared" si="0"/>
        <v>COFEPRIS</v>
      </c>
      <c r="K117" s="6" t="str">
        <f t="array" ref="K117">IFERROR(INDEX(Anterior!$C$1:$D$323,MATCH(B117,Anterior!$B$2:$B$323,0)+1,2),0)</f>
        <v>COFEPRIS</v>
      </c>
      <c r="L117" s="6" t="str">
        <f t="shared" si="1"/>
        <v>coinciden</v>
      </c>
      <c r="M117" s="2"/>
    </row>
    <row r="118" spans="1:16" ht="15.75" customHeight="1" x14ac:dyDescent="0.25">
      <c r="A118" s="6" t="s">
        <v>249</v>
      </c>
      <c r="B118" s="6" t="s">
        <v>250</v>
      </c>
      <c r="C118" s="7" t="str">
        <f>IF(ISERROR(LOOKUP(2^15,SEARCH(B118,'2023'!$B$3:$B$1734,1),'2023'!$A$3:$A$1734)),"NO","SI")</f>
        <v>NO</v>
      </c>
      <c r="D118" s="7" t="str">
        <f>IF(ISERROR(LOOKUP(2^15,SEARCH(B118,'2022'!$B$2:$B$1591,1),'2022'!$A$2:$A$1591)),"NO","SI")</f>
        <v>NO</v>
      </c>
      <c r="E118" s="7" t="str">
        <f>IF(ISERROR(LOOKUP(2^15,SEARCH(B118,'2021'!$B$2:$B$1494,1),'2021'!$A$2:$A$1494)),"NO","SI")</f>
        <v>NO</v>
      </c>
      <c r="F118" s="7" t="str">
        <f>IF(ISERROR(LOOKUP(2^15,SEARCH(B118,'2020'!$B$2:$B$1278,1),'2020'!$A$2:$A$1278)),"NO","SI")</f>
        <v>NO</v>
      </c>
      <c r="G118" s="7" t="str">
        <f>IF(ISERROR(LOOKUP(2^15,SEARCH(B118,'2019'!$B$2:$B$1108,1),'2019'!$A$2:$A$1108)),"NO","SI")</f>
        <v>NO</v>
      </c>
      <c r="H118" s="7" t="str">
        <f>IF(ISERROR(LOOKUP(2^15,SEARCH(B118,'2018'!$B$1:$B$1047,1),'2018'!$A$1:$A$1047)),"NO","SI")</f>
        <v>NO</v>
      </c>
      <c r="I118" s="8" t="str">
        <f>IF(ISERROR(LOOKUP(2^15,SEARCH(B118,'ALERTA SANITARIA'!$B$2:$B$269,1),'2018'!$A$1:$A$1047)),"NO","SI")</f>
        <v>SI</v>
      </c>
      <c r="J118" s="6" t="str">
        <f t="shared" si="0"/>
        <v>COFEPRIS</v>
      </c>
      <c r="K118" s="6" t="str">
        <f t="array" ref="K118">IFERROR(INDEX(Anterior!$C$1:$D$323,MATCH(B118,Anterior!$B$2:$B$323,0)+1,2),0)</f>
        <v>COFEPRIS</v>
      </c>
      <c r="L118" s="6" t="str">
        <f t="shared" si="1"/>
        <v>coinciden</v>
      </c>
      <c r="M118" s="2"/>
    </row>
    <row r="119" spans="1:16" ht="15.75" customHeight="1" x14ac:dyDescent="0.25">
      <c r="A119" s="6" t="s">
        <v>251</v>
      </c>
      <c r="B119" s="6" t="s">
        <v>252</v>
      </c>
      <c r="C119" s="7" t="str">
        <f>IF(ISERROR(LOOKUP(2^15,SEARCH(B119,'2023'!$B$3:$B$1734,1),'2023'!$A$3:$A$1734)),"NO","SI")</f>
        <v>NO</v>
      </c>
      <c r="D119" s="7" t="str">
        <f>IF(ISERROR(LOOKUP(2^15,SEARCH(B119,'2022'!$B$2:$B$1591,1),'2022'!$A$2:$A$1591)),"NO","SI")</f>
        <v>NO</v>
      </c>
      <c r="E119" s="7" t="str">
        <f>IF(ISERROR(LOOKUP(2^15,SEARCH(B119,'2021'!$B$2:$B$1494,1),'2021'!$A$2:$A$1494)),"NO","SI")</f>
        <v>NO</v>
      </c>
      <c r="F119" s="7" t="str">
        <f>IF(ISERROR(LOOKUP(2^15,SEARCH(B119,'2020'!$B$2:$B$1278,1),'2020'!$A$2:$A$1278)),"NO","SI")</f>
        <v>NO</v>
      </c>
      <c r="G119" s="7" t="str">
        <f>IF(ISERROR(LOOKUP(2^15,SEARCH(B119,'2019'!$B$2:$B$1108,1),'2019'!$A$2:$A$1108)),"NO","SI")</f>
        <v>NO</v>
      </c>
      <c r="H119" s="7" t="str">
        <f>IF(ISERROR(LOOKUP(2^15,SEARCH(B119,'2018'!$B$1:$B$1047,1),'2018'!$A$1:$A$1047)),"NO","SI")</f>
        <v>NO</v>
      </c>
      <c r="I119" s="8" t="str">
        <f>IF(ISERROR(LOOKUP(2^15,SEARCH(B119,'ALERTA SANITARIA'!$B$2:$B$269,1),'2018'!$A$1:$A$1047)),"NO","SI")</f>
        <v>SI</v>
      </c>
      <c r="J119" s="6" t="str">
        <f t="shared" si="0"/>
        <v>COFEPRIS</v>
      </c>
      <c r="K119" s="6" t="str">
        <f t="array" ref="K119">IFERROR(INDEX(Anterior!$C$1:$D$323,MATCH(B119,Anterior!$B$2:$B$323,0)+1,2),0)</f>
        <v>COFEPRIS</v>
      </c>
      <c r="L119" s="6" t="str">
        <f t="shared" si="1"/>
        <v>coinciden</v>
      </c>
      <c r="M119" s="2"/>
    </row>
    <row r="120" spans="1:16" ht="15.75" customHeight="1" x14ac:dyDescent="0.25">
      <c r="A120" s="6" t="s">
        <v>253</v>
      </c>
      <c r="B120" s="6" t="s">
        <v>254</v>
      </c>
      <c r="C120" s="7" t="str">
        <f>IF(ISERROR(LOOKUP(2^15,SEARCH(B120,'2023'!$B$3:$B$1734,1),'2023'!$A$3:$A$1734)),"NO","SI")</f>
        <v>NO</v>
      </c>
      <c r="D120" s="7" t="str">
        <f>IF(ISERROR(LOOKUP(2^15,SEARCH(B120,'2022'!$B$2:$B$1591,1),'2022'!$A$2:$A$1591)),"NO","SI")</f>
        <v>NO</v>
      </c>
      <c r="E120" s="7" t="str">
        <f>IF(ISERROR(LOOKUP(2^15,SEARCH(B120,'2021'!$B$2:$B$1494,1),'2021'!$A$2:$A$1494)),"NO","SI")</f>
        <v>NO</v>
      </c>
      <c r="F120" s="7" t="str">
        <f>IF(ISERROR(LOOKUP(2^15,SEARCH(B120,'2020'!$B$2:$B$1278,1),'2020'!$A$2:$A$1278)),"NO","SI")</f>
        <v>NO</v>
      </c>
      <c r="G120" s="7" t="str">
        <f>IF(ISERROR(LOOKUP(2^15,SEARCH(B120,'2019'!$B$2:$B$1108,1),'2019'!$A$2:$A$1108)),"NO","SI")</f>
        <v>NO</v>
      </c>
      <c r="H120" s="7" t="str">
        <f>IF(ISERROR(LOOKUP(2^15,SEARCH(B120,'2018'!$B$1:$B$1047,1),'2018'!$A$1:$A$1047)),"NO","SI")</f>
        <v>NO</v>
      </c>
      <c r="I120" s="8" t="str">
        <f>IF(ISERROR(LOOKUP(2^15,SEARCH(B120,'ALERTA SANITARIA'!$B$2:$B$269,1),'2018'!$A$1:$A$1047)),"NO","SI")</f>
        <v>SI</v>
      </c>
      <c r="J120" s="6" t="str">
        <f t="shared" si="0"/>
        <v>COFEPRIS</v>
      </c>
      <c r="K120" s="6" t="str">
        <f t="array" ref="K120">IFERROR(INDEX(Anterior!$C$1:$D$323,MATCH(B120,Anterior!$B$2:$B$323,0)+1,2),0)</f>
        <v>COFEPRIS</v>
      </c>
      <c r="L120" s="6" t="str">
        <f t="shared" si="1"/>
        <v>coinciden</v>
      </c>
      <c r="M120" s="2"/>
    </row>
    <row r="121" spans="1:16" ht="15.75" customHeight="1" x14ac:dyDescent="0.25">
      <c r="A121" s="6" t="s">
        <v>255</v>
      </c>
      <c r="B121" s="6" t="s">
        <v>256</v>
      </c>
      <c r="C121" s="7" t="s">
        <v>14</v>
      </c>
      <c r="D121" s="7" t="s">
        <v>14</v>
      </c>
      <c r="E121" s="7" t="s">
        <v>14</v>
      </c>
      <c r="F121" s="7" t="s">
        <v>14</v>
      </c>
      <c r="G121" s="7" t="s">
        <v>14</v>
      </c>
      <c r="H121" s="7" t="s">
        <v>14</v>
      </c>
      <c r="I121" s="8" t="str">
        <f>IF(ISERROR(LOOKUP(2^15,SEARCH(B121,'ALERTA SANITARIA'!$B$2:$B$269,1),'2018'!$A$1:$A$1047)),"NO","SI")</f>
        <v>SI</v>
      </c>
      <c r="J121" s="6" t="str">
        <f t="shared" si="0"/>
        <v>COFEPRIS</v>
      </c>
      <c r="K121" s="6" t="str">
        <f t="array" ref="K121">IFERROR(INDEX(Anterior!$C$1:$D$323,MATCH(B121,Anterior!$B$2:$B$323,0)+1,2),0)</f>
        <v>COFEPRIS</v>
      </c>
      <c r="L121" s="6" t="str">
        <f t="shared" si="1"/>
        <v>coinciden</v>
      </c>
      <c r="M121" s="2"/>
      <c r="P121" s="6" t="s">
        <v>257</v>
      </c>
    </row>
    <row r="122" spans="1:16" ht="15.75" customHeight="1" x14ac:dyDescent="0.25">
      <c r="A122" s="6" t="s">
        <v>258</v>
      </c>
      <c r="B122" s="6" t="s">
        <v>259</v>
      </c>
      <c r="C122" s="7" t="str">
        <f>IF(ISERROR(LOOKUP(2^15,SEARCH(B122,'2023'!$B$3:$B$1734,1),'2023'!$A$3:$A$1734)),"NO","SI")</f>
        <v>SI</v>
      </c>
      <c r="D122" s="7" t="str">
        <f>IF(ISERROR(LOOKUP(2^15,SEARCH(B122,'2022'!$B$2:$B$1591,1),'2022'!$A$2:$A$1591)),"NO","SI")</f>
        <v>SI</v>
      </c>
      <c r="E122" s="7" t="str">
        <f>IF(ISERROR(LOOKUP(2^15,SEARCH(B122,'2021'!$B$2:$B$1494,1),'2021'!$A$2:$A$1494)),"NO","SI")</f>
        <v>SI</v>
      </c>
      <c r="F122" s="7" t="str">
        <f>IF(ISERROR(LOOKUP(2^15,SEARCH(B122,'2020'!$B$2:$B$1278,1),'2020'!$A$2:$A$1278)),"NO","SI")</f>
        <v>SI</v>
      </c>
      <c r="G122" s="7" t="str">
        <f>IF(ISERROR(LOOKUP(2^15,SEARCH(B122,'2019'!$B$2:$B$1108,1),'2019'!$A$2:$A$1108)),"NO","SI")</f>
        <v>SI</v>
      </c>
      <c r="H122" s="7" t="str">
        <f>IF(ISERROR(LOOKUP(2^15,SEARCH(B122,'2018'!$B$1:$B$1047,1),'2018'!$A$1:$A$1047)),"NO","SI")</f>
        <v>SI</v>
      </c>
      <c r="I122" s="8" t="str">
        <f>IF(ISERROR(LOOKUP(2^15,SEARCH(B122,'ALERTA SANITARIA'!$B$2:$B$269,1),'2018'!$A$1:$A$1047)),"NO","SI")</f>
        <v>NO</v>
      </c>
      <c r="J122" s="6" t="str">
        <f t="shared" si="0"/>
        <v>DOF</v>
      </c>
      <c r="K122" s="6" t="str">
        <f t="array" ref="K122">IFERROR(INDEX(Anterior!$C$1:$D$323,MATCH(B122,Anterior!$B$2:$B$323,0)+1,2),0)</f>
        <v>DOF</v>
      </c>
      <c r="L122" s="6" t="str">
        <f t="shared" si="1"/>
        <v>coinciden</v>
      </c>
      <c r="M122" s="2"/>
    </row>
    <row r="123" spans="1:16" ht="15.75" customHeight="1" x14ac:dyDescent="0.25">
      <c r="A123" s="6" t="s">
        <v>260</v>
      </c>
      <c r="B123" s="6" t="s">
        <v>261</v>
      </c>
      <c r="C123" s="7" t="str">
        <f>IF(ISERROR(LOOKUP(2^15,SEARCH(B123,'2023'!$B$3:$B$1734,1),'2023'!$A$3:$A$1734)),"NO","SI")</f>
        <v>NO</v>
      </c>
      <c r="D123" s="7" t="str">
        <f>IF(ISERROR(LOOKUP(2^15,SEARCH(B123,'2022'!$B$2:$B$1591,1),'2022'!$A$2:$A$1591)),"NO","SI")</f>
        <v>NO</v>
      </c>
      <c r="E123" s="7" t="str">
        <f>IF(ISERROR(LOOKUP(2^15,SEARCH(B123,'2021'!$B$2:$B$1494,1),'2021'!$A$2:$A$1494)),"NO","SI")</f>
        <v>NO</v>
      </c>
      <c r="F123" s="7" t="str">
        <f>IF(ISERROR(LOOKUP(2^15,SEARCH(B123,'2020'!$B$2:$B$1278,1),'2020'!$A$2:$A$1278)),"NO","SI")</f>
        <v>NO</v>
      </c>
      <c r="G123" s="7" t="str">
        <f>IF(ISERROR(LOOKUP(2^15,SEARCH(B123,'2019'!$B$2:$B$1108,1),'2019'!$A$2:$A$1108)),"NO","SI")</f>
        <v>NO</v>
      </c>
      <c r="H123" s="7" t="str">
        <f>IF(ISERROR(LOOKUP(2^15,SEARCH(B123,'2018'!$B$1:$B$1047,1),'2018'!$A$1:$A$1047)),"NO","SI")</f>
        <v>NO</v>
      </c>
      <c r="I123" s="8" t="str">
        <f>IF(ISERROR(LOOKUP(2^15,SEARCH(B123,'ALERTA SANITARIA'!$B$2:$B$269,1),'2018'!$A$1:$A$1047)),"NO","SI")</f>
        <v>SI</v>
      </c>
      <c r="J123" s="6" t="str">
        <f t="shared" si="0"/>
        <v>COFEPRIS</v>
      </c>
      <c r="K123" s="6" t="str">
        <f t="array" ref="K123">IFERROR(INDEX(Anterior!$C$1:$D$323,MATCH(B123,Anterior!$B$2:$B$323,0)+1,2),0)</f>
        <v>COFEPRIS</v>
      </c>
      <c r="L123" s="6" t="str">
        <f t="shared" si="1"/>
        <v>coinciden</v>
      </c>
      <c r="M123" s="2"/>
    </row>
    <row r="124" spans="1:16" ht="15.75" customHeight="1" x14ac:dyDescent="0.25">
      <c r="A124" s="6" t="s">
        <v>262</v>
      </c>
      <c r="B124" s="6" t="s">
        <v>263</v>
      </c>
      <c r="C124" s="7" t="str">
        <f>IF(ISERROR(LOOKUP(2^15,SEARCH(B124,'2023'!$B$3:$B$1734,1),'2023'!$A$3:$A$1734)),"NO","SI")</f>
        <v>SI</v>
      </c>
      <c r="D124" s="7" t="str">
        <f>IF(ISERROR(LOOKUP(2^15,SEARCH(B124,'2022'!$B$2:$B$1591,1),'2022'!$A$2:$A$1591)),"NO","SI")</f>
        <v>SI</v>
      </c>
      <c r="E124" s="7" t="str">
        <f>IF(ISERROR(LOOKUP(2^15,SEARCH(B124,'2021'!$B$2:$B$1494,1),'2021'!$A$2:$A$1494)),"NO","SI")</f>
        <v>SI</v>
      </c>
      <c r="F124" s="7" t="str">
        <f>IF(ISERROR(LOOKUP(2^15,SEARCH(B124,'2020'!$B$2:$B$1278,1),'2020'!$A$2:$A$1278)),"NO","SI")</f>
        <v>SI</v>
      </c>
      <c r="G124" s="7" t="str">
        <f>IF(ISERROR(LOOKUP(2^15,SEARCH(B124,'2019'!$B$2:$B$1108,1),'2019'!$A$2:$A$1108)),"NO","SI")</f>
        <v>SI</v>
      </c>
      <c r="H124" s="7" t="str">
        <f>IF(ISERROR(LOOKUP(2^15,SEARCH(B124,'2018'!$B$1:$B$1047,1),'2018'!$A$1:$A$1047)),"NO","SI")</f>
        <v>SI</v>
      </c>
      <c r="I124" s="8" t="str">
        <f>IF(ISERROR(LOOKUP(2^15,SEARCH(B124,'ALERTA SANITARIA'!$B$2:$B$269,1),'2018'!$A$1:$A$1047)),"NO","SI")</f>
        <v>SI</v>
      </c>
      <c r="J124" s="6" t="str">
        <f t="shared" si="0"/>
        <v>AMBOS</v>
      </c>
      <c r="K124" s="6" t="str">
        <f t="array" ref="K124">IFERROR(INDEX(Anterior!$C$1:$D$323,MATCH(B124,Anterior!$B$2:$B$323,0)+1,2),0)</f>
        <v>COFEPRIS</v>
      </c>
      <c r="L124" s="6" t="str">
        <f t="shared" si="1"/>
        <v>Discrepan</v>
      </c>
      <c r="M124" s="2" t="s">
        <v>14</v>
      </c>
    </row>
    <row r="125" spans="1:16" ht="15.75" customHeight="1" x14ac:dyDescent="0.25">
      <c r="A125" s="6" t="s">
        <v>264</v>
      </c>
      <c r="B125" s="6" t="s">
        <v>265</v>
      </c>
      <c r="C125" s="7" t="s">
        <v>14</v>
      </c>
      <c r="D125" s="7" t="s">
        <v>14</v>
      </c>
      <c r="E125" s="7" t="s">
        <v>14</v>
      </c>
      <c r="F125" s="7" t="s">
        <v>14</v>
      </c>
      <c r="G125" s="7" t="s">
        <v>14</v>
      </c>
      <c r="H125" s="7" t="s">
        <v>14</v>
      </c>
      <c r="I125" s="8" t="str">
        <f>IF(ISERROR(LOOKUP(2^15,SEARCH(B125,'ALERTA SANITARIA'!$B$2:$B$269,1),'2018'!$A$1:$A$1047)),"NO","SI")</f>
        <v>SI</v>
      </c>
      <c r="J125" s="6" t="str">
        <f t="shared" si="0"/>
        <v>COFEPRIS</v>
      </c>
      <c r="K125" s="6" t="str">
        <f t="array" ref="K125">IFERROR(INDEX(Anterior!$C$1:$D$323,MATCH(B125,Anterior!$B$2:$B$323,0)+1,2),0)</f>
        <v>COFEPRIS</v>
      </c>
      <c r="L125" s="6" t="str">
        <f t="shared" si="1"/>
        <v>coinciden</v>
      </c>
      <c r="M125" s="2"/>
    </row>
    <row r="126" spans="1:16" ht="15.75" customHeight="1" x14ac:dyDescent="0.25">
      <c r="A126" s="6" t="s">
        <v>266</v>
      </c>
      <c r="B126" s="6" t="s">
        <v>267</v>
      </c>
      <c r="C126" s="7" t="str">
        <f>IF(ISERROR(LOOKUP(2^15,SEARCH(B126,'2023'!$B$3:$B$1734,1),'2023'!$A$3:$A$1734)),"NO","SI")</f>
        <v>SI</v>
      </c>
      <c r="D126" s="7" t="str">
        <f>IF(ISERROR(LOOKUP(2^15,SEARCH(B126,'2022'!$B$2:$B$1591,1),'2022'!$A$2:$A$1591)),"NO","SI")</f>
        <v>SI</v>
      </c>
      <c r="E126" s="7" t="str">
        <f>IF(ISERROR(LOOKUP(2^15,SEARCH(B126,'2021'!$B$2:$B$1494,1),'2021'!$A$2:$A$1494)),"NO","SI")</f>
        <v>SI</v>
      </c>
      <c r="F126" s="7" t="str">
        <f>IF(ISERROR(LOOKUP(2^15,SEARCH(B126,'2020'!$B$2:$B$1278,1),'2020'!$A$2:$A$1278)),"NO","SI")</f>
        <v>SI</v>
      </c>
      <c r="G126" s="7" t="str">
        <f>IF(ISERROR(LOOKUP(2^15,SEARCH(B126,'2019'!$B$2:$B$1108,1),'2019'!$A$2:$A$1108)),"NO","SI")</f>
        <v>SI</v>
      </c>
      <c r="H126" s="7" t="str">
        <f>IF(ISERROR(LOOKUP(2^15,SEARCH(B126,'2018'!$B$1:$B$1047,1),'2018'!$A$1:$A$1047)),"NO","SI")</f>
        <v>SI</v>
      </c>
      <c r="I126" s="8" t="str">
        <f>IF(ISERROR(LOOKUP(2^15,SEARCH(B126,'ALERTA SANITARIA'!$B$2:$B$269,1),'2018'!$A$1:$A$1047)),"NO","SI")</f>
        <v>NO</v>
      </c>
      <c r="J126" s="6" t="str">
        <f t="shared" si="0"/>
        <v>DOF</v>
      </c>
      <c r="K126" s="6">
        <f t="array" ref="K126">IFERROR(INDEX(Anterior!$C$1:$D$323,MATCH(B126,Anterior!$B$2:$B$323,0)+1,2),0)</f>
        <v>0</v>
      </c>
      <c r="L126" s="6" t="str">
        <f t="shared" si="1"/>
        <v>Nuevo</v>
      </c>
      <c r="M126" s="2"/>
    </row>
    <row r="127" spans="1:16" ht="15.75" customHeight="1" x14ac:dyDescent="0.25">
      <c r="A127" s="6" t="s">
        <v>268</v>
      </c>
      <c r="B127" s="6" t="s">
        <v>269</v>
      </c>
      <c r="C127" s="7" t="str">
        <f>IF(ISERROR(LOOKUP(2^15,SEARCH(B127,'2023'!$B$3:$B$1734,1),'2023'!$A$3:$A$1734)),"NO","SI")</f>
        <v>NO</v>
      </c>
      <c r="D127" s="7" t="str">
        <f>IF(ISERROR(LOOKUP(2^15,SEARCH(B127,'2022'!$B$2:$B$1591,1),'2022'!$A$2:$A$1591)),"NO","SI")</f>
        <v>NO</v>
      </c>
      <c r="E127" s="7" t="str">
        <f>IF(ISERROR(LOOKUP(2^15,SEARCH(B127,'2021'!$B$2:$B$1494,1),'2021'!$A$2:$A$1494)),"NO","SI")</f>
        <v>NO</v>
      </c>
      <c r="F127" s="7" t="str">
        <f>IF(ISERROR(LOOKUP(2^15,SEARCH(B127,'2020'!$B$2:$B$1278,1),'2020'!$A$2:$A$1278)),"NO","SI")</f>
        <v>NO</v>
      </c>
      <c r="G127" s="7" t="str">
        <f>IF(ISERROR(LOOKUP(2^15,SEARCH(B127,'2019'!$B$2:$B$1108,1),'2019'!$A$2:$A$1108)),"NO","SI")</f>
        <v>NO</v>
      </c>
      <c r="H127" s="7" t="str">
        <f>IF(ISERROR(LOOKUP(2^15,SEARCH(B127,'2018'!$B$1:$B$1047,1),'2018'!$A$1:$A$1047)),"NO","SI")</f>
        <v>NO</v>
      </c>
      <c r="I127" s="8" t="str">
        <f>IF(ISERROR(LOOKUP(2^15,SEARCH(B127,'ALERTA SANITARIA'!$B$2:$B$269,1),'2018'!$A$1:$A$1047)),"NO","SI")</f>
        <v>SI</v>
      </c>
      <c r="J127" s="6" t="str">
        <f t="shared" si="0"/>
        <v>COFEPRIS</v>
      </c>
      <c r="K127" s="6" t="str">
        <f t="array" ref="K127">IFERROR(INDEX(Anterior!$C$1:$D$323,MATCH(B127,Anterior!$B$2:$B$323,0)+1,2),0)</f>
        <v>COFEPRIS</v>
      </c>
      <c r="L127" s="6" t="str">
        <f t="shared" si="1"/>
        <v>coinciden</v>
      </c>
      <c r="M127" s="2"/>
    </row>
    <row r="128" spans="1:16" ht="15.75" customHeight="1" x14ac:dyDescent="0.25">
      <c r="A128" s="6" t="s">
        <v>270</v>
      </c>
      <c r="B128" s="6" t="s">
        <v>271</v>
      </c>
      <c r="C128" s="7" t="str">
        <f>IF(ISERROR(LOOKUP(2^15,SEARCH(B128,'2023'!$B$3:$B$1734,1),'2023'!$A$3:$A$1734)),"NO","SI")</f>
        <v>NO</v>
      </c>
      <c r="D128" s="7" t="str">
        <f>IF(ISERROR(LOOKUP(2^15,SEARCH(B128,'2022'!$B$2:$B$1591,1),'2022'!$A$2:$A$1591)),"NO","SI")</f>
        <v>NO</v>
      </c>
      <c r="E128" s="7" t="str">
        <f>IF(ISERROR(LOOKUP(2^15,SEARCH(B128,'2021'!$B$2:$B$1494,1),'2021'!$A$2:$A$1494)),"NO","SI")</f>
        <v>NO</v>
      </c>
      <c r="F128" s="7" t="str">
        <f>IF(ISERROR(LOOKUP(2^15,SEARCH(B128,'2020'!$B$2:$B$1278,1),'2020'!$A$2:$A$1278)),"NO","SI")</f>
        <v>NO</v>
      </c>
      <c r="G128" s="7" t="str">
        <f>IF(ISERROR(LOOKUP(2^15,SEARCH(B128,'2019'!$B$2:$B$1108,1),'2019'!$A$2:$A$1108)),"NO","SI")</f>
        <v>NO</v>
      </c>
      <c r="H128" s="7" t="str">
        <f>IF(ISERROR(LOOKUP(2^15,SEARCH(B128,'2018'!$B$1:$B$1047,1),'2018'!$A$1:$A$1047)),"NO","SI")</f>
        <v>NO</v>
      </c>
      <c r="I128" s="8" t="str">
        <f>IF(ISERROR(LOOKUP(2^15,SEARCH(B128,'ALERTA SANITARIA'!$B$2:$B$269,1),'2018'!$A$1:$A$1047)),"NO","SI")</f>
        <v>SI</v>
      </c>
      <c r="J128" s="6" t="str">
        <f t="shared" si="0"/>
        <v>COFEPRIS</v>
      </c>
      <c r="K128" s="6" t="str">
        <f t="array" ref="K128">IFERROR(INDEX(Anterior!$C$1:$D$323,MATCH(B128,Anterior!$B$2:$B$323,0)+1,2),0)</f>
        <v>COFEPRIS</v>
      </c>
      <c r="L128" s="6" t="str">
        <f t="shared" si="1"/>
        <v>coinciden</v>
      </c>
      <c r="M128" s="2"/>
    </row>
    <row r="129" spans="1:16" ht="15.75" customHeight="1" x14ac:dyDescent="0.25">
      <c r="A129" s="6" t="s">
        <v>272</v>
      </c>
      <c r="B129" s="6" t="s">
        <v>273</v>
      </c>
      <c r="C129" s="7" t="str">
        <f>IF(ISERROR(LOOKUP(2^15,SEARCH(B129,'2023'!$B$3:$B$1734,1),'2023'!$A$3:$A$1734)),"NO","SI")</f>
        <v>NO</v>
      </c>
      <c r="D129" s="7" t="str">
        <f>IF(ISERROR(LOOKUP(2^15,SEARCH(B129,'2022'!$B$2:$B$1591,1),'2022'!$A$2:$A$1591)),"NO","SI")</f>
        <v>NO</v>
      </c>
      <c r="E129" s="7" t="str">
        <f>IF(ISERROR(LOOKUP(2^15,SEARCH(B129,'2021'!$B$2:$B$1494,1),'2021'!$A$2:$A$1494)),"NO","SI")</f>
        <v>NO</v>
      </c>
      <c r="F129" s="7" t="str">
        <f>IF(ISERROR(LOOKUP(2^15,SEARCH(B129,'2020'!$B$2:$B$1278,1),'2020'!$A$2:$A$1278)),"NO","SI")</f>
        <v>NO</v>
      </c>
      <c r="G129" s="7" t="str">
        <f>IF(ISERROR(LOOKUP(2^15,SEARCH(B129,'2019'!$B$2:$B$1108,1),'2019'!$A$2:$A$1108)),"NO","SI")</f>
        <v>NO</v>
      </c>
      <c r="H129" s="7" t="str">
        <f>IF(ISERROR(LOOKUP(2^15,SEARCH(B129,'2018'!$B$1:$B$1047,1),'2018'!$A$1:$A$1047)),"NO","SI")</f>
        <v>NO</v>
      </c>
      <c r="I129" s="8" t="str">
        <f>IF(ISERROR(LOOKUP(2^15,SEARCH(B129,'ALERTA SANITARIA'!$B$2:$B$269,1),'2018'!$A$1:$A$1047)),"NO","SI")</f>
        <v>SI</v>
      </c>
      <c r="J129" s="6" t="str">
        <f t="shared" si="0"/>
        <v>COFEPRIS</v>
      </c>
      <c r="K129" s="6" t="str">
        <f t="array" ref="K129">IFERROR(INDEX(Anterior!$C$1:$D$323,MATCH(B129,Anterior!$B$2:$B$323,0)+1,2),0)</f>
        <v>COFEPRIS</v>
      </c>
      <c r="L129" s="6" t="str">
        <f t="shared" si="1"/>
        <v>coinciden</v>
      </c>
      <c r="M129" s="2"/>
    </row>
    <row r="130" spans="1:16" ht="15.75" customHeight="1" x14ac:dyDescent="0.25">
      <c r="A130" s="6" t="s">
        <v>274</v>
      </c>
      <c r="B130" s="6" t="s">
        <v>275</v>
      </c>
      <c r="C130" s="7" t="str">
        <f>IF(ISERROR(LOOKUP(2^15,SEARCH(B130,'2023'!$B$3:$B$1734,1),'2023'!$A$3:$A$1734)),"NO","SI")</f>
        <v>NO</v>
      </c>
      <c r="D130" s="7" t="str">
        <f>IF(ISERROR(LOOKUP(2^15,SEARCH(B130,'2022'!$B$2:$B$1591,1),'2022'!$A$2:$A$1591)),"NO","SI")</f>
        <v>NO</v>
      </c>
      <c r="E130" s="7" t="str">
        <f>IF(ISERROR(LOOKUP(2^15,SEARCH(B130,'2021'!$B$2:$B$1494,1),'2021'!$A$2:$A$1494)),"NO","SI")</f>
        <v>NO</v>
      </c>
      <c r="F130" s="7" t="str">
        <f>IF(ISERROR(LOOKUP(2^15,SEARCH(B130,'2020'!$B$2:$B$1278,1),'2020'!$A$2:$A$1278)),"NO","SI")</f>
        <v>NO</v>
      </c>
      <c r="G130" s="7" t="str">
        <f>IF(ISERROR(LOOKUP(2^15,SEARCH(B130,'2019'!$B$2:$B$1108,1),'2019'!$A$2:$A$1108)),"NO","SI")</f>
        <v>NO</v>
      </c>
      <c r="H130" s="7" t="str">
        <f>IF(ISERROR(LOOKUP(2^15,SEARCH(B130,'2018'!$B$1:$B$1047,1),'2018'!$A$1:$A$1047)),"NO","SI")</f>
        <v>NO</v>
      </c>
      <c r="I130" s="8" t="str">
        <f>IF(ISERROR(LOOKUP(2^15,SEARCH(B130,'ALERTA SANITARIA'!$B$2:$B$269,1),'2018'!$A$1:$A$1047)),"NO","SI")</f>
        <v>SI</v>
      </c>
      <c r="J130" s="6" t="str">
        <f t="shared" si="0"/>
        <v>COFEPRIS</v>
      </c>
      <c r="K130" s="6" t="str">
        <f t="array" ref="K130">IFERROR(INDEX(Anterior!$C$1:$D$323,MATCH(B130,Anterior!$B$2:$B$323,0)+1,2),0)</f>
        <v>COFEPRIS</v>
      </c>
      <c r="L130" s="6" t="str">
        <f t="shared" si="1"/>
        <v>coinciden</v>
      </c>
      <c r="M130" s="2"/>
    </row>
    <row r="131" spans="1:16" ht="15.75" customHeight="1" x14ac:dyDescent="0.25">
      <c r="A131" s="6" t="s">
        <v>276</v>
      </c>
      <c r="B131" s="6" t="s">
        <v>277</v>
      </c>
      <c r="C131" s="7" t="str">
        <f>IF(ISERROR(LOOKUP(2^15,SEARCH(B131,'2023'!$B$3:$B$1734,1),'2023'!$A$3:$A$1734)),"NO","SI")</f>
        <v>NO</v>
      </c>
      <c r="D131" s="7" t="str">
        <f>IF(ISERROR(LOOKUP(2^15,SEARCH(B131,'2022'!$B$2:$B$1591,1),'2022'!$A$2:$A$1591)),"NO","SI")</f>
        <v>NO</v>
      </c>
      <c r="E131" s="7" t="str">
        <f>IF(ISERROR(LOOKUP(2^15,SEARCH(B131,'2021'!$B$2:$B$1494,1),'2021'!$A$2:$A$1494)),"NO","SI")</f>
        <v>NO</v>
      </c>
      <c r="F131" s="7" t="str">
        <f>IF(ISERROR(LOOKUP(2^15,SEARCH(B131,'2020'!$B$2:$B$1278,1),'2020'!$A$2:$A$1278)),"NO","SI")</f>
        <v>NO</v>
      </c>
      <c r="G131" s="7" t="str">
        <f>IF(ISERROR(LOOKUP(2^15,SEARCH(B131,'2019'!$B$2:$B$1108,1),'2019'!$A$2:$A$1108)),"NO","SI")</f>
        <v>NO</v>
      </c>
      <c r="H131" s="7" t="str">
        <f>IF(ISERROR(LOOKUP(2^15,SEARCH(B131,'2018'!$B$1:$B$1047,1),'2018'!$A$1:$A$1047)),"NO","SI")</f>
        <v>NO</v>
      </c>
      <c r="I131" s="8" t="str">
        <f>IF(ISERROR(LOOKUP(2^15,SEARCH(B131,'ALERTA SANITARIA'!$B$2:$B$269,1),'2018'!$A$1:$A$1047)),"NO","SI")</f>
        <v>SI</v>
      </c>
      <c r="J131" s="6" t="str">
        <f t="shared" si="0"/>
        <v>COFEPRIS</v>
      </c>
      <c r="K131" s="6" t="str">
        <f t="array" ref="K131">IFERROR(INDEX(Anterior!$C$1:$D$323,MATCH(B131,Anterior!$B$2:$B$323,0)+1,2),0)</f>
        <v>COFEPRIS</v>
      </c>
      <c r="L131" s="6" t="str">
        <f t="shared" si="1"/>
        <v>coinciden</v>
      </c>
      <c r="M131" s="2"/>
    </row>
    <row r="132" spans="1:16" ht="15.75" customHeight="1" x14ac:dyDescent="0.25">
      <c r="A132" s="6" t="s">
        <v>278</v>
      </c>
      <c r="B132" s="6" t="s">
        <v>279</v>
      </c>
      <c r="C132" s="7" t="str">
        <f>IF(ISERROR(LOOKUP(2^15,SEARCH(B132,'2023'!$B$3:$B$1734,1),'2023'!$A$3:$A$1734)),"NO","SI")</f>
        <v>SI</v>
      </c>
      <c r="D132" s="7" t="str">
        <f>IF(ISERROR(LOOKUP(2^15,SEARCH(B132,'2022'!$B$2:$B$1591,1),'2022'!$A$2:$A$1591)),"NO","SI")</f>
        <v>SI</v>
      </c>
      <c r="E132" s="7" t="str">
        <f>IF(ISERROR(LOOKUP(2^15,SEARCH(B132,'2021'!$B$2:$B$1494,1),'2021'!$A$2:$A$1494)),"NO","SI")</f>
        <v>SI</v>
      </c>
      <c r="F132" s="7" t="str">
        <f>IF(ISERROR(LOOKUP(2^15,SEARCH(B132,'2020'!$B$2:$B$1278,1),'2020'!$A$2:$A$1278)),"NO","SI")</f>
        <v>SI</v>
      </c>
      <c r="G132" s="7" t="str">
        <f>IF(ISERROR(LOOKUP(2^15,SEARCH(B132,'2019'!$B$2:$B$1108,1),'2019'!$A$2:$A$1108)),"NO","SI")</f>
        <v>SI</v>
      </c>
      <c r="H132" s="7" t="str">
        <f>IF(ISERROR(LOOKUP(2^15,SEARCH(B132,'2018'!$B$1:$B$1047,1),'2018'!$A$1:$A$1047)),"NO","SI")</f>
        <v>SI</v>
      </c>
      <c r="I132" s="8" t="str">
        <f>IF(ISERROR(LOOKUP(2^15,SEARCH(B132,'ALERTA SANITARIA'!$B$2:$B$269,1),'2018'!$A$1:$A$1047)),"NO","SI")</f>
        <v>NO</v>
      </c>
      <c r="J132" s="6" t="str">
        <f t="shared" si="0"/>
        <v>DOF</v>
      </c>
      <c r="K132" s="6" t="str">
        <f t="array" ref="K132">IFERROR(INDEX(Anterior!$C$1:$D$323,MATCH(B132,Anterior!$B$2:$B$323,0)+1,2),0)</f>
        <v>DOF</v>
      </c>
      <c r="L132" s="6" t="str">
        <f t="shared" si="1"/>
        <v>coinciden</v>
      </c>
      <c r="M132" s="2"/>
    </row>
    <row r="133" spans="1:16" ht="15.75" customHeight="1" x14ac:dyDescent="0.25">
      <c r="A133" s="6" t="s">
        <v>280</v>
      </c>
      <c r="B133" s="6" t="s">
        <v>281</v>
      </c>
      <c r="C133" s="7" t="str">
        <f>IF(ISERROR(LOOKUP(2^15,SEARCH(B133,'2023'!$B$3:$B$1734,1),'2023'!$A$3:$A$1734)),"NO","SI")</f>
        <v>NO</v>
      </c>
      <c r="D133" s="7" t="str">
        <f>IF(ISERROR(LOOKUP(2^15,SEARCH(B133,'2022'!$B$2:$B$1591,1),'2022'!$A$2:$A$1591)),"NO","SI")</f>
        <v>NO</v>
      </c>
      <c r="E133" s="7" t="str">
        <f>IF(ISERROR(LOOKUP(2^15,SEARCH(B133,'2021'!$B$2:$B$1494,1),'2021'!$A$2:$A$1494)),"NO","SI")</f>
        <v>NO</v>
      </c>
      <c r="F133" s="7" t="str">
        <f>IF(ISERROR(LOOKUP(2^15,SEARCH(B133,'2020'!$B$2:$B$1278,1),'2020'!$A$2:$A$1278)),"NO","SI")</f>
        <v>NO</v>
      </c>
      <c r="G133" s="7" t="str">
        <f>IF(ISERROR(LOOKUP(2^15,SEARCH(B133,'2019'!$B$2:$B$1108,1),'2019'!$A$2:$A$1108)),"NO","SI")</f>
        <v>NO</v>
      </c>
      <c r="H133" s="7" t="str">
        <f>IF(ISERROR(LOOKUP(2^15,SEARCH(B133,'2018'!$B$1:$B$1047,1),'2018'!$A$1:$A$1047)),"NO","SI")</f>
        <v>NO</v>
      </c>
      <c r="I133" s="8" t="str">
        <f>IF(ISERROR(LOOKUP(2^15,SEARCH(B133,'ALERTA SANITARIA'!$B$2:$B$269,1),'2018'!$A$1:$A$1047)),"NO","SI")</f>
        <v>SI</v>
      </c>
      <c r="J133" s="6" t="str">
        <f t="shared" si="0"/>
        <v>COFEPRIS</v>
      </c>
      <c r="K133" s="6" t="str">
        <f t="array" ref="K133">IFERROR(INDEX(Anterior!$C$1:$D$323,MATCH(B133,Anterior!$B$2:$B$323,0)+1,2),0)</f>
        <v>COFEPRIS</v>
      </c>
      <c r="L133" s="6" t="str">
        <f t="shared" si="1"/>
        <v>coinciden</v>
      </c>
      <c r="M133" s="2"/>
    </row>
    <row r="134" spans="1:16" ht="15.75" customHeight="1" x14ac:dyDescent="0.25">
      <c r="A134" s="6" t="s">
        <v>282</v>
      </c>
      <c r="B134" s="6" t="s">
        <v>283</v>
      </c>
      <c r="C134" s="7" t="str">
        <f>IF(ISERROR(LOOKUP(2^15,SEARCH(B134,'2023'!$B$3:$B$1734,1),'2023'!$A$3:$A$1734)),"NO","SI")</f>
        <v>NO</v>
      </c>
      <c r="D134" s="7" t="str">
        <f>IF(ISERROR(LOOKUP(2^15,SEARCH(B134,'2022'!$B$2:$B$1591,1),'2022'!$A$2:$A$1591)),"NO","SI")</f>
        <v>NO</v>
      </c>
      <c r="E134" s="7" t="str">
        <f>IF(ISERROR(LOOKUP(2^15,SEARCH(B134,'2021'!$B$2:$B$1494,1),'2021'!$A$2:$A$1494)),"NO","SI")</f>
        <v>NO</v>
      </c>
      <c r="F134" s="7" t="str">
        <f>IF(ISERROR(LOOKUP(2^15,SEARCH(B134,'2020'!$B$2:$B$1278,1),'2020'!$A$2:$A$1278)),"NO","SI")</f>
        <v>NO</v>
      </c>
      <c r="G134" s="7" t="str">
        <f>IF(ISERROR(LOOKUP(2^15,SEARCH(B134,'2019'!$B$2:$B$1108,1),'2019'!$A$2:$A$1108)),"NO","SI")</f>
        <v>NO</v>
      </c>
      <c r="H134" s="7" t="str">
        <f>IF(ISERROR(LOOKUP(2^15,SEARCH(B134,'2018'!$B$1:$B$1047,1),'2018'!$A$1:$A$1047)),"NO","SI")</f>
        <v>NO</v>
      </c>
      <c r="I134" s="8" t="str">
        <f>IF(ISERROR(LOOKUP(2^15,SEARCH(B134,'ALERTA SANITARIA'!$B$2:$B$269,1),'2018'!$A$1:$A$1047)),"NO","SI")</f>
        <v>SI</v>
      </c>
      <c r="J134" s="6" t="str">
        <f t="shared" si="0"/>
        <v>COFEPRIS</v>
      </c>
      <c r="K134" s="6" t="str">
        <f t="array" ref="K134">IFERROR(INDEX(Anterior!$C$1:$D$323,MATCH(B134,Anterior!$B$2:$B$323,0)+1,2),0)</f>
        <v>COFEPRIS</v>
      </c>
      <c r="L134" s="6" t="str">
        <f t="shared" si="1"/>
        <v>coinciden</v>
      </c>
      <c r="M134" s="2"/>
    </row>
    <row r="135" spans="1:16" ht="15.75" customHeight="1" x14ac:dyDescent="0.25">
      <c r="A135" s="6" t="s">
        <v>284</v>
      </c>
      <c r="B135" s="6" t="s">
        <v>285</v>
      </c>
      <c r="C135" s="7" t="str">
        <f>IF(ISERROR(LOOKUP(2^15,SEARCH(B135,'2023'!$B$3:$B$1734,1),'2023'!$A$3:$A$1734)),"NO","SI")</f>
        <v>NO</v>
      </c>
      <c r="D135" s="7" t="str">
        <f>IF(ISERROR(LOOKUP(2^15,SEARCH(B135,'2022'!$B$2:$B$1591,1),'2022'!$A$2:$A$1591)),"NO","SI")</f>
        <v>NO</v>
      </c>
      <c r="E135" s="7" t="str">
        <f>IF(ISERROR(LOOKUP(2^15,SEARCH(B135,'2021'!$B$2:$B$1494,1),'2021'!$A$2:$A$1494)),"NO","SI")</f>
        <v>NO</v>
      </c>
      <c r="F135" s="7" t="str">
        <f>IF(ISERROR(LOOKUP(2^15,SEARCH(B135,'2020'!$B$2:$B$1278,1),'2020'!$A$2:$A$1278)),"NO","SI")</f>
        <v>NO</v>
      </c>
      <c r="G135" s="7" t="str">
        <f>IF(ISERROR(LOOKUP(2^15,SEARCH(B135,'2019'!$B$2:$B$1108,1),'2019'!$A$2:$A$1108)),"NO","SI")</f>
        <v>NO</v>
      </c>
      <c r="H135" s="7" t="str">
        <f>IF(ISERROR(LOOKUP(2^15,SEARCH(B135,'2018'!$B$1:$B$1047,1),'2018'!$A$1:$A$1047)),"NO","SI")</f>
        <v>NO</v>
      </c>
      <c r="I135" s="8" t="str">
        <f>IF(ISERROR(LOOKUP(2^15,SEARCH(B135,'ALERTA SANITARIA'!$B$2:$B$269,1),'2018'!$A$1:$A$1047)),"NO","SI")</f>
        <v>SI</v>
      </c>
      <c r="J135" s="6" t="str">
        <f t="shared" si="0"/>
        <v>COFEPRIS</v>
      </c>
      <c r="K135" s="6" t="str">
        <f t="array" ref="K135">IFERROR(INDEX(Anterior!$C$1:$D$323,MATCH(B135,Anterior!$B$2:$B$323,0)+1,2),0)</f>
        <v>COFEPRIS</v>
      </c>
      <c r="L135" s="6" t="str">
        <f t="shared" si="1"/>
        <v>coinciden</v>
      </c>
      <c r="M135" s="2"/>
    </row>
    <row r="136" spans="1:16" ht="15.75" customHeight="1" x14ac:dyDescent="0.25">
      <c r="A136" s="6" t="s">
        <v>286</v>
      </c>
      <c r="B136" s="6" t="s">
        <v>287</v>
      </c>
      <c r="C136" s="7" t="str">
        <f>IF(ISERROR(LOOKUP(2^15,SEARCH(B136,'2023'!$B$3:$B$1734,1),'2023'!$A$3:$A$1734)),"NO","SI")</f>
        <v>NO</v>
      </c>
      <c r="D136" s="7" t="str">
        <f>IF(ISERROR(LOOKUP(2^15,SEARCH(B136,'2022'!$B$2:$B$1591,1),'2022'!$A$2:$A$1591)),"NO","SI")</f>
        <v>NO</v>
      </c>
      <c r="E136" s="7" t="str">
        <f>IF(ISERROR(LOOKUP(2^15,SEARCH(B136,'2021'!$B$2:$B$1494,1),'2021'!$A$2:$A$1494)),"NO","SI")</f>
        <v>NO</v>
      </c>
      <c r="F136" s="7" t="str">
        <f>IF(ISERROR(LOOKUP(2^15,SEARCH(B136,'2020'!$B$2:$B$1278,1),'2020'!$A$2:$A$1278)),"NO","SI")</f>
        <v>NO</v>
      </c>
      <c r="G136" s="7" t="str">
        <f>IF(ISERROR(LOOKUP(2^15,SEARCH(B136,'2019'!$B$2:$B$1108,1),'2019'!$A$2:$A$1108)),"NO","SI")</f>
        <v>NO</v>
      </c>
      <c r="H136" s="7" t="str">
        <f>IF(ISERROR(LOOKUP(2^15,SEARCH(B136,'2018'!$B$1:$B$1047,1),'2018'!$A$1:$A$1047)),"NO","SI")</f>
        <v>NO</v>
      </c>
      <c r="I136" s="8" t="str">
        <f>IF(ISERROR(LOOKUP(2^15,SEARCH(B136,'ALERTA SANITARIA'!$B$2:$B$269,1),'2018'!$A$1:$A$1047)),"NO","SI")</f>
        <v>SI</v>
      </c>
      <c r="J136" s="6" t="str">
        <f t="shared" si="0"/>
        <v>COFEPRIS</v>
      </c>
      <c r="K136" s="6" t="str">
        <f t="array" ref="K136">IFERROR(INDEX(Anterior!$C$1:$D$323,MATCH(B136,Anterior!$B$2:$B$323,0)+1,2),0)</f>
        <v>COFEPRIS</v>
      </c>
      <c r="L136" s="6" t="str">
        <f t="shared" si="1"/>
        <v>coinciden</v>
      </c>
      <c r="M136" s="2"/>
    </row>
    <row r="137" spans="1:16" ht="15.75" customHeight="1" x14ac:dyDescent="0.25">
      <c r="A137" s="6" t="s">
        <v>288</v>
      </c>
      <c r="B137" s="6" t="s">
        <v>289</v>
      </c>
      <c r="C137" s="7" t="str">
        <f>IF(ISERROR(LOOKUP(2^15,SEARCH(B137,'2023'!$B$3:$B$1734,1),'2023'!$A$3:$A$1734)),"NO","SI")</f>
        <v>SI</v>
      </c>
      <c r="D137" s="7" t="str">
        <f>IF(ISERROR(LOOKUP(2^15,SEARCH(B137,'2022'!$B$2:$B$1591,1),'2022'!$A$2:$A$1591)),"NO","SI")</f>
        <v>SI</v>
      </c>
      <c r="E137" s="7" t="str">
        <f>IF(ISERROR(LOOKUP(2^15,SEARCH(B137,'2021'!$B$2:$B$1494,1),'2021'!$A$2:$A$1494)),"NO","SI")</f>
        <v>SI</v>
      </c>
      <c r="F137" s="7" t="str">
        <f>IF(ISERROR(LOOKUP(2^15,SEARCH(B137,'2020'!$B$2:$B$1278,1),'2020'!$A$2:$A$1278)),"NO","SI")</f>
        <v>SI</v>
      </c>
      <c r="G137" s="7" t="str">
        <f>IF(ISERROR(LOOKUP(2^15,SEARCH(B137,'2019'!$B$2:$B$1108,1),'2019'!$A$2:$A$1108)),"NO","SI")</f>
        <v>SI</v>
      </c>
      <c r="H137" s="7" t="str">
        <f>IF(ISERROR(LOOKUP(2^15,SEARCH(B137,'2018'!$B$1:$B$1047,1),'2018'!$A$1:$A$1047)),"NO","SI")</f>
        <v>SI</v>
      </c>
      <c r="I137" s="8" t="str">
        <f>IF(ISERROR(LOOKUP(2^15,SEARCH(B137,'ALERTA SANITARIA'!$B$2:$B$269,1),'2018'!$A$1:$A$1047)),"NO","SI")</f>
        <v>SI</v>
      </c>
      <c r="J137" s="6" t="str">
        <f t="shared" si="0"/>
        <v>AMBOS</v>
      </c>
      <c r="K137" s="6" t="str">
        <f t="array" ref="K137">IFERROR(INDEX(Anterior!$C$1:$D$323,MATCH(B137,Anterior!$B$2:$B$323,0)+1,2),0)</f>
        <v>DOF</v>
      </c>
      <c r="L137" s="6" t="str">
        <f t="shared" si="1"/>
        <v>Discrepan</v>
      </c>
      <c r="M137" s="2" t="s">
        <v>14</v>
      </c>
    </row>
    <row r="138" spans="1:16" ht="15.75" customHeight="1" x14ac:dyDescent="0.25">
      <c r="A138" s="6" t="s">
        <v>290</v>
      </c>
      <c r="B138" s="6" t="s">
        <v>291</v>
      </c>
      <c r="C138" s="7" t="str">
        <f>IF(ISERROR(LOOKUP(2^15,SEARCH(B138,'2023'!$B$3:$B$1734,1),'2023'!$A$3:$A$1734)),"NO","SI")</f>
        <v>SI</v>
      </c>
      <c r="D138" s="7" t="str">
        <f>IF(ISERROR(LOOKUP(2^15,SEARCH(B138,'2022'!$B$2:$B$1591,1),'2022'!$A$2:$A$1591)),"NO","SI")</f>
        <v>SI</v>
      </c>
      <c r="E138" s="7" t="str">
        <f>IF(ISERROR(LOOKUP(2^15,SEARCH(B138,'2021'!$B$2:$B$1494,1),'2021'!$A$2:$A$1494)),"NO","SI")</f>
        <v>SI</v>
      </c>
      <c r="F138" s="7" t="str">
        <f>IF(ISERROR(LOOKUP(2^15,SEARCH(B138,'2020'!$B$2:$B$1278,1),'2020'!$A$2:$A$1278)),"NO","SI")</f>
        <v>SI</v>
      </c>
      <c r="G138" s="7" t="str">
        <f>IF(ISERROR(LOOKUP(2^15,SEARCH(B138,'2019'!$B$2:$B$1108,1),'2019'!$A$2:$A$1108)),"NO","SI")</f>
        <v>SI</v>
      </c>
      <c r="H138" s="7" t="s">
        <v>14</v>
      </c>
      <c r="I138" s="8" t="str">
        <f>IF(ISERROR(LOOKUP(2^15,SEARCH(B138,'ALERTA SANITARIA'!$B$2:$B$269,1),'2018'!$A$1:$A$1047)),"NO","SI")</f>
        <v>SI</v>
      </c>
      <c r="J138" s="6" t="str">
        <f t="shared" si="0"/>
        <v>AMBOS</v>
      </c>
      <c r="K138" s="6">
        <f t="array" ref="K138">IFERROR(INDEX(Anterior!$C$1:$D$323,MATCH(B138,Anterior!$B$2:$B$323,0)+1,2),0)</f>
        <v>0</v>
      </c>
      <c r="L138" s="6" t="str">
        <f t="shared" si="1"/>
        <v>Nuevo</v>
      </c>
      <c r="M138" s="2"/>
    </row>
    <row r="139" spans="1:16" ht="15.75" customHeight="1" x14ac:dyDescent="0.25">
      <c r="A139" s="6" t="s">
        <v>292</v>
      </c>
      <c r="B139" s="6" t="s">
        <v>293</v>
      </c>
      <c r="C139" s="7" t="s">
        <v>14</v>
      </c>
      <c r="D139" s="7" t="s">
        <v>14</v>
      </c>
      <c r="E139" s="7" t="s">
        <v>14</v>
      </c>
      <c r="F139" s="7" t="str">
        <f>IF(ISERROR(LOOKUP(2^15,SEARCH(B139,'2020'!$B$2:$B$1278,1),'2020'!$A$2:$A$1278)),"NO","SI")</f>
        <v>NO</v>
      </c>
      <c r="G139" s="7" t="str">
        <f>IF(ISERROR(LOOKUP(2^15,SEARCH(B139,'2019'!$B$2:$B$1108,1),'2019'!$A$2:$A$1108)),"NO","SI")</f>
        <v>NO</v>
      </c>
      <c r="H139" s="7" t="str">
        <f>IF(ISERROR(LOOKUP(2^15,SEARCH(B139,'2018'!$B$1:$B$1047,1),'2018'!$A$1:$A$1047)),"NO","SI")</f>
        <v>NO</v>
      </c>
      <c r="I139" s="8" t="str">
        <f>IF(ISERROR(LOOKUP(2^15,SEARCH(B139,'ALERTA SANITARIA'!$B$2:$B$269,1),'2018'!$A$1:$A$1047)),"NO","SI")</f>
        <v>SI</v>
      </c>
      <c r="J139" s="6" t="str">
        <f t="shared" si="0"/>
        <v>COFEPRIS</v>
      </c>
      <c r="K139" s="6" t="str">
        <f t="array" ref="K139">IFERROR(INDEX(Anterior!$C$1:$D$323,MATCH(B139,Anterior!$B$2:$B$323,0)+1,2),0)</f>
        <v>COFEPRIS</v>
      </c>
      <c r="L139" s="6" t="str">
        <f t="shared" si="1"/>
        <v>coinciden</v>
      </c>
      <c r="M139" s="2"/>
      <c r="P139" s="6" t="s">
        <v>294</v>
      </c>
    </row>
    <row r="140" spans="1:16" ht="15.75" customHeight="1" x14ac:dyDescent="0.25">
      <c r="A140" s="6" t="s">
        <v>295</v>
      </c>
      <c r="B140" s="6" t="s">
        <v>296</v>
      </c>
      <c r="C140" s="7" t="str">
        <f>IF(ISERROR(LOOKUP(2^15,SEARCH(B140,'2023'!$B$3:$B$1734,1),'2023'!$A$3:$A$1734)),"NO","SI")</f>
        <v>NO</v>
      </c>
      <c r="D140" s="7" t="str">
        <f>IF(ISERROR(LOOKUP(2^15,SEARCH(B140,'2022'!$B$2:$B$1591,1),'2022'!$A$2:$A$1591)),"NO","SI")</f>
        <v>NO</v>
      </c>
      <c r="E140" s="7" t="str">
        <f>IF(ISERROR(LOOKUP(2^15,SEARCH(B140,'2021'!$B$2:$B$1494,1),'2021'!$A$2:$A$1494)),"NO","SI")</f>
        <v>NO</v>
      </c>
      <c r="F140" s="7" t="str">
        <f>IF(ISERROR(LOOKUP(2^15,SEARCH(B140,'2020'!$B$2:$B$1278,1),'2020'!$A$2:$A$1278)),"NO","SI")</f>
        <v>NO</v>
      </c>
      <c r="G140" s="7" t="str">
        <f>IF(ISERROR(LOOKUP(2^15,SEARCH(B140,'2019'!$B$2:$B$1108,1),'2019'!$A$2:$A$1108)),"NO","SI")</f>
        <v>NO</v>
      </c>
      <c r="H140" s="7" t="str">
        <f>IF(ISERROR(LOOKUP(2^15,SEARCH(B140,'2018'!$B$1:$B$1047,1),'2018'!$A$1:$A$1047)),"NO","SI")</f>
        <v>NO</v>
      </c>
      <c r="I140" s="8" t="str">
        <f>IF(ISERROR(LOOKUP(2^15,SEARCH(B140,'ALERTA SANITARIA'!$B$2:$B$269,1),'2018'!$A$1:$A$1047)),"NO","SI")</f>
        <v>SI</v>
      </c>
      <c r="J140" s="6" t="str">
        <f t="shared" si="0"/>
        <v>COFEPRIS</v>
      </c>
      <c r="K140" s="6" t="str">
        <f t="array" ref="K140">IFERROR(INDEX(Anterior!$C$1:$D$323,MATCH(B140,Anterior!$B$2:$B$323,0)+1,2),0)</f>
        <v>COFEPRIS</v>
      </c>
      <c r="L140" s="6" t="str">
        <f t="shared" si="1"/>
        <v>coinciden</v>
      </c>
      <c r="M140" s="2"/>
    </row>
    <row r="141" spans="1:16" ht="15.75" customHeight="1" x14ac:dyDescent="0.25">
      <c r="A141" s="6" t="s">
        <v>297</v>
      </c>
      <c r="B141" s="6" t="s">
        <v>298</v>
      </c>
      <c r="C141" s="7" t="str">
        <f>IF(ISERROR(LOOKUP(2^15,SEARCH(B141,'2023'!$B$3:$B$1734,1),'2023'!$A$3:$A$1734)),"NO","SI")</f>
        <v>NO</v>
      </c>
      <c r="D141" s="7" t="str">
        <f>IF(ISERROR(LOOKUP(2^15,SEARCH(B141,'2022'!$B$2:$B$1591,1),'2022'!$A$2:$A$1591)),"NO","SI")</f>
        <v>NO</v>
      </c>
      <c r="E141" s="7" t="str">
        <f>IF(ISERROR(LOOKUP(2^15,SEARCH(B141,'2021'!$B$2:$B$1494,1),'2021'!$A$2:$A$1494)),"NO","SI")</f>
        <v>NO</v>
      </c>
      <c r="F141" s="7" t="str">
        <f>IF(ISERROR(LOOKUP(2^15,SEARCH(B141,'2020'!$B$2:$B$1278,1),'2020'!$A$2:$A$1278)),"NO","SI")</f>
        <v>NO</v>
      </c>
      <c r="G141" s="7" t="str">
        <f>IF(ISERROR(LOOKUP(2^15,SEARCH(B141,'2019'!$B$2:$B$1108,1),'2019'!$A$2:$A$1108)),"NO","SI")</f>
        <v>NO</v>
      </c>
      <c r="H141" s="7" t="str">
        <f>IF(ISERROR(LOOKUP(2^15,SEARCH(B141,'2018'!$B$1:$B$1047,1),'2018'!$A$1:$A$1047)),"NO","SI")</f>
        <v>NO</v>
      </c>
      <c r="I141" s="8" t="str">
        <f>IF(ISERROR(LOOKUP(2^15,SEARCH(B141,'ALERTA SANITARIA'!$B$2:$B$269,1),'2018'!$A$1:$A$1047)),"NO","SI")</f>
        <v>SI</v>
      </c>
      <c r="J141" s="6" t="str">
        <f t="shared" si="0"/>
        <v>COFEPRIS</v>
      </c>
      <c r="K141" s="6" t="str">
        <f t="array" ref="K141">IFERROR(INDEX(Anterior!$C$1:$D$323,MATCH(B141,Anterior!$B$2:$B$323,0)+1,2),0)</f>
        <v>COFEPRIS</v>
      </c>
      <c r="L141" s="6" t="str">
        <f t="shared" si="1"/>
        <v>coinciden</v>
      </c>
      <c r="M141" s="2"/>
    </row>
    <row r="142" spans="1:16" ht="15.75" customHeight="1" x14ac:dyDescent="0.25">
      <c r="A142" s="6" t="s">
        <v>299</v>
      </c>
      <c r="B142" s="6" t="s">
        <v>300</v>
      </c>
      <c r="C142" s="7" t="str">
        <f>IF(ISERROR(LOOKUP(2^15,SEARCH(B142,'2023'!$B$3:$B$1734,1),'2023'!$A$3:$A$1734)),"NO","SI")</f>
        <v>SI</v>
      </c>
      <c r="D142" s="7" t="str">
        <f>IF(ISERROR(LOOKUP(2^15,SEARCH(B142,'2022'!$B$2:$B$1591,1),'2022'!$A$2:$A$1591)),"NO","SI")</f>
        <v>SI</v>
      </c>
      <c r="E142" s="7" t="str">
        <f>IF(ISERROR(LOOKUP(2^15,SEARCH(B142,'2021'!$B$2:$B$1494,1),'2021'!$A$2:$A$1494)),"NO","SI")</f>
        <v>SI</v>
      </c>
      <c r="F142" s="7" t="str">
        <f>IF(ISERROR(LOOKUP(2^15,SEARCH(B142,'2020'!$B$2:$B$1278,1),'2020'!$A$2:$A$1278)),"NO","SI")</f>
        <v>SI</v>
      </c>
      <c r="G142" s="7" t="str">
        <f>IF(ISERROR(LOOKUP(2^15,SEARCH(B142,'2019'!$B$2:$B$1108,1),'2019'!$A$2:$A$1108)),"NO","SI")</f>
        <v>SI</v>
      </c>
      <c r="H142" s="7" t="str">
        <f>IF(ISERROR(LOOKUP(2^15,SEARCH(B142,'2018'!$B$1:$B$1047,1),'2018'!$A$1:$A$1047)),"NO","SI")</f>
        <v>SI</v>
      </c>
      <c r="I142" s="8" t="str">
        <f>IF(ISERROR(LOOKUP(2^15,SEARCH(B142,'ALERTA SANITARIA'!$B$2:$B$269,1),'2018'!$A$1:$A$1047)),"NO","SI")</f>
        <v>NO</v>
      </c>
      <c r="J142" s="6" t="str">
        <f t="shared" si="0"/>
        <v>DOF</v>
      </c>
      <c r="K142" s="6" t="str">
        <f t="array" ref="K142">IFERROR(INDEX(Anterior!$C$1:$D$323,MATCH(B142,Anterior!$B$2:$B$323,0)+1,2),0)</f>
        <v>DOF</v>
      </c>
      <c r="L142" s="6" t="str">
        <f t="shared" si="1"/>
        <v>coinciden</v>
      </c>
      <c r="M142" s="2"/>
    </row>
    <row r="143" spans="1:16" ht="15.75" customHeight="1" x14ac:dyDescent="0.25">
      <c r="A143" s="6" t="s">
        <v>301</v>
      </c>
      <c r="B143" s="6" t="s">
        <v>302</v>
      </c>
      <c r="C143" s="7" t="str">
        <f>IF(ISERROR(LOOKUP(2^15,SEARCH(B143,'2023'!$B$3:$B$1734,1),'2023'!$A$3:$A$1734)),"NO","SI")</f>
        <v>SI</v>
      </c>
      <c r="D143" s="7" t="str">
        <f>IF(ISERROR(LOOKUP(2^15,SEARCH(B143,'2022'!$B$2:$B$1591,1),'2022'!$A$2:$A$1591)),"NO","SI")</f>
        <v>SI</v>
      </c>
      <c r="E143" s="7" t="str">
        <f>IF(ISERROR(LOOKUP(2^15,SEARCH(B143,'2021'!$B$2:$B$1494,1),'2021'!$A$2:$A$1494)),"NO","SI")</f>
        <v>SI</v>
      </c>
      <c r="F143" s="7" t="str">
        <f>IF(ISERROR(LOOKUP(2^15,SEARCH(B143,'2020'!$B$2:$B$1278,1),'2020'!$A$2:$A$1278)),"NO","SI")</f>
        <v>SI</v>
      </c>
      <c r="G143" s="7" t="str">
        <f>IF(ISERROR(LOOKUP(2^15,SEARCH(B143,'2019'!$B$2:$B$1108,1),'2019'!$A$2:$A$1108)),"NO","SI")</f>
        <v>SI</v>
      </c>
      <c r="H143" s="7" t="str">
        <f>IF(ISERROR(LOOKUP(2^15,SEARCH(B143,'2018'!$B$1:$B$1047,1),'2018'!$A$1:$A$1047)),"NO","SI")</f>
        <v>SI</v>
      </c>
      <c r="I143" s="8" t="str">
        <f>IF(ISERROR(LOOKUP(2^15,SEARCH(B143,'ALERTA SANITARIA'!$B$2:$B$269,1),'2018'!$A$1:$A$1047)),"NO","SI")</f>
        <v>NO</v>
      </c>
      <c r="J143" s="6" t="str">
        <f t="shared" si="0"/>
        <v>DOF</v>
      </c>
      <c r="K143" s="6" t="str">
        <f t="array" ref="K143">IFERROR(INDEX(Anterior!$C$1:$D$323,MATCH(B143,Anterior!$B$2:$B$323,0)+1,2),0)</f>
        <v>DOF</v>
      </c>
      <c r="L143" s="6" t="str">
        <f t="shared" si="1"/>
        <v>coinciden</v>
      </c>
      <c r="M143" s="2"/>
    </row>
    <row r="144" spans="1:16" ht="15.75" customHeight="1" x14ac:dyDescent="0.25">
      <c r="A144" s="6" t="s">
        <v>303</v>
      </c>
      <c r="B144" s="6" t="s">
        <v>304</v>
      </c>
      <c r="C144" s="7" t="str">
        <f>IF(ISERROR(LOOKUP(2^15,SEARCH(B144,'2023'!$B$3:$B$1734,1),'2023'!$A$3:$A$1734)),"NO","SI")</f>
        <v>NO</v>
      </c>
      <c r="D144" s="7" t="str">
        <f>IF(ISERROR(LOOKUP(2^15,SEARCH(B144,'2022'!$B$2:$B$1591,1),'2022'!$A$2:$A$1591)),"NO","SI")</f>
        <v>NO</v>
      </c>
      <c r="E144" s="7" t="str">
        <f>IF(ISERROR(LOOKUP(2^15,SEARCH(B144,'2021'!$B$2:$B$1494,1),'2021'!$A$2:$A$1494)),"NO","SI")</f>
        <v>NO</v>
      </c>
      <c r="F144" s="7" t="str">
        <f>IF(ISERROR(LOOKUP(2^15,SEARCH(B144,'2020'!$B$2:$B$1278,1),'2020'!$A$2:$A$1278)),"NO","SI")</f>
        <v>NO</v>
      </c>
      <c r="G144" s="7" t="str">
        <f>IF(ISERROR(LOOKUP(2^15,SEARCH(B144,'2019'!$B$2:$B$1108,1),'2019'!$A$2:$A$1108)),"NO","SI")</f>
        <v>NO</v>
      </c>
      <c r="H144" s="7" t="str">
        <f>IF(ISERROR(LOOKUP(2^15,SEARCH(B144,'2018'!$B$1:$B$1047,1),'2018'!$A$1:$A$1047)),"NO","SI")</f>
        <v>NO</v>
      </c>
      <c r="I144" s="8" t="str">
        <f>IF(ISERROR(LOOKUP(2^15,SEARCH(B144,'ALERTA SANITARIA'!$B$2:$B$269,1),'2018'!$A$1:$A$1047)),"NO","SI")</f>
        <v>NO</v>
      </c>
      <c r="J144" s="6" t="str">
        <f t="shared" si="0"/>
        <v>Ninguno</v>
      </c>
      <c r="K144" s="6">
        <f t="array" ref="K144">IFERROR(INDEX(Anterior!$C$1:$D$323,MATCH(B144,Anterior!$B$2:$B$323,0)+1,2),0)</f>
        <v>0</v>
      </c>
      <c r="L144" s="6" t="str">
        <f t="shared" si="1"/>
        <v>Nuevo</v>
      </c>
      <c r="M144" s="2" t="s">
        <v>14</v>
      </c>
    </row>
    <row r="145" spans="1:13" ht="15.75" customHeight="1" x14ac:dyDescent="0.25">
      <c r="A145" s="6" t="s">
        <v>305</v>
      </c>
      <c r="B145" s="6" t="s">
        <v>306</v>
      </c>
      <c r="C145" s="7" t="str">
        <f>IF(ISERROR(LOOKUP(2^15,SEARCH(B145,'2023'!$B$3:$B$1734,1),'2023'!$A$3:$A$1734)),"NO","SI")</f>
        <v>NO</v>
      </c>
      <c r="D145" s="7" t="str">
        <f>IF(ISERROR(LOOKUP(2^15,SEARCH(B145,'2022'!$B$2:$B$1591,1),'2022'!$A$2:$A$1591)),"NO","SI")</f>
        <v>NO</v>
      </c>
      <c r="E145" s="7" t="str">
        <f>IF(ISERROR(LOOKUP(2^15,SEARCH(B145,'2021'!$B$2:$B$1494,1),'2021'!$A$2:$A$1494)),"NO","SI")</f>
        <v>NO</v>
      </c>
      <c r="F145" s="7" t="str">
        <f>IF(ISERROR(LOOKUP(2^15,SEARCH(B145,'2020'!$B$2:$B$1278,1),'2020'!$A$2:$A$1278)),"NO","SI")</f>
        <v>NO</v>
      </c>
      <c r="G145" s="7" t="str">
        <f>IF(ISERROR(LOOKUP(2^15,SEARCH(B145,'2019'!$B$2:$B$1108,1),'2019'!$A$2:$A$1108)),"NO","SI")</f>
        <v>NO</v>
      </c>
      <c r="H145" s="7" t="str">
        <f>IF(ISERROR(LOOKUP(2^15,SEARCH(B145,'2018'!$B$1:$B$1047,1),'2018'!$A$1:$A$1047)),"NO","SI")</f>
        <v>NO</v>
      </c>
      <c r="I145" s="8" t="str">
        <f>IF(ISERROR(LOOKUP(2^15,SEARCH(B145,'ALERTA SANITARIA'!$B$2:$B$269,1),'2018'!$A$1:$A$1047)),"NO","SI")</f>
        <v>SI</v>
      </c>
      <c r="J145" s="6" t="str">
        <f t="shared" si="0"/>
        <v>COFEPRIS</v>
      </c>
      <c r="K145" s="6" t="str">
        <f t="array" ref="K145">IFERROR(INDEX(Anterior!$C$1:$D$323,MATCH(B145,Anterior!$B$2:$B$323,0)+1,2),0)</f>
        <v>COFEPRIS</v>
      </c>
      <c r="L145" s="6" t="str">
        <f t="shared" si="1"/>
        <v>coinciden</v>
      </c>
      <c r="M145" s="2"/>
    </row>
    <row r="146" spans="1:13" ht="15.75" customHeight="1" x14ac:dyDescent="0.25">
      <c r="A146" s="6" t="s">
        <v>307</v>
      </c>
      <c r="B146" s="6" t="s">
        <v>308</v>
      </c>
      <c r="C146" s="7" t="str">
        <f>IF(ISERROR(LOOKUP(2^15,SEARCH(B146,'2023'!$B$3:$B$1734,1),'2023'!$A$3:$A$1734)),"NO","SI")</f>
        <v>NO</v>
      </c>
      <c r="D146" s="7" t="str">
        <f>IF(ISERROR(LOOKUP(2^15,SEARCH(B146,'2022'!$B$2:$B$1591,1),'2022'!$A$2:$A$1591)),"NO","SI")</f>
        <v>NO</v>
      </c>
      <c r="E146" s="7" t="str">
        <f>IF(ISERROR(LOOKUP(2^15,SEARCH(B146,'2021'!$B$2:$B$1494,1),'2021'!$A$2:$A$1494)),"NO","SI")</f>
        <v>NO</v>
      </c>
      <c r="F146" s="7" t="str">
        <f>IF(ISERROR(LOOKUP(2^15,SEARCH(B146,'2020'!$B$2:$B$1278,1),'2020'!$A$2:$A$1278)),"NO","SI")</f>
        <v>NO</v>
      </c>
      <c r="G146" s="7" t="str">
        <f>IF(ISERROR(LOOKUP(2^15,SEARCH(B146,'2019'!$B$2:$B$1108,1),'2019'!$A$2:$A$1108)),"NO","SI")</f>
        <v>NO</v>
      </c>
      <c r="H146" s="7" t="str">
        <f>IF(ISERROR(LOOKUP(2^15,SEARCH(B146,'2018'!$B$1:$B$1047,1),'2018'!$A$1:$A$1047)),"NO","SI")</f>
        <v>NO</v>
      </c>
      <c r="I146" s="8" t="str">
        <f>IF(ISERROR(LOOKUP(2^15,SEARCH(B146,'ALERTA SANITARIA'!$B$2:$B$269,1),'2018'!$A$1:$A$1047)),"NO","SI")</f>
        <v>SI</v>
      </c>
      <c r="J146" s="6" t="str">
        <f t="shared" si="0"/>
        <v>COFEPRIS</v>
      </c>
      <c r="K146" s="6" t="str">
        <f t="array" ref="K146">IFERROR(INDEX(Anterior!$C$1:$D$323,MATCH(B146,Anterior!$B$2:$B$323,0)+1,2),0)</f>
        <v>COFEPRIS</v>
      </c>
      <c r="L146" s="6" t="str">
        <f t="shared" si="1"/>
        <v>coinciden</v>
      </c>
      <c r="M146" s="2"/>
    </row>
    <row r="147" spans="1:13" ht="15.75" customHeight="1" x14ac:dyDescent="0.25">
      <c r="A147" s="6" t="s">
        <v>309</v>
      </c>
      <c r="B147" s="6" t="s">
        <v>310</v>
      </c>
      <c r="C147" s="7" t="str">
        <f>IF(ISERROR(LOOKUP(2^15,SEARCH(B147,'2023'!$B$3:$B$1734,1),'2023'!$A$3:$A$1734)),"NO","SI")</f>
        <v>SI</v>
      </c>
      <c r="D147" s="7" t="str">
        <f>IF(ISERROR(LOOKUP(2^15,SEARCH(B147,'2022'!$B$2:$B$1591,1),'2022'!$A$2:$A$1591)),"NO","SI")</f>
        <v>SI</v>
      </c>
      <c r="E147" s="7" t="str">
        <f>IF(ISERROR(LOOKUP(2^15,SEARCH(B147,'2021'!$B$2:$B$1494,1),'2021'!$A$2:$A$1494)),"NO","SI")</f>
        <v>SI</v>
      </c>
      <c r="F147" s="7" t="str">
        <f>IF(ISERROR(LOOKUP(2^15,SEARCH(B147,'2020'!$B$2:$B$1278,1),'2020'!$A$2:$A$1278)),"NO","SI")</f>
        <v>SI</v>
      </c>
      <c r="G147" s="7" t="str">
        <f>IF(ISERROR(LOOKUP(2^15,SEARCH(B147,'2019'!$B$2:$B$1108,1),'2019'!$A$2:$A$1108)),"NO","SI")</f>
        <v>SI</v>
      </c>
      <c r="H147" s="7" t="str">
        <f>IF(ISERROR(LOOKUP(2^15,SEARCH(B147,'2018'!$B$1:$B$1047,1),'2018'!$A$1:$A$1047)),"NO","SI")</f>
        <v>SI</v>
      </c>
      <c r="I147" s="8" t="str">
        <f>IF(ISERROR(LOOKUP(2^15,SEARCH(B147,'ALERTA SANITARIA'!$B$2:$B$269,1),'2018'!$A$1:$A$1047)),"NO","SI")</f>
        <v>NO</v>
      </c>
      <c r="J147" s="6" t="str">
        <f t="shared" si="0"/>
        <v>DOF</v>
      </c>
      <c r="K147" s="6" t="str">
        <f t="array" ref="K147">IFERROR(INDEX(Anterior!$C$1:$D$323,MATCH(B147,Anterior!$B$2:$B$323,0)+1,2),0)</f>
        <v>DOF</v>
      </c>
      <c r="L147" s="6" t="str">
        <f t="shared" si="1"/>
        <v>coinciden</v>
      </c>
      <c r="M147" s="2"/>
    </row>
    <row r="148" spans="1:13" ht="15.75" customHeight="1" x14ac:dyDescent="0.25">
      <c r="A148" s="6" t="s">
        <v>311</v>
      </c>
      <c r="B148" s="6" t="s">
        <v>312</v>
      </c>
      <c r="C148" s="7" t="str">
        <f>IF(ISERROR(LOOKUP(2^15,SEARCH(B148,'2023'!$B$3:$B$1734,1),'2023'!$A$3:$A$1734)),"NO","SI")</f>
        <v>NO</v>
      </c>
      <c r="D148" s="7" t="str">
        <f>IF(ISERROR(LOOKUP(2^15,SEARCH(B148,'2022'!$B$2:$B$1591,1),'2022'!$A$2:$A$1591)),"NO","SI")</f>
        <v>NO</v>
      </c>
      <c r="E148" s="7" t="str">
        <f>IF(ISERROR(LOOKUP(2^15,SEARCH(B148,'2021'!$B$2:$B$1494,1),'2021'!$A$2:$A$1494)),"NO","SI")</f>
        <v>NO</v>
      </c>
      <c r="F148" s="7" t="str">
        <f>IF(ISERROR(LOOKUP(2^15,SEARCH(B148,'2020'!$B$2:$B$1278,1),'2020'!$A$2:$A$1278)),"NO","SI")</f>
        <v>NO</v>
      </c>
      <c r="G148" s="7" t="str">
        <f>IF(ISERROR(LOOKUP(2^15,SEARCH(B148,'2019'!$B$2:$B$1108,1),'2019'!$A$2:$A$1108)),"NO","SI")</f>
        <v>NO</v>
      </c>
      <c r="H148" s="7" t="str">
        <f>IF(ISERROR(LOOKUP(2^15,SEARCH(B148,'2018'!$B$1:$B$1047,1),'2018'!$A$1:$A$1047)),"NO","SI")</f>
        <v>NO</v>
      </c>
      <c r="I148" s="8" t="str">
        <f>IF(ISERROR(LOOKUP(2^15,SEARCH(B148,'ALERTA SANITARIA'!$B$2:$B$269,1),'2018'!$A$1:$A$1047)),"NO","SI")</f>
        <v>SI</v>
      </c>
      <c r="J148" s="6" t="str">
        <f t="shared" si="0"/>
        <v>COFEPRIS</v>
      </c>
      <c r="K148" s="6" t="str">
        <f t="array" ref="K148">IFERROR(INDEX(Anterior!$C$1:$D$323,MATCH(B148,Anterior!$B$2:$B$323,0)+1,2),0)</f>
        <v>COFEPRIS</v>
      </c>
      <c r="L148" s="6" t="str">
        <f t="shared" si="1"/>
        <v>coinciden</v>
      </c>
      <c r="M148" s="2"/>
    </row>
    <row r="149" spans="1:13" ht="15.75" customHeight="1" x14ac:dyDescent="0.25">
      <c r="A149" s="6" t="s">
        <v>313</v>
      </c>
      <c r="B149" s="6" t="s">
        <v>314</v>
      </c>
      <c r="C149" s="7" t="str">
        <f>IF(ISERROR(LOOKUP(2^15,SEARCH(B149,'2023'!$B$3:$B$1734,1),'2023'!$A$3:$A$1734)),"NO","SI")</f>
        <v>NO</v>
      </c>
      <c r="D149" s="7" t="str">
        <f>IF(ISERROR(LOOKUP(2^15,SEARCH(B149,'2022'!$B$2:$B$1591,1),'2022'!$A$2:$A$1591)),"NO","SI")</f>
        <v>NO</v>
      </c>
      <c r="E149" s="7" t="str">
        <f>IF(ISERROR(LOOKUP(2^15,SEARCH(B149,'2021'!$B$2:$B$1494,1),'2021'!$A$2:$A$1494)),"NO","SI")</f>
        <v>NO</v>
      </c>
      <c r="F149" s="7" t="str">
        <f>IF(ISERROR(LOOKUP(2^15,SEARCH(B149,'2020'!$B$2:$B$1278,1),'2020'!$A$2:$A$1278)),"NO","SI")</f>
        <v>NO</v>
      </c>
      <c r="G149" s="7" t="str">
        <f>IF(ISERROR(LOOKUP(2^15,SEARCH(B149,'2019'!$B$2:$B$1108,1),'2019'!$A$2:$A$1108)),"NO","SI")</f>
        <v>NO</v>
      </c>
      <c r="H149" s="7" t="str">
        <f>IF(ISERROR(LOOKUP(2^15,SEARCH(B149,'2018'!$B$1:$B$1047,1),'2018'!$A$1:$A$1047)),"NO","SI")</f>
        <v>NO</v>
      </c>
      <c r="I149" s="8" t="str">
        <f>IF(ISERROR(LOOKUP(2^15,SEARCH(B149,'ALERTA SANITARIA'!$B$2:$B$269,1),'2018'!$A$1:$A$1047)),"NO","SI")</f>
        <v>SI</v>
      </c>
      <c r="J149" s="6" t="str">
        <f t="shared" si="0"/>
        <v>COFEPRIS</v>
      </c>
      <c r="K149" s="6" t="str">
        <f t="array" ref="K149">IFERROR(INDEX(Anterior!$C$1:$D$323,MATCH(B149,Anterior!$B$2:$B$323,0)+1,2),0)</f>
        <v>COFEPRIS</v>
      </c>
      <c r="L149" s="6" t="str">
        <f t="shared" si="1"/>
        <v>coinciden</v>
      </c>
      <c r="M149" s="2"/>
    </row>
    <row r="150" spans="1:13" ht="15.75" customHeight="1" x14ac:dyDescent="0.25">
      <c r="A150" s="6" t="s">
        <v>315</v>
      </c>
      <c r="B150" s="6" t="s">
        <v>316</v>
      </c>
      <c r="C150" s="7" t="str">
        <f>IF(ISERROR(LOOKUP(2^15,SEARCH(B150,'2023'!$B$3:$B$1734,1),'2023'!$A$3:$A$1734)),"NO","SI")</f>
        <v>SI</v>
      </c>
      <c r="D150" s="7" t="str">
        <f>IF(ISERROR(LOOKUP(2^15,SEARCH(B150,'2022'!$B$2:$B$1591,1),'2022'!$A$2:$A$1591)),"NO","SI")</f>
        <v>SI</v>
      </c>
      <c r="E150" s="7" t="str">
        <f>IF(ISERROR(LOOKUP(2^15,SEARCH(B150,'2021'!$B$2:$B$1494,1),'2021'!$A$2:$A$1494)),"NO","SI")</f>
        <v>SI</v>
      </c>
      <c r="F150" s="7" t="str">
        <f>IF(ISERROR(LOOKUP(2^15,SEARCH(B150,'2020'!$B$2:$B$1278,1),'2020'!$A$2:$A$1278)),"NO","SI")</f>
        <v>SI</v>
      </c>
      <c r="G150" s="7" t="str">
        <f>IF(ISERROR(LOOKUP(2^15,SEARCH(B150,'2019'!$B$2:$B$1108,1),'2019'!$A$2:$A$1108)),"NO","SI")</f>
        <v>SI</v>
      </c>
      <c r="H150" s="7" t="str">
        <f>IF(ISERROR(LOOKUP(2^15,SEARCH(B150,'2018'!$B$1:$B$1047,1),'2018'!$A$1:$A$1047)),"NO","SI")</f>
        <v>SI</v>
      </c>
      <c r="I150" s="8" t="str">
        <f>IF(ISERROR(LOOKUP(2^15,SEARCH(B150,'ALERTA SANITARIA'!$B$2:$B$269,1),'2018'!$A$1:$A$1047)),"NO","SI")</f>
        <v>NO</v>
      </c>
      <c r="J150" s="6" t="str">
        <f t="shared" si="0"/>
        <v>DOF</v>
      </c>
      <c r="K150" s="6" t="str">
        <f t="array" ref="K150">IFERROR(INDEX(Anterior!$C$1:$D$323,MATCH(B150,Anterior!$B$2:$B$323,0)+1,2),0)</f>
        <v>DOF</v>
      </c>
      <c r="L150" s="6" t="str">
        <f t="shared" si="1"/>
        <v>coinciden</v>
      </c>
      <c r="M150" s="2"/>
    </row>
    <row r="151" spans="1:13" ht="15.75" customHeight="1" x14ac:dyDescent="0.25">
      <c r="A151" s="6" t="s">
        <v>317</v>
      </c>
      <c r="B151" s="6" t="s">
        <v>318</v>
      </c>
      <c r="C151" s="7" t="str">
        <f>IF(ISERROR(LOOKUP(2^15,SEARCH(B151,'2023'!$B$3:$B$1734,1),'2023'!$A$3:$A$1734)),"NO","SI")</f>
        <v>NO</v>
      </c>
      <c r="D151" s="7" t="str">
        <f>IF(ISERROR(LOOKUP(2^15,SEARCH(B151,'2022'!$B$2:$B$1591,1),'2022'!$A$2:$A$1591)),"NO","SI")</f>
        <v>NO</v>
      </c>
      <c r="E151" s="7" t="str">
        <f>IF(ISERROR(LOOKUP(2^15,SEARCH(B151,'2021'!$B$2:$B$1494,1),'2021'!$A$2:$A$1494)),"NO","SI")</f>
        <v>NO</v>
      </c>
      <c r="F151" s="7" t="str">
        <f>IF(ISERROR(LOOKUP(2^15,SEARCH(B151,'2020'!$B$2:$B$1278,1),'2020'!$A$2:$A$1278)),"NO","SI")</f>
        <v>NO</v>
      </c>
      <c r="G151" s="7" t="str">
        <f>IF(ISERROR(LOOKUP(2^15,SEARCH(B151,'2019'!$B$2:$B$1108,1),'2019'!$A$2:$A$1108)),"NO","SI")</f>
        <v>NO</v>
      </c>
      <c r="H151" s="7" t="str">
        <f>IF(ISERROR(LOOKUP(2^15,SEARCH(B151,'2018'!$B$1:$B$1047,1),'2018'!$A$1:$A$1047)),"NO","SI")</f>
        <v>NO</v>
      </c>
      <c r="I151" s="8" t="str">
        <f>IF(ISERROR(LOOKUP(2^15,SEARCH(B151,'ALERTA SANITARIA'!$B$2:$B$269,1),'2018'!$A$1:$A$1047)),"NO","SI")</f>
        <v>SI</v>
      </c>
      <c r="J151" s="6" t="str">
        <f t="shared" si="0"/>
        <v>COFEPRIS</v>
      </c>
      <c r="K151" s="6" t="str">
        <f t="array" ref="K151">IFERROR(INDEX(Anterior!$C$1:$D$323,MATCH(B151,Anterior!$B$2:$B$323,0)+1,2),0)</f>
        <v>COFEPRIS</v>
      </c>
      <c r="L151" s="6" t="str">
        <f t="shared" si="1"/>
        <v>coinciden</v>
      </c>
      <c r="M151" s="2"/>
    </row>
    <row r="152" spans="1:13" ht="15.75" customHeight="1" x14ac:dyDescent="0.25">
      <c r="A152" s="6" t="s">
        <v>319</v>
      </c>
      <c r="B152" s="6" t="s">
        <v>320</v>
      </c>
      <c r="C152" s="7" t="str">
        <f>IF(ISERROR(LOOKUP(2^15,SEARCH(B152,'2023'!$B$3:$B$1734,1),'2023'!$A$3:$A$1734)),"NO","SI")</f>
        <v>NO</v>
      </c>
      <c r="D152" s="7" t="str">
        <f>IF(ISERROR(LOOKUP(2^15,SEARCH(B152,'2022'!$B$2:$B$1591,1),'2022'!$A$2:$A$1591)),"NO","SI")</f>
        <v>NO</v>
      </c>
      <c r="E152" s="7" t="str">
        <f>IF(ISERROR(LOOKUP(2^15,SEARCH(B152,'2021'!$B$2:$B$1494,1),'2021'!$A$2:$A$1494)),"NO","SI")</f>
        <v>NO</v>
      </c>
      <c r="F152" s="7" t="str">
        <f>IF(ISERROR(LOOKUP(2^15,SEARCH(B152,'2020'!$B$2:$B$1278,1),'2020'!$A$2:$A$1278)),"NO","SI")</f>
        <v>NO</v>
      </c>
      <c r="G152" s="7" t="str">
        <f>IF(ISERROR(LOOKUP(2^15,SEARCH(B152,'2019'!$B$2:$B$1108,1),'2019'!$A$2:$A$1108)),"NO","SI")</f>
        <v>NO</v>
      </c>
      <c r="H152" s="7" t="str">
        <f>IF(ISERROR(LOOKUP(2^15,SEARCH(B152,'2018'!$B$1:$B$1047,1),'2018'!$A$1:$A$1047)),"NO","SI")</f>
        <v>NO</v>
      </c>
      <c r="I152" s="8" t="str">
        <f>IF(ISERROR(LOOKUP(2^15,SEARCH(B152,'ALERTA SANITARIA'!$B$2:$B$269,1),'2018'!$A$1:$A$1047)),"NO","SI")</f>
        <v>SI</v>
      </c>
      <c r="J152" s="6" t="str">
        <f t="shared" si="0"/>
        <v>COFEPRIS</v>
      </c>
      <c r="K152" s="6" t="str">
        <f t="array" ref="K152">IFERROR(INDEX(Anterior!$C$1:$D$323,MATCH(B152,Anterior!$B$2:$B$323,0)+1,2),0)</f>
        <v>COFEPRIS</v>
      </c>
      <c r="L152" s="6" t="str">
        <f t="shared" si="1"/>
        <v>coinciden</v>
      </c>
      <c r="M152" s="2"/>
    </row>
    <row r="153" spans="1:13" ht="15.75" customHeight="1" x14ac:dyDescent="0.25">
      <c r="A153" s="6" t="s">
        <v>321</v>
      </c>
      <c r="B153" s="6" t="s">
        <v>322</v>
      </c>
      <c r="C153" s="7" t="str">
        <f>IF(ISERROR(LOOKUP(2^15,SEARCH(B153,'2023'!$B$3:$B$1734,1),'2023'!$A$3:$A$1734)),"NO","SI")</f>
        <v>NO</v>
      </c>
      <c r="D153" s="7" t="str">
        <f>IF(ISERROR(LOOKUP(2^15,SEARCH(B153,'2022'!$B$2:$B$1591,1),'2022'!$A$2:$A$1591)),"NO","SI")</f>
        <v>NO</v>
      </c>
      <c r="E153" s="7" t="str">
        <f>IF(ISERROR(LOOKUP(2^15,SEARCH(B153,'2021'!$B$2:$B$1494,1),'2021'!$A$2:$A$1494)),"NO","SI")</f>
        <v>NO</v>
      </c>
      <c r="F153" s="7" t="str">
        <f>IF(ISERROR(LOOKUP(2^15,SEARCH(B153,'2020'!$B$2:$B$1278,1),'2020'!$A$2:$A$1278)),"NO","SI")</f>
        <v>NO</v>
      </c>
      <c r="G153" s="7" t="str">
        <f>IF(ISERROR(LOOKUP(2^15,SEARCH(B153,'2019'!$B$2:$B$1108,1),'2019'!$A$2:$A$1108)),"NO","SI")</f>
        <v>NO</v>
      </c>
      <c r="H153" s="7" t="str">
        <f>IF(ISERROR(LOOKUP(2^15,SEARCH(B153,'2018'!$B$1:$B$1047,1),'2018'!$A$1:$A$1047)),"NO","SI")</f>
        <v>NO</v>
      </c>
      <c r="I153" s="8" t="str">
        <f>IF(ISERROR(LOOKUP(2^15,SEARCH(B153,'ALERTA SANITARIA'!$B$2:$B$269,1),'2018'!$A$1:$A$1047)),"NO","SI")</f>
        <v>SI</v>
      </c>
      <c r="J153" s="6" t="str">
        <f t="shared" si="0"/>
        <v>COFEPRIS</v>
      </c>
      <c r="K153" s="6" t="str">
        <f t="array" ref="K153">IFERROR(INDEX(Anterior!$C$1:$D$323,MATCH(B153,Anterior!$B$2:$B$323,0)+1,2),0)</f>
        <v>COFEPRIS</v>
      </c>
      <c r="L153" s="6" t="str">
        <f t="shared" si="1"/>
        <v>coinciden</v>
      </c>
      <c r="M153" s="2"/>
    </row>
    <row r="154" spans="1:13" ht="15.75" customHeight="1" x14ac:dyDescent="0.25">
      <c r="A154" s="6" t="s">
        <v>323</v>
      </c>
      <c r="B154" s="6" t="s">
        <v>324</v>
      </c>
      <c r="C154" s="7" t="str">
        <f>IF(ISERROR(LOOKUP(2^15,SEARCH(B154,'2023'!$B$3:$B$1734,1),'2023'!$A$3:$A$1734)),"NO","SI")</f>
        <v>NO</v>
      </c>
      <c r="D154" s="7" t="str">
        <f>IF(ISERROR(LOOKUP(2^15,SEARCH(B154,'2022'!$B$2:$B$1591,1),'2022'!$A$2:$A$1591)),"NO","SI")</f>
        <v>NO</v>
      </c>
      <c r="E154" s="7" t="str">
        <f>IF(ISERROR(LOOKUP(2^15,SEARCH(B154,'2021'!$B$2:$B$1494,1),'2021'!$A$2:$A$1494)),"NO","SI")</f>
        <v>NO</v>
      </c>
      <c r="F154" s="7" t="str">
        <f>IF(ISERROR(LOOKUP(2^15,SEARCH(B154,'2020'!$B$2:$B$1278,1),'2020'!$A$2:$A$1278)),"NO","SI")</f>
        <v>NO</v>
      </c>
      <c r="G154" s="7" t="str">
        <f>IF(ISERROR(LOOKUP(2^15,SEARCH(B154,'2019'!$B$2:$B$1108,1),'2019'!$A$2:$A$1108)),"NO","SI")</f>
        <v>NO</v>
      </c>
      <c r="H154" s="7" t="str">
        <f>IF(ISERROR(LOOKUP(2^15,SEARCH(B154,'2018'!$B$1:$B$1047,1),'2018'!$A$1:$A$1047)),"NO","SI")</f>
        <v>NO</v>
      </c>
      <c r="I154" s="8" t="str">
        <f>IF(ISERROR(LOOKUP(2^15,SEARCH(B154,'ALERTA SANITARIA'!$B$2:$B$269,1),'2018'!$A$1:$A$1047)),"NO","SI")</f>
        <v>SI</v>
      </c>
      <c r="J154" s="6" t="str">
        <f t="shared" si="0"/>
        <v>COFEPRIS</v>
      </c>
      <c r="K154" s="6" t="str">
        <f t="array" ref="K154">IFERROR(INDEX(Anterior!$C$1:$D$323,MATCH(B154,Anterior!$B$2:$B$323,0)+1,2),0)</f>
        <v>COFEPRIS</v>
      </c>
      <c r="L154" s="6" t="str">
        <f t="shared" si="1"/>
        <v>coinciden</v>
      </c>
      <c r="M154" s="2"/>
    </row>
    <row r="155" spans="1:13" ht="15.75" customHeight="1" x14ac:dyDescent="0.25">
      <c r="A155" s="6" t="s">
        <v>325</v>
      </c>
      <c r="B155" s="6" t="s">
        <v>326</v>
      </c>
      <c r="C155" s="7" t="str">
        <f>IF(ISERROR(LOOKUP(2^15,SEARCH(B155,'2023'!$B$3:$B$1734,1),'2023'!$A$3:$A$1734)),"NO","SI")</f>
        <v>NO</v>
      </c>
      <c r="D155" s="7" t="str">
        <f>IF(ISERROR(LOOKUP(2^15,SEARCH(B155,'2022'!$B$2:$B$1591,1),'2022'!$A$2:$A$1591)),"NO","SI")</f>
        <v>NO</v>
      </c>
      <c r="E155" s="7" t="str">
        <f>IF(ISERROR(LOOKUP(2^15,SEARCH(B155,'2021'!$B$2:$B$1494,1),'2021'!$A$2:$A$1494)),"NO","SI")</f>
        <v>NO</v>
      </c>
      <c r="F155" s="7" t="str">
        <f>IF(ISERROR(LOOKUP(2^15,SEARCH(B155,'2020'!$B$2:$B$1278,1),'2020'!$A$2:$A$1278)),"NO","SI")</f>
        <v>NO</v>
      </c>
      <c r="G155" s="7" t="str">
        <f>IF(ISERROR(LOOKUP(2^15,SEARCH(B155,'2019'!$B$2:$B$1108,1),'2019'!$A$2:$A$1108)),"NO","SI")</f>
        <v>NO</v>
      </c>
      <c r="H155" s="7" t="str">
        <f>IF(ISERROR(LOOKUP(2^15,SEARCH(B155,'2018'!$B$1:$B$1047,1),'2018'!$A$1:$A$1047)),"NO","SI")</f>
        <v>NO</v>
      </c>
      <c r="I155" s="8" t="str">
        <f>IF(ISERROR(LOOKUP(2^15,SEARCH(B155,'ALERTA SANITARIA'!$B$2:$B$269,1),'2018'!$A$1:$A$1047)),"NO","SI")</f>
        <v>SI</v>
      </c>
      <c r="J155" s="6" t="str">
        <f t="shared" si="0"/>
        <v>COFEPRIS</v>
      </c>
      <c r="K155" s="6" t="str">
        <f t="array" ref="K155">IFERROR(INDEX(Anterior!$C$1:$D$323,MATCH(B155,Anterior!$B$2:$B$323,0)+1,2),0)</f>
        <v>COFEPRIS</v>
      </c>
      <c r="L155" s="6" t="str">
        <f t="shared" si="1"/>
        <v>coinciden</v>
      </c>
      <c r="M155" s="2"/>
    </row>
    <row r="156" spans="1:13" ht="15.75" customHeight="1" x14ac:dyDescent="0.25">
      <c r="A156" s="6" t="s">
        <v>327</v>
      </c>
      <c r="B156" s="6" t="s">
        <v>328</v>
      </c>
      <c r="C156" s="7" t="str">
        <f>IF(ISERROR(LOOKUP(2^15,SEARCH(B156,'2023'!$B$3:$B$1734,1),'2023'!$A$3:$A$1734)),"NO","SI")</f>
        <v>NO</v>
      </c>
      <c r="D156" s="7" t="str">
        <f>IF(ISERROR(LOOKUP(2^15,SEARCH(B156,'2022'!$B$2:$B$1591,1),'2022'!$A$2:$A$1591)),"NO","SI")</f>
        <v>NO</v>
      </c>
      <c r="E156" s="7" t="str">
        <f>IF(ISERROR(LOOKUP(2^15,SEARCH(B156,'2021'!$B$2:$B$1494,1),'2021'!$A$2:$A$1494)),"NO","SI")</f>
        <v>NO</v>
      </c>
      <c r="F156" s="7" t="str">
        <f>IF(ISERROR(LOOKUP(2^15,SEARCH(B156,'2020'!$B$2:$B$1278,1),'2020'!$A$2:$A$1278)),"NO","SI")</f>
        <v>NO</v>
      </c>
      <c r="G156" s="7" t="str">
        <f>IF(ISERROR(LOOKUP(2^15,SEARCH(B156,'2019'!$B$2:$B$1108,1),'2019'!$A$2:$A$1108)),"NO","SI")</f>
        <v>NO</v>
      </c>
      <c r="H156" s="7" t="str">
        <f>IF(ISERROR(LOOKUP(2^15,SEARCH(B156,'2018'!$B$1:$B$1047,1),'2018'!$A$1:$A$1047)),"NO","SI")</f>
        <v>NO</v>
      </c>
      <c r="I156" s="8" t="str">
        <f>IF(ISERROR(LOOKUP(2^15,SEARCH(B156,'ALERTA SANITARIA'!$B$2:$B$269,1),'2018'!$A$1:$A$1047)),"NO","SI")</f>
        <v>SI</v>
      </c>
      <c r="J156" s="6" t="str">
        <f t="shared" si="0"/>
        <v>COFEPRIS</v>
      </c>
      <c r="K156" s="6" t="str">
        <f t="array" ref="K156">IFERROR(INDEX(Anterior!$C$1:$D$323,MATCH(B156,Anterior!$B$2:$B$323,0)+1,2),0)</f>
        <v>COFEPRIS</v>
      </c>
      <c r="L156" s="6" t="str">
        <f t="shared" si="1"/>
        <v>coinciden</v>
      </c>
      <c r="M156" s="2"/>
    </row>
    <row r="157" spans="1:13" ht="15.75" customHeight="1" x14ac:dyDescent="0.25">
      <c r="A157" s="6" t="s">
        <v>329</v>
      </c>
      <c r="B157" s="6" t="s">
        <v>330</v>
      </c>
      <c r="C157" s="7" t="str">
        <f>IF(ISERROR(LOOKUP(2^15,SEARCH(B157,'2023'!$B$3:$B$1734,1),'2023'!$A$3:$A$1734)),"NO","SI")</f>
        <v>SI</v>
      </c>
      <c r="D157" s="7" t="str">
        <f>IF(ISERROR(LOOKUP(2^15,SEARCH(B157,'2022'!$B$2:$B$1591,1),'2022'!$A$2:$A$1591)),"NO","SI")</f>
        <v>SI</v>
      </c>
      <c r="E157" s="7" t="str">
        <f>IF(ISERROR(LOOKUP(2^15,SEARCH(B157,'2021'!$B$2:$B$1494,1),'2021'!$A$2:$A$1494)),"NO","SI")</f>
        <v>SI</v>
      </c>
      <c r="F157" s="7" t="str">
        <f>IF(ISERROR(LOOKUP(2^15,SEARCH(B157,'2020'!$B$2:$B$1278,1),'2020'!$A$2:$A$1278)),"NO","SI")</f>
        <v>SI</v>
      </c>
      <c r="G157" s="7" t="str">
        <f>IF(ISERROR(LOOKUP(2^15,SEARCH(B157,'2019'!$B$2:$B$1108,1),'2019'!$A$2:$A$1108)),"NO","SI")</f>
        <v>SI</v>
      </c>
      <c r="H157" s="7" t="str">
        <f>IF(ISERROR(LOOKUP(2^15,SEARCH(B157,'2018'!$B$1:$B$1047,1),'2018'!$A$1:$A$1047)),"NO","SI")</f>
        <v>SI</v>
      </c>
      <c r="I157" s="8" t="str">
        <f>IF(ISERROR(LOOKUP(2^15,SEARCH(B157,'ALERTA SANITARIA'!$B$2:$B$269,1),'2018'!$A$1:$A$1047)),"NO","SI")</f>
        <v>NO</v>
      </c>
      <c r="J157" s="6" t="str">
        <f t="shared" si="0"/>
        <v>DOF</v>
      </c>
      <c r="K157" s="6" t="str">
        <f t="array" ref="K157">IFERROR(INDEX(Anterior!$C$1:$D$323,MATCH(B157,Anterior!$B$2:$B$323,0)+1,2),0)</f>
        <v>DOF</v>
      </c>
      <c r="L157" s="6" t="str">
        <f t="shared" si="1"/>
        <v>coinciden</v>
      </c>
      <c r="M157" s="2"/>
    </row>
    <row r="158" spans="1:13" ht="15.75" customHeight="1" x14ac:dyDescent="0.25">
      <c r="A158" s="6" t="s">
        <v>331</v>
      </c>
      <c r="B158" s="6" t="s">
        <v>332</v>
      </c>
      <c r="C158" s="7" t="str">
        <f>IF(ISERROR(LOOKUP(2^15,SEARCH(B158,'2023'!$B$3:$B$1734,1),'2023'!$A$3:$A$1734)),"NO","SI")</f>
        <v>NO</v>
      </c>
      <c r="D158" s="7" t="str">
        <f>IF(ISERROR(LOOKUP(2^15,SEARCH(B158,'2022'!$B$2:$B$1591,1),'2022'!$A$2:$A$1591)),"NO","SI")</f>
        <v>NO</v>
      </c>
      <c r="E158" s="7" t="str">
        <f>IF(ISERROR(LOOKUP(2^15,SEARCH(B158,'2021'!$B$2:$B$1494,1),'2021'!$A$2:$A$1494)),"NO","SI")</f>
        <v>NO</v>
      </c>
      <c r="F158" s="7" t="str">
        <f>IF(ISERROR(LOOKUP(2^15,SEARCH(B158,'2020'!$B$2:$B$1278,1),'2020'!$A$2:$A$1278)),"NO","SI")</f>
        <v>NO</v>
      </c>
      <c r="G158" s="7" t="str">
        <f>IF(ISERROR(LOOKUP(2^15,SEARCH(B158,'2019'!$B$2:$B$1108,1),'2019'!$A$2:$A$1108)),"NO","SI")</f>
        <v>NO</v>
      </c>
      <c r="H158" s="7" t="str">
        <f>IF(ISERROR(LOOKUP(2^15,SEARCH(B158,'2018'!$B$1:$B$1047,1),'2018'!$A$1:$A$1047)),"NO","SI")</f>
        <v>NO</v>
      </c>
      <c r="I158" s="8" t="str">
        <f>IF(ISERROR(LOOKUP(2^15,SEARCH(B158,'ALERTA SANITARIA'!$B$2:$B$269,1),'2018'!$A$1:$A$1047)),"NO","SI")</f>
        <v>SI</v>
      </c>
      <c r="J158" s="6" t="str">
        <f t="shared" si="0"/>
        <v>COFEPRIS</v>
      </c>
      <c r="K158" s="6" t="str">
        <f t="array" ref="K158">IFERROR(INDEX(Anterior!$C$1:$D$323,MATCH(B158,Anterior!$B$2:$B$323,0)+1,2),0)</f>
        <v>COFEPRIS</v>
      </c>
      <c r="L158" s="6" t="str">
        <f t="shared" si="1"/>
        <v>coinciden</v>
      </c>
      <c r="M158" s="2"/>
    </row>
    <row r="159" spans="1:13" ht="15.75" customHeight="1" x14ac:dyDescent="0.25">
      <c r="A159" s="6" t="s">
        <v>333</v>
      </c>
      <c r="B159" s="6" t="s">
        <v>334</v>
      </c>
      <c r="C159" s="7" t="str">
        <f>IF(ISERROR(LOOKUP(2^15,SEARCH(B159,'2023'!$B$3:$B$1734,1),'2023'!$A$3:$A$1734)),"NO","SI")</f>
        <v>NO</v>
      </c>
      <c r="D159" s="7" t="str">
        <f>IF(ISERROR(LOOKUP(2^15,SEARCH(B159,'2022'!$B$2:$B$1591,1),'2022'!$A$2:$A$1591)),"NO","SI")</f>
        <v>NO</v>
      </c>
      <c r="E159" s="7" t="str">
        <f>IF(ISERROR(LOOKUP(2^15,SEARCH(B159,'2021'!$B$2:$B$1494,1),'2021'!$A$2:$A$1494)),"NO","SI")</f>
        <v>NO</v>
      </c>
      <c r="F159" s="7" t="str">
        <f>IF(ISERROR(LOOKUP(2^15,SEARCH(B159,'2020'!$B$2:$B$1278,1),'2020'!$A$2:$A$1278)),"NO","SI")</f>
        <v>NO</v>
      </c>
      <c r="G159" s="7" t="str">
        <f>IF(ISERROR(LOOKUP(2^15,SEARCH(B159,'2019'!$B$2:$B$1108,1),'2019'!$A$2:$A$1108)),"NO","SI")</f>
        <v>NO</v>
      </c>
      <c r="H159" s="7" t="str">
        <f>IF(ISERROR(LOOKUP(2^15,SEARCH(B159,'2018'!$B$1:$B$1047,1),'2018'!$A$1:$A$1047)),"NO","SI")</f>
        <v>NO</v>
      </c>
      <c r="I159" s="8" t="str">
        <f>IF(ISERROR(LOOKUP(2^15,SEARCH(B159,'ALERTA SANITARIA'!$B$2:$B$269,1),'2018'!$A$1:$A$1047)),"NO","SI")</f>
        <v>SI</v>
      </c>
      <c r="J159" s="6" t="str">
        <f t="shared" si="0"/>
        <v>COFEPRIS</v>
      </c>
      <c r="K159" s="6" t="str">
        <f t="array" ref="K159">IFERROR(INDEX(Anterior!$C$1:$D$323,MATCH(B159,Anterior!$B$2:$B$323,0)+1,2),0)</f>
        <v>COFEPRIS</v>
      </c>
      <c r="L159" s="6" t="str">
        <f t="shared" si="1"/>
        <v>coinciden</v>
      </c>
      <c r="M159" s="2"/>
    </row>
    <row r="160" spans="1:13" ht="15.75" customHeight="1" x14ac:dyDescent="0.25">
      <c r="A160" s="6" t="s">
        <v>335</v>
      </c>
      <c r="B160" s="6" t="s">
        <v>336</v>
      </c>
      <c r="C160" s="7" t="str">
        <f>IF(ISERROR(LOOKUP(2^15,SEARCH(B160,'2023'!$B$3:$B$1734,1),'2023'!$A$3:$A$1734)),"NO","SI")</f>
        <v>NO</v>
      </c>
      <c r="D160" s="7" t="str">
        <f>IF(ISERROR(LOOKUP(2^15,SEARCH(B160,'2022'!$B$2:$B$1591,1),'2022'!$A$2:$A$1591)),"NO","SI")</f>
        <v>NO</v>
      </c>
      <c r="E160" s="7" t="str">
        <f>IF(ISERROR(LOOKUP(2^15,SEARCH(B160,'2021'!$B$2:$B$1494,1),'2021'!$A$2:$A$1494)),"NO","SI")</f>
        <v>NO</v>
      </c>
      <c r="F160" s="7" t="str">
        <f>IF(ISERROR(LOOKUP(2^15,SEARCH(B160,'2020'!$B$2:$B$1278,1),'2020'!$A$2:$A$1278)),"NO","SI")</f>
        <v>NO</v>
      </c>
      <c r="G160" s="7" t="str">
        <f>IF(ISERROR(LOOKUP(2^15,SEARCH(B160,'2019'!$B$2:$B$1108,1),'2019'!$A$2:$A$1108)),"NO","SI")</f>
        <v>NO</v>
      </c>
      <c r="H160" s="7" t="str">
        <f>IF(ISERROR(LOOKUP(2^15,SEARCH(B160,'2018'!$B$1:$B$1047,1),'2018'!$A$1:$A$1047)),"NO","SI")</f>
        <v>NO</v>
      </c>
      <c r="I160" s="8" t="str">
        <f>IF(ISERROR(LOOKUP(2^15,SEARCH(B160,'ALERTA SANITARIA'!$B$2:$B$269,1),'2018'!$A$1:$A$1047)),"NO","SI")</f>
        <v>SI</v>
      </c>
      <c r="J160" s="6" t="str">
        <f t="shared" si="0"/>
        <v>COFEPRIS</v>
      </c>
      <c r="K160" s="6" t="str">
        <f t="array" ref="K160">IFERROR(INDEX(Anterior!$C$1:$D$323,MATCH(B160,Anterior!$B$2:$B$323,0)+1,2),0)</f>
        <v>COFEPRIS</v>
      </c>
      <c r="L160" s="6" t="str">
        <f t="shared" si="1"/>
        <v>coinciden</v>
      </c>
      <c r="M160" s="2"/>
    </row>
    <row r="161" spans="1:16" ht="15.75" customHeight="1" x14ac:dyDescent="0.25">
      <c r="A161" s="6" t="s">
        <v>337</v>
      </c>
      <c r="B161" s="6" t="s">
        <v>338</v>
      </c>
      <c r="C161" s="7" t="str">
        <f>IF(ISERROR(LOOKUP(2^15,SEARCH(B161,'2023'!$B$3:$B$1734,1),'2023'!$A$3:$A$1734)),"NO","SI")</f>
        <v>NO</v>
      </c>
      <c r="D161" s="7" t="str">
        <f>IF(ISERROR(LOOKUP(2^15,SEARCH(B161,'2022'!$B$2:$B$1591,1),'2022'!$A$2:$A$1591)),"NO","SI")</f>
        <v>NO</v>
      </c>
      <c r="E161" s="7" t="str">
        <f>IF(ISERROR(LOOKUP(2^15,SEARCH(B161,'2021'!$B$2:$B$1494,1),'2021'!$A$2:$A$1494)),"NO","SI")</f>
        <v>NO</v>
      </c>
      <c r="F161" s="7" t="str">
        <f>IF(ISERROR(LOOKUP(2^15,SEARCH(B161,'2020'!$B$2:$B$1278,1),'2020'!$A$2:$A$1278)),"NO","SI")</f>
        <v>NO</v>
      </c>
      <c r="G161" s="7" t="str">
        <f>IF(ISERROR(LOOKUP(2^15,SEARCH(B161,'2019'!$B$2:$B$1108,1),'2019'!$A$2:$A$1108)),"NO","SI")</f>
        <v>NO</v>
      </c>
      <c r="H161" s="7" t="str">
        <f>IF(ISERROR(LOOKUP(2^15,SEARCH(B161,'2018'!$B$1:$B$1047,1),'2018'!$A$1:$A$1047)),"NO","SI")</f>
        <v>NO</v>
      </c>
      <c r="I161" s="8" t="str">
        <f>IF(ISERROR(LOOKUP(2^15,SEARCH(B161,'ALERTA SANITARIA'!$B$2:$B$269,1),'2018'!$A$1:$A$1047)),"NO","SI")</f>
        <v>NO</v>
      </c>
      <c r="J161" s="6" t="str">
        <f t="shared" si="0"/>
        <v>Ninguno</v>
      </c>
      <c r="K161" s="6" t="str">
        <f t="array" ref="K161">IFERROR(INDEX(Anterior!$C$1:$D$323,MATCH(B161,Anterior!$B$2:$B$323,0)+1,2),0)</f>
        <v>Ninguno</v>
      </c>
      <c r="L161" s="6" t="str">
        <f t="shared" si="1"/>
        <v>coinciden</v>
      </c>
      <c r="M161" s="2" t="s">
        <v>14</v>
      </c>
    </row>
    <row r="162" spans="1:16" ht="15.75" customHeight="1" x14ac:dyDescent="0.25">
      <c r="A162" s="6" t="s">
        <v>339</v>
      </c>
      <c r="B162" s="6" t="s">
        <v>340</v>
      </c>
      <c r="C162" s="7" t="str">
        <f>IF(ISERROR(LOOKUP(2^15,SEARCH(B162,'2023'!$B$3:$B$1734,1),'2023'!$A$3:$A$1734)),"NO","SI")</f>
        <v>NO</v>
      </c>
      <c r="D162" s="7" t="str">
        <f>IF(ISERROR(LOOKUP(2^15,SEARCH(B162,'2022'!$B$2:$B$1591,1),'2022'!$A$2:$A$1591)),"NO","SI")</f>
        <v>NO</v>
      </c>
      <c r="E162" s="7" t="str">
        <f>IF(ISERROR(LOOKUP(2^15,SEARCH(B162,'2021'!$B$2:$B$1494,1),'2021'!$A$2:$A$1494)),"NO","SI")</f>
        <v>NO</v>
      </c>
      <c r="F162" s="7" t="str">
        <f>IF(ISERROR(LOOKUP(2^15,SEARCH(B162,'2020'!$B$2:$B$1278,1),'2020'!$A$2:$A$1278)),"NO","SI")</f>
        <v>NO</v>
      </c>
      <c r="G162" s="7" t="str">
        <f>IF(ISERROR(LOOKUP(2^15,SEARCH(B162,'2019'!$B$2:$B$1108,1),'2019'!$A$2:$A$1108)),"NO","SI")</f>
        <v>NO</v>
      </c>
      <c r="H162" s="7" t="str">
        <f>IF(ISERROR(LOOKUP(2^15,SEARCH(B162,'2018'!$B$1:$B$1047,1),'2018'!$A$1:$A$1047)),"NO","SI")</f>
        <v>NO</v>
      </c>
      <c r="I162" s="8" t="str">
        <f>IF(ISERROR(LOOKUP(2^15,SEARCH(B162,'ALERTA SANITARIA'!$B$2:$B$269,1),'2018'!$A$1:$A$1047)),"NO","SI")</f>
        <v>SI</v>
      </c>
      <c r="J162" s="6" t="str">
        <f t="shared" si="0"/>
        <v>COFEPRIS</v>
      </c>
      <c r="K162" s="6">
        <f t="array" ref="K162">IFERROR(INDEX(Anterior!$C$1:$D$323,MATCH(B162,Anterior!$B$2:$B$323,0)+1,2),0)</f>
        <v>0</v>
      </c>
      <c r="L162" s="6" t="str">
        <f t="shared" si="1"/>
        <v>Nuevo</v>
      </c>
      <c r="M162" s="2"/>
    </row>
    <row r="163" spans="1:16" ht="15.75" customHeight="1" x14ac:dyDescent="0.25">
      <c r="A163" s="6" t="s">
        <v>341</v>
      </c>
      <c r="B163" s="6" t="s">
        <v>342</v>
      </c>
      <c r="C163" s="7" t="str">
        <f>IF(ISERROR(LOOKUP(2^15,SEARCH(B163,'2023'!$B$3:$B$1734,1),'2023'!$A$3:$A$1734)),"NO","SI")</f>
        <v>NO</v>
      </c>
      <c r="D163" s="7" t="str">
        <f>IF(ISERROR(LOOKUP(2^15,SEARCH(B163,'2022'!$B$2:$B$1591,1),'2022'!$A$2:$A$1591)),"NO","SI")</f>
        <v>NO</v>
      </c>
      <c r="E163" s="7" t="str">
        <f>IF(ISERROR(LOOKUP(2^15,SEARCH(B163,'2021'!$B$2:$B$1494,1),'2021'!$A$2:$A$1494)),"NO","SI")</f>
        <v>NO</v>
      </c>
      <c r="F163" s="7" t="str">
        <f>IF(ISERROR(LOOKUP(2^15,SEARCH(B163,'2020'!$B$2:$B$1278,1),'2020'!$A$2:$A$1278)),"NO","SI")</f>
        <v>NO</v>
      </c>
      <c r="G163" s="7" t="str">
        <f>IF(ISERROR(LOOKUP(2^15,SEARCH(B163,'2019'!$B$2:$B$1108,1),'2019'!$A$2:$A$1108)),"NO","SI")</f>
        <v>NO</v>
      </c>
      <c r="H163" s="7" t="str">
        <f>IF(ISERROR(LOOKUP(2^15,SEARCH(B163,'2018'!$B$1:$B$1047,1),'2018'!$A$1:$A$1047)),"NO","SI")</f>
        <v>NO</v>
      </c>
      <c r="I163" s="8" t="str">
        <f>IF(ISERROR(LOOKUP(2^15,SEARCH(B163,'ALERTA SANITARIA'!$B$2:$B$269,1),'2018'!$A$1:$A$1047)),"NO","SI")</f>
        <v>SI</v>
      </c>
      <c r="J163" s="6" t="str">
        <f t="shared" si="0"/>
        <v>COFEPRIS</v>
      </c>
      <c r="K163" s="6" t="str">
        <f t="array" ref="K163">IFERROR(INDEX(Anterior!$C$1:$D$323,MATCH(B163,Anterior!$B$2:$B$323,0)+1,2),0)</f>
        <v>COFEPRIS</v>
      </c>
      <c r="L163" s="6" t="str">
        <f t="shared" si="1"/>
        <v>coinciden</v>
      </c>
      <c r="M163" s="2"/>
    </row>
    <row r="164" spans="1:16" ht="15.75" customHeight="1" x14ac:dyDescent="0.25">
      <c r="A164" s="6" t="s">
        <v>343</v>
      </c>
      <c r="B164" s="6" t="s">
        <v>344</v>
      </c>
      <c r="C164" s="7" t="str">
        <f>IF(ISERROR(LOOKUP(2^15,SEARCH(B164,'2023'!$B$3:$B$1734,1),'2023'!$A$3:$A$1734)),"NO","SI")</f>
        <v>NO</v>
      </c>
      <c r="D164" s="7" t="str">
        <f>IF(ISERROR(LOOKUP(2^15,SEARCH(B164,'2022'!$B$2:$B$1591,1),'2022'!$A$2:$A$1591)),"NO","SI")</f>
        <v>NO</v>
      </c>
      <c r="E164" s="7" t="str">
        <f>IF(ISERROR(LOOKUP(2^15,SEARCH(B164,'2021'!$B$2:$B$1494,1),'2021'!$A$2:$A$1494)),"NO","SI")</f>
        <v>NO</v>
      </c>
      <c r="F164" s="7" t="str">
        <f>IF(ISERROR(LOOKUP(2^15,SEARCH(B164,'2020'!$B$2:$B$1278,1),'2020'!$A$2:$A$1278)),"NO","SI")</f>
        <v>NO</v>
      </c>
      <c r="G164" s="7" t="str">
        <f>IF(ISERROR(LOOKUP(2^15,SEARCH(B164,'2019'!$B$2:$B$1108,1),'2019'!$A$2:$A$1108)),"NO","SI")</f>
        <v>NO</v>
      </c>
      <c r="H164" s="7" t="str">
        <f>IF(ISERROR(LOOKUP(2^15,SEARCH(B164,'2018'!$B$1:$B$1047,1),'2018'!$A$1:$A$1047)),"NO","SI")</f>
        <v>NO</v>
      </c>
      <c r="I164" s="8" t="str">
        <f>IF(ISERROR(LOOKUP(2^15,SEARCH(B164,'ALERTA SANITARIA'!$B$2:$B$269,1),'2018'!$A$1:$A$1047)),"NO","SI")</f>
        <v>SI</v>
      </c>
      <c r="J164" s="6" t="str">
        <f t="shared" si="0"/>
        <v>COFEPRIS</v>
      </c>
      <c r="K164" s="6" t="str">
        <f t="array" ref="K164">IFERROR(INDEX(Anterior!$C$1:$D$323,MATCH(B164,Anterior!$B$2:$B$323,0)+1,2),0)</f>
        <v>COFEPRIS</v>
      </c>
      <c r="L164" s="6" t="str">
        <f t="shared" si="1"/>
        <v>coinciden</v>
      </c>
      <c r="M164" s="2"/>
    </row>
    <row r="165" spans="1:16" ht="15.75" customHeight="1" x14ac:dyDescent="0.25">
      <c r="A165" s="6" t="s">
        <v>345</v>
      </c>
      <c r="B165" s="6" t="s">
        <v>346</v>
      </c>
      <c r="C165" s="7" t="str">
        <f>IF(ISERROR(LOOKUP(2^15,SEARCH(B165,'2023'!$B$3:$B$1734,1),'2023'!$A$3:$A$1734)),"NO","SI")</f>
        <v>NO</v>
      </c>
      <c r="D165" s="7" t="str">
        <f>IF(ISERROR(LOOKUP(2^15,SEARCH(B165,'2022'!$B$2:$B$1591,1),'2022'!$A$2:$A$1591)),"NO","SI")</f>
        <v>NO</v>
      </c>
      <c r="E165" s="7" t="str">
        <f>IF(ISERROR(LOOKUP(2^15,SEARCH(B165,'2021'!$B$2:$B$1494,1),'2021'!$A$2:$A$1494)),"NO","SI")</f>
        <v>NO</v>
      </c>
      <c r="F165" s="7" t="str">
        <f>IF(ISERROR(LOOKUP(2^15,SEARCH(B165,'2020'!$B$2:$B$1278,1),'2020'!$A$2:$A$1278)),"NO","SI")</f>
        <v>NO</v>
      </c>
      <c r="G165" s="7" t="str">
        <f>IF(ISERROR(LOOKUP(2^15,SEARCH(B165,'2019'!$B$2:$B$1108,1),'2019'!$A$2:$A$1108)),"NO","SI")</f>
        <v>NO</v>
      </c>
      <c r="H165" s="7" t="str">
        <f>IF(ISERROR(LOOKUP(2^15,SEARCH(B165,'2018'!$B$1:$B$1047,1),'2018'!$A$1:$A$1047)),"NO","SI")</f>
        <v>NO</v>
      </c>
      <c r="I165" s="8" t="str">
        <f>IF(ISERROR(LOOKUP(2^15,SEARCH(B165,'ALERTA SANITARIA'!$B$2:$B$269,1),'2018'!$A$1:$A$1047)),"NO","SI")</f>
        <v>SI</v>
      </c>
      <c r="J165" s="6" t="str">
        <f t="shared" si="0"/>
        <v>COFEPRIS</v>
      </c>
      <c r="K165" s="6" t="str">
        <f t="array" ref="K165">IFERROR(INDEX(Anterior!$C$1:$D$323,MATCH(B165,Anterior!$B$2:$B$323,0)+1,2),0)</f>
        <v>COFEPRIS</v>
      </c>
      <c r="L165" s="6" t="str">
        <f t="shared" si="1"/>
        <v>coinciden</v>
      </c>
      <c r="M165" s="2"/>
    </row>
    <row r="166" spans="1:16" ht="15.75" customHeight="1" x14ac:dyDescent="0.25">
      <c r="A166" s="6" t="s">
        <v>347</v>
      </c>
      <c r="B166" s="6" t="s">
        <v>348</v>
      </c>
      <c r="C166" s="7" t="str">
        <f>IF(ISERROR(LOOKUP(2^15,SEARCH(B166,'2023'!$B$3:$B$1734,1),'2023'!$A$3:$A$1734)),"NO","SI")</f>
        <v>NO</v>
      </c>
      <c r="D166" s="7" t="str">
        <f>IF(ISERROR(LOOKUP(2^15,SEARCH(B166,'2022'!$B$2:$B$1591,1),'2022'!$A$2:$A$1591)),"NO","SI")</f>
        <v>NO</v>
      </c>
      <c r="E166" s="7" t="str">
        <f>IF(ISERROR(LOOKUP(2^15,SEARCH(B166,'2021'!$B$2:$B$1494,1),'2021'!$A$2:$A$1494)),"NO","SI")</f>
        <v>NO</v>
      </c>
      <c r="F166" s="7" t="str">
        <f>IF(ISERROR(LOOKUP(2^15,SEARCH(B166,'2020'!$B$2:$B$1278,1),'2020'!$A$2:$A$1278)),"NO","SI")</f>
        <v>NO</v>
      </c>
      <c r="G166" s="7" t="str">
        <f>IF(ISERROR(LOOKUP(2^15,SEARCH(B166,'2019'!$B$2:$B$1108,1),'2019'!$A$2:$A$1108)),"NO","SI")</f>
        <v>NO</v>
      </c>
      <c r="H166" s="7" t="str">
        <f>IF(ISERROR(LOOKUP(2^15,SEARCH(B166,'2018'!$B$1:$B$1047,1),'2018'!$A$1:$A$1047)),"NO","SI")</f>
        <v>NO</v>
      </c>
      <c r="I166" s="8" t="str">
        <f>IF(ISERROR(LOOKUP(2^15,SEARCH(B166,'ALERTA SANITARIA'!$B$2:$B$269,1),'2018'!$A$1:$A$1047)),"NO","SI")</f>
        <v>SI</v>
      </c>
      <c r="J166" s="6" t="str">
        <f t="shared" si="0"/>
        <v>COFEPRIS</v>
      </c>
      <c r="K166" s="6" t="str">
        <f t="array" ref="K166">IFERROR(INDEX(Anterior!$C$1:$D$323,MATCH(B166,Anterior!$B$2:$B$323,0)+1,2),0)</f>
        <v>COFEPRIS</v>
      </c>
      <c r="L166" s="6" t="str">
        <f t="shared" si="1"/>
        <v>coinciden</v>
      </c>
      <c r="M166" s="2"/>
    </row>
    <row r="167" spans="1:16" ht="15.75" customHeight="1" x14ac:dyDescent="0.25">
      <c r="A167" s="6" t="s">
        <v>349</v>
      </c>
      <c r="B167" s="6" t="s">
        <v>350</v>
      </c>
      <c r="C167" s="7" t="s">
        <v>14</v>
      </c>
      <c r="D167" s="7" t="s">
        <v>14</v>
      </c>
      <c r="E167" s="7" t="s">
        <v>14</v>
      </c>
      <c r="F167" s="7" t="s">
        <v>14</v>
      </c>
      <c r="G167" s="7" t="s">
        <v>14</v>
      </c>
      <c r="H167" s="7" t="s">
        <v>14</v>
      </c>
      <c r="I167" s="8" t="str">
        <f>IF(ISERROR(LOOKUP(2^15,SEARCH(B167,'ALERTA SANITARIA'!$B$2:$B$269,1),'2018'!$A$1:$A$1047)),"NO","SI")</f>
        <v>SI</v>
      </c>
      <c r="J167" s="6" t="str">
        <f t="shared" si="0"/>
        <v>COFEPRIS</v>
      </c>
      <c r="K167" s="6" t="str">
        <f t="array" ref="K167">IFERROR(INDEX(Anterior!$C$1:$D$323,MATCH(B167,Anterior!$B$2:$B$323,0)+1,2),0)</f>
        <v>COFEPRIS</v>
      </c>
      <c r="L167" s="6" t="str">
        <f t="shared" si="1"/>
        <v>coinciden</v>
      </c>
      <c r="M167" s="2"/>
      <c r="P167" s="6" t="s">
        <v>351</v>
      </c>
    </row>
    <row r="168" spans="1:16" ht="15.75" customHeight="1" x14ac:dyDescent="0.25">
      <c r="A168" s="6" t="s">
        <v>352</v>
      </c>
      <c r="B168" s="6" t="s">
        <v>353</v>
      </c>
      <c r="C168" s="7" t="s">
        <v>14</v>
      </c>
      <c r="D168" s="7" t="s">
        <v>14</v>
      </c>
      <c r="E168" s="7" t="s">
        <v>14</v>
      </c>
      <c r="F168" s="7" t="s">
        <v>14</v>
      </c>
      <c r="G168" s="7" t="str">
        <f>IF(ISERROR(LOOKUP(2^15,SEARCH(B168,'2019'!$B$2:$B$1108,1),'2019'!$A$2:$A$1108)),"NO","SI")</f>
        <v>NO</v>
      </c>
      <c r="H168" s="7" t="str">
        <f>IF(ISERROR(LOOKUP(2^15,SEARCH(B168,'2018'!$B$1:$B$1047,1),'2018'!$A$1:$A$1047)),"NO","SI")</f>
        <v>NO</v>
      </c>
      <c r="I168" s="8" t="str">
        <f>IF(ISERROR(LOOKUP(2^15,SEARCH(B168,'ALERTA SANITARIA'!$B$2:$B$269,1),'2018'!$A$1:$A$1047)),"NO","SI")</f>
        <v>SI</v>
      </c>
      <c r="J168" s="6" t="str">
        <f t="shared" si="0"/>
        <v>COFEPRIS</v>
      </c>
      <c r="K168" s="6" t="str">
        <f t="array" ref="K168">IFERROR(INDEX(Anterior!$C$1:$D$323,MATCH(B168,Anterior!$B$2:$B$323,0)+1,2),0)</f>
        <v>COFEPRIS</v>
      </c>
      <c r="L168" s="6" t="str">
        <f t="shared" si="1"/>
        <v>coinciden</v>
      </c>
      <c r="M168" s="2"/>
    </row>
    <row r="169" spans="1:16" ht="15.75" customHeight="1" x14ac:dyDescent="0.25">
      <c r="A169" s="6" t="s">
        <v>354</v>
      </c>
      <c r="B169" s="6" t="s">
        <v>355</v>
      </c>
      <c r="C169" s="7" t="str">
        <f>IF(ISERROR(LOOKUP(2^15,SEARCH(B169,'2023'!$B$3:$B$1734,1),'2023'!$A$3:$A$1734)),"NO","SI")</f>
        <v>NO</v>
      </c>
      <c r="D169" s="7" t="str">
        <f>IF(ISERROR(LOOKUP(2^15,SEARCH(B169,'2022'!$B$2:$B$1591,1),'2022'!$A$2:$A$1591)),"NO","SI")</f>
        <v>NO</v>
      </c>
      <c r="E169" s="7" t="str">
        <f>IF(ISERROR(LOOKUP(2^15,SEARCH(B169,'2021'!$B$2:$B$1494,1),'2021'!$A$2:$A$1494)),"NO","SI")</f>
        <v>NO</v>
      </c>
      <c r="F169" s="7" t="str">
        <f>IF(ISERROR(LOOKUP(2^15,SEARCH(B169,'2020'!$B$2:$B$1278,1),'2020'!$A$2:$A$1278)),"NO","SI")</f>
        <v>NO</v>
      </c>
      <c r="G169" s="7" t="str">
        <f>IF(ISERROR(LOOKUP(2^15,SEARCH(B169,'2019'!$B$2:$B$1108,1),'2019'!$A$2:$A$1108)),"NO","SI")</f>
        <v>NO</v>
      </c>
      <c r="H169" s="7" t="str">
        <f>IF(ISERROR(LOOKUP(2^15,SEARCH(B169,'2018'!$B$1:$B$1047,1),'2018'!$A$1:$A$1047)),"NO","SI")</f>
        <v>NO</v>
      </c>
      <c r="I169" s="8" t="str">
        <f>IF(ISERROR(LOOKUP(2^15,SEARCH(B169,'ALERTA SANITARIA'!$B$2:$B$269,1),'2018'!$A$1:$A$1047)),"NO","SI")</f>
        <v>SI</v>
      </c>
      <c r="J169" s="6" t="str">
        <f t="shared" si="0"/>
        <v>COFEPRIS</v>
      </c>
      <c r="K169" s="6" t="str">
        <f t="array" ref="K169">IFERROR(INDEX(Anterior!$C$1:$D$323,MATCH(B169,Anterior!$B$2:$B$323,0)+1,2),0)</f>
        <v>COFEPRIS</v>
      </c>
      <c r="L169" s="6" t="str">
        <f t="shared" si="1"/>
        <v>coinciden</v>
      </c>
      <c r="M169" s="2"/>
    </row>
    <row r="170" spans="1:16" ht="15.75" customHeight="1" x14ac:dyDescent="0.25">
      <c r="A170" s="6" t="s">
        <v>356</v>
      </c>
      <c r="B170" s="6" t="s">
        <v>357</v>
      </c>
      <c r="C170" s="7" t="str">
        <f>IF(ISERROR(LOOKUP(2^15,SEARCH(B170,'2023'!$B$3:$B$1734,1),'2023'!$A$3:$A$1734)),"NO","SI")</f>
        <v>NO</v>
      </c>
      <c r="D170" s="7" t="str">
        <f>IF(ISERROR(LOOKUP(2^15,SEARCH(B170,'2022'!$B$2:$B$1591,1),'2022'!$A$2:$A$1591)),"NO","SI")</f>
        <v>NO</v>
      </c>
      <c r="E170" s="7" t="str">
        <f>IF(ISERROR(LOOKUP(2^15,SEARCH(B170,'2021'!$B$2:$B$1494,1),'2021'!$A$2:$A$1494)),"NO","SI")</f>
        <v>NO</v>
      </c>
      <c r="F170" s="7" t="str">
        <f>IF(ISERROR(LOOKUP(2^15,SEARCH(B170,'2020'!$B$2:$B$1278,1),'2020'!$A$2:$A$1278)),"NO","SI")</f>
        <v>NO</v>
      </c>
      <c r="G170" s="7" t="str">
        <f>IF(ISERROR(LOOKUP(2^15,SEARCH(B170,'2019'!$B$2:$B$1108,1),'2019'!$A$2:$A$1108)),"NO","SI")</f>
        <v>NO</v>
      </c>
      <c r="H170" s="7" t="str">
        <f>IF(ISERROR(LOOKUP(2^15,SEARCH(B170,'2018'!$B$1:$B$1047,1),'2018'!$A$1:$A$1047)),"NO","SI")</f>
        <v>NO</v>
      </c>
      <c r="I170" s="8" t="str">
        <f>IF(ISERROR(LOOKUP(2^15,SEARCH(B170,'ALERTA SANITARIA'!$B$2:$B$269,1),'2018'!$A$1:$A$1047)),"NO","SI")</f>
        <v>SI</v>
      </c>
      <c r="J170" s="6" t="str">
        <f t="shared" si="0"/>
        <v>COFEPRIS</v>
      </c>
      <c r="K170" s="6" t="str">
        <f t="array" ref="K170">IFERROR(INDEX(Anterior!$C$1:$D$323,MATCH(B170,Anterior!$B$2:$B$323,0)+1,2),0)</f>
        <v>COFEPRIS</v>
      </c>
      <c r="L170" s="6" t="str">
        <f t="shared" si="1"/>
        <v>coinciden</v>
      </c>
      <c r="M170" s="2"/>
    </row>
    <row r="171" spans="1:16" ht="15.75" customHeight="1" x14ac:dyDescent="0.25">
      <c r="A171" s="6" t="s">
        <v>358</v>
      </c>
      <c r="B171" s="6" t="s">
        <v>359</v>
      </c>
      <c r="C171" s="7" t="str">
        <f>IF(ISERROR(LOOKUP(2^15,SEARCH(B171,'2023'!$B$3:$B$1734,1),'2023'!$A$3:$A$1734)),"NO","SI")</f>
        <v>NO</v>
      </c>
      <c r="D171" s="7" t="str">
        <f>IF(ISERROR(LOOKUP(2^15,SEARCH(B171,'2022'!$B$2:$B$1591,1),'2022'!$A$2:$A$1591)),"NO","SI")</f>
        <v>NO</v>
      </c>
      <c r="E171" s="7" t="str">
        <f>IF(ISERROR(LOOKUP(2^15,SEARCH(B171,'2021'!$B$2:$B$1494,1),'2021'!$A$2:$A$1494)),"NO","SI")</f>
        <v>NO</v>
      </c>
      <c r="F171" s="7" t="str">
        <f>IF(ISERROR(LOOKUP(2^15,SEARCH(B171,'2020'!$B$2:$B$1278,1),'2020'!$A$2:$A$1278)),"NO","SI")</f>
        <v>NO</v>
      </c>
      <c r="G171" s="7" t="str">
        <f>IF(ISERROR(LOOKUP(2^15,SEARCH(B171,'2019'!$B$2:$B$1108,1),'2019'!$A$2:$A$1108)),"NO","SI")</f>
        <v>NO</v>
      </c>
      <c r="H171" s="7" t="str">
        <f>IF(ISERROR(LOOKUP(2^15,SEARCH(B171,'2018'!$B$1:$B$1047,1),'2018'!$A$1:$A$1047)),"NO","SI")</f>
        <v>NO</v>
      </c>
      <c r="I171" s="8" t="str">
        <f>IF(ISERROR(LOOKUP(2^15,SEARCH(B171,'ALERTA SANITARIA'!$B$2:$B$269,1),'2018'!$A$1:$A$1047)),"NO","SI")</f>
        <v>SI</v>
      </c>
      <c r="J171" s="6" t="str">
        <f t="shared" si="0"/>
        <v>COFEPRIS</v>
      </c>
      <c r="K171" s="6" t="str">
        <f t="array" ref="K171">IFERROR(INDEX(Anterior!$C$1:$D$323,MATCH(B171,Anterior!$B$2:$B$323,0)+1,2),0)</f>
        <v>COFEPRIS</v>
      </c>
      <c r="L171" s="6" t="str">
        <f t="shared" si="1"/>
        <v>coinciden</v>
      </c>
      <c r="M171" s="2"/>
    </row>
    <row r="172" spans="1:16" ht="15.75" customHeight="1" x14ac:dyDescent="0.25">
      <c r="A172" s="6" t="s">
        <v>360</v>
      </c>
      <c r="B172" s="6" t="s">
        <v>361</v>
      </c>
      <c r="C172" s="7" t="str">
        <f>IF(ISERROR(LOOKUP(2^15,SEARCH(B172,'2023'!$B$3:$B$1734,1),'2023'!$A$3:$A$1734)),"NO","SI")</f>
        <v>NO</v>
      </c>
      <c r="D172" s="7" t="str">
        <f>IF(ISERROR(LOOKUP(2^15,SEARCH(B172,'2022'!$B$2:$B$1591,1),'2022'!$A$2:$A$1591)),"NO","SI")</f>
        <v>NO</v>
      </c>
      <c r="E172" s="7" t="str">
        <f>IF(ISERROR(LOOKUP(2^15,SEARCH(B172,'2021'!$B$2:$B$1494,1),'2021'!$A$2:$A$1494)),"NO","SI")</f>
        <v>NO</v>
      </c>
      <c r="F172" s="7" t="str">
        <f>IF(ISERROR(LOOKUP(2^15,SEARCH(B172,'2020'!$B$2:$B$1278,1),'2020'!$A$2:$A$1278)),"NO","SI")</f>
        <v>NO</v>
      </c>
      <c r="G172" s="7" t="str">
        <f>IF(ISERROR(LOOKUP(2^15,SEARCH(B172,'2019'!$B$2:$B$1108,1),'2019'!$A$2:$A$1108)),"NO","SI")</f>
        <v>NO</v>
      </c>
      <c r="H172" s="7" t="str">
        <f>IF(ISERROR(LOOKUP(2^15,SEARCH(B172,'2018'!$B$1:$B$1047,1),'2018'!$A$1:$A$1047)),"NO","SI")</f>
        <v>NO</v>
      </c>
      <c r="I172" s="8" t="str">
        <f>IF(ISERROR(LOOKUP(2^15,SEARCH(B172,'ALERTA SANITARIA'!$B$2:$B$269,1),'2018'!$A$1:$A$1047)),"NO","SI")</f>
        <v>SI</v>
      </c>
      <c r="J172" s="6" t="str">
        <f t="shared" si="0"/>
        <v>COFEPRIS</v>
      </c>
      <c r="K172" s="6" t="str">
        <f t="array" ref="K172">IFERROR(INDEX(Anterior!$C$1:$D$323,MATCH(B172,Anterior!$B$2:$B$323,0)+1,2),0)</f>
        <v>COFEPRIS</v>
      </c>
      <c r="L172" s="6" t="str">
        <f t="shared" si="1"/>
        <v>coinciden</v>
      </c>
      <c r="M172" s="2"/>
    </row>
    <row r="173" spans="1:16" ht="15.75" customHeight="1" x14ac:dyDescent="0.25">
      <c r="A173" s="6" t="s">
        <v>362</v>
      </c>
      <c r="B173" s="6" t="s">
        <v>363</v>
      </c>
      <c r="C173" s="7" t="str">
        <f>IF(ISERROR(LOOKUP(2^15,SEARCH(B173,'2023'!$B$3:$B$1734,1),'2023'!$A$3:$A$1734)),"NO","SI")</f>
        <v>NO</v>
      </c>
      <c r="D173" s="7" t="str">
        <f>IF(ISERROR(LOOKUP(2^15,SEARCH(B173,'2022'!$B$2:$B$1591,1),'2022'!$A$2:$A$1591)),"NO","SI")</f>
        <v>NO</v>
      </c>
      <c r="E173" s="7" t="str">
        <f>IF(ISERROR(LOOKUP(2^15,SEARCH(B173,'2021'!$B$2:$B$1494,1),'2021'!$A$2:$A$1494)),"NO","SI")</f>
        <v>NO</v>
      </c>
      <c r="F173" s="7" t="str">
        <f>IF(ISERROR(LOOKUP(2^15,SEARCH(B173,'2020'!$B$2:$B$1278,1),'2020'!$A$2:$A$1278)),"NO","SI")</f>
        <v>NO</v>
      </c>
      <c r="G173" s="7" t="str">
        <f>IF(ISERROR(LOOKUP(2^15,SEARCH(B173,'2019'!$B$2:$B$1108,1),'2019'!$A$2:$A$1108)),"NO","SI")</f>
        <v>NO</v>
      </c>
      <c r="H173" s="7" t="str">
        <f>IF(ISERROR(LOOKUP(2^15,SEARCH(B173,'2018'!$B$1:$B$1047,1),'2018'!$A$1:$A$1047)),"NO","SI")</f>
        <v>NO</v>
      </c>
      <c r="I173" s="8" t="str">
        <f>IF(ISERROR(LOOKUP(2^15,SEARCH(B173,'ALERTA SANITARIA'!$B$2:$B$269,1),'2018'!$A$1:$A$1047)),"NO","SI")</f>
        <v>SI</v>
      </c>
      <c r="J173" s="6" t="str">
        <f t="shared" si="0"/>
        <v>COFEPRIS</v>
      </c>
      <c r="K173" s="6" t="str">
        <f t="array" ref="K173">IFERROR(INDEX(Anterior!$C$1:$D$323,MATCH(B173,Anterior!$B$2:$B$323,0)+1,2),0)</f>
        <v>COFEPRIS</v>
      </c>
      <c r="L173" s="6" t="str">
        <f t="shared" si="1"/>
        <v>coinciden</v>
      </c>
      <c r="M173" s="2"/>
    </row>
    <row r="174" spans="1:16" ht="15.75" customHeight="1" x14ac:dyDescent="0.25">
      <c r="A174" s="6" t="s">
        <v>364</v>
      </c>
      <c r="B174" s="6" t="s">
        <v>365</v>
      </c>
      <c r="C174" s="7" t="str">
        <f>IF(ISERROR(LOOKUP(2^15,SEARCH(B174,'2023'!$B$3:$B$1734,1),'2023'!$A$3:$A$1734)),"NO","SI")</f>
        <v>SI</v>
      </c>
      <c r="D174" s="7" t="str">
        <f>IF(ISERROR(LOOKUP(2^15,SEARCH(B174,'2022'!$B$2:$B$1591,1),'2022'!$A$2:$A$1591)),"NO","SI")</f>
        <v>SI</v>
      </c>
      <c r="E174" s="7" t="str">
        <f>IF(ISERROR(LOOKUP(2^15,SEARCH(B174,'2021'!$B$2:$B$1494,1),'2021'!$A$2:$A$1494)),"NO","SI")</f>
        <v>SI</v>
      </c>
      <c r="F174" s="7" t="str">
        <f>IF(ISERROR(LOOKUP(2^15,SEARCH(B174,'2020'!$B$2:$B$1278,1),'2020'!$A$2:$A$1278)),"NO","SI")</f>
        <v>SI</v>
      </c>
      <c r="G174" s="7" t="str">
        <f>IF(ISERROR(LOOKUP(2^15,SEARCH(B174,'2019'!$B$2:$B$1108,1),'2019'!$A$2:$A$1108)),"NO","SI")</f>
        <v>SI</v>
      </c>
      <c r="H174" s="7" t="str">
        <f>IF(ISERROR(LOOKUP(2^15,SEARCH(B174,'2018'!$B$1:$B$1047,1),'2018'!$A$1:$A$1047)),"NO","SI")</f>
        <v>SI</v>
      </c>
      <c r="I174" s="8" t="str">
        <f>IF(ISERROR(LOOKUP(2^15,SEARCH(B174,'ALERTA SANITARIA'!$B$2:$B$269,1),'2018'!$A$1:$A$1047)),"NO","SI")</f>
        <v>NO</v>
      </c>
      <c r="J174" s="6" t="str">
        <f t="shared" si="0"/>
        <v>DOF</v>
      </c>
      <c r="K174" s="6" t="str">
        <f t="array" ref="K174">IFERROR(INDEX(Anterior!$C$1:$D$323,MATCH(B174,Anterior!$B$2:$B$323,0)+1,2),0)</f>
        <v>DOF</v>
      </c>
      <c r="L174" s="6" t="str">
        <f t="shared" si="1"/>
        <v>coinciden</v>
      </c>
      <c r="M174" s="2"/>
    </row>
    <row r="175" spans="1:16" ht="15.75" customHeight="1" x14ac:dyDescent="0.25">
      <c r="A175" s="6" t="s">
        <v>366</v>
      </c>
      <c r="B175" s="6" t="s">
        <v>367</v>
      </c>
      <c r="C175" s="7" t="str">
        <f>IF(ISERROR(LOOKUP(2^15,SEARCH(B175,'2023'!$B$3:$B$1734,1),'2023'!$A$3:$A$1734)),"NO","SI")</f>
        <v>NO</v>
      </c>
      <c r="D175" s="7" t="str">
        <f>IF(ISERROR(LOOKUP(2^15,SEARCH(B175,'2022'!$B$2:$B$1591,1),'2022'!$A$2:$A$1591)),"NO","SI")</f>
        <v>NO</v>
      </c>
      <c r="E175" s="7" t="str">
        <f>IF(ISERROR(LOOKUP(2^15,SEARCH(B175,'2021'!$B$2:$B$1494,1),'2021'!$A$2:$A$1494)),"NO","SI")</f>
        <v>NO</v>
      </c>
      <c r="F175" s="7" t="str">
        <f>IF(ISERROR(LOOKUP(2^15,SEARCH(B175,'2020'!$B$2:$B$1278,1),'2020'!$A$2:$A$1278)),"NO","SI")</f>
        <v>NO</v>
      </c>
      <c r="G175" s="7" t="str">
        <f>IF(ISERROR(LOOKUP(2^15,SEARCH(B175,'2019'!$B$2:$B$1108,1),'2019'!$A$2:$A$1108)),"NO","SI")</f>
        <v>NO</v>
      </c>
      <c r="H175" s="7" t="str">
        <f>IF(ISERROR(LOOKUP(2^15,SEARCH(B175,'2018'!$B$1:$B$1047,1),'2018'!$A$1:$A$1047)),"NO","SI")</f>
        <v>NO</v>
      </c>
      <c r="I175" s="8" t="str">
        <f>IF(ISERROR(LOOKUP(2^15,SEARCH(B175,'ALERTA SANITARIA'!$B$2:$B$269,1),'2018'!$A$1:$A$1047)),"NO","SI")</f>
        <v>SI</v>
      </c>
      <c r="J175" s="6" t="str">
        <f t="shared" si="0"/>
        <v>COFEPRIS</v>
      </c>
      <c r="K175" s="6" t="str">
        <f t="array" ref="K175">IFERROR(INDEX(Anterior!$C$1:$D$323,MATCH(B175,Anterior!$B$2:$B$323,0)+1,2),0)</f>
        <v>COFEPRIS</v>
      </c>
      <c r="L175" s="6" t="str">
        <f t="shared" si="1"/>
        <v>coinciden</v>
      </c>
      <c r="M175" s="2"/>
    </row>
    <row r="176" spans="1:16" ht="15.75" customHeight="1" x14ac:dyDescent="0.25">
      <c r="A176" s="6" t="s">
        <v>368</v>
      </c>
      <c r="B176" s="6" t="s">
        <v>369</v>
      </c>
      <c r="C176" s="7" t="str">
        <f>IF(ISERROR(LOOKUP(2^15,SEARCH(B176,'2023'!$B$3:$B$1734,1),'2023'!$A$3:$A$1734)),"NO","SI")</f>
        <v>NO</v>
      </c>
      <c r="D176" s="7" t="str">
        <f>IF(ISERROR(LOOKUP(2^15,SEARCH(B176,'2022'!$B$2:$B$1591,1),'2022'!$A$2:$A$1591)),"NO","SI")</f>
        <v>NO</v>
      </c>
      <c r="E176" s="7" t="str">
        <f>IF(ISERROR(LOOKUP(2^15,SEARCH(B176,'2021'!$B$2:$B$1494,1),'2021'!$A$2:$A$1494)),"NO","SI")</f>
        <v>NO</v>
      </c>
      <c r="F176" s="7" t="str">
        <f>IF(ISERROR(LOOKUP(2^15,SEARCH(B176,'2020'!$B$2:$B$1278,1),'2020'!$A$2:$A$1278)),"NO","SI")</f>
        <v>NO</v>
      </c>
      <c r="G176" s="7" t="str">
        <f>IF(ISERROR(LOOKUP(2^15,SEARCH(B176,'2019'!$B$2:$B$1108,1),'2019'!$A$2:$A$1108)),"NO","SI")</f>
        <v>NO</v>
      </c>
      <c r="H176" s="7" t="str">
        <f>IF(ISERROR(LOOKUP(2^15,SEARCH(B176,'2018'!$B$1:$B$1047,1),'2018'!$A$1:$A$1047)),"NO","SI")</f>
        <v>NO</v>
      </c>
      <c r="I176" s="8" t="str">
        <f>IF(ISERROR(LOOKUP(2^15,SEARCH(B176,'ALERTA SANITARIA'!$B$2:$B$269,1),'2018'!$A$1:$A$1047)),"NO","SI")</f>
        <v>NO</v>
      </c>
      <c r="J176" s="6" t="str">
        <f t="shared" si="0"/>
        <v>Ninguno</v>
      </c>
      <c r="K176" s="6" t="str">
        <f t="array" ref="K176">IFERROR(INDEX(Anterior!$C$1:$D$323,MATCH(B176,Anterior!$B$2:$B$323,0)+1,2),0)</f>
        <v>Ninguno</v>
      </c>
      <c r="L176" s="6" t="str">
        <f t="shared" si="1"/>
        <v>coinciden</v>
      </c>
      <c r="M176" s="2"/>
    </row>
    <row r="177" spans="1:13" ht="15.75" customHeight="1" x14ac:dyDescent="0.25">
      <c r="A177" s="6" t="s">
        <v>370</v>
      </c>
      <c r="B177" s="6" t="s">
        <v>371</v>
      </c>
      <c r="C177" s="7" t="str">
        <f>IF(ISERROR(LOOKUP(2^15,SEARCH(B177,'2023'!$B$3:$B$1734,1),'2023'!$A$3:$A$1734)),"NO","SI")</f>
        <v>NO</v>
      </c>
      <c r="D177" s="7" t="str">
        <f>IF(ISERROR(LOOKUP(2^15,SEARCH(B177,'2022'!$B$2:$B$1591,1),'2022'!$A$2:$A$1591)),"NO","SI")</f>
        <v>NO</v>
      </c>
      <c r="E177" s="7" t="str">
        <f>IF(ISERROR(LOOKUP(2^15,SEARCH(B177,'2021'!$B$2:$B$1494,1),'2021'!$A$2:$A$1494)),"NO","SI")</f>
        <v>NO</v>
      </c>
      <c r="F177" s="7" t="str">
        <f>IF(ISERROR(LOOKUP(2^15,SEARCH(B177,'2020'!$B$2:$B$1278,1),'2020'!$A$2:$A$1278)),"NO","SI")</f>
        <v>NO</v>
      </c>
      <c r="G177" s="7" t="str">
        <f>IF(ISERROR(LOOKUP(2^15,SEARCH(B177,'2019'!$B$2:$B$1108,1),'2019'!$A$2:$A$1108)),"NO","SI")</f>
        <v>NO</v>
      </c>
      <c r="H177" s="7" t="str">
        <f>IF(ISERROR(LOOKUP(2^15,SEARCH(B177,'2018'!$B$1:$B$1047,1),'2018'!$A$1:$A$1047)),"NO","SI")</f>
        <v>NO</v>
      </c>
      <c r="I177" s="8" t="str">
        <f>IF(ISERROR(LOOKUP(2^15,SEARCH(B177,'ALERTA SANITARIA'!$B$2:$B$269,1),'2018'!$A$1:$A$1047)),"NO","SI")</f>
        <v>SI</v>
      </c>
      <c r="J177" s="6" t="str">
        <f t="shared" si="0"/>
        <v>COFEPRIS</v>
      </c>
      <c r="K177" s="6" t="str">
        <f t="array" ref="K177">IFERROR(INDEX(Anterior!$C$1:$D$323,MATCH(B177,Anterior!$B$2:$B$323,0)+1,2),0)</f>
        <v>COFEPRIS</v>
      </c>
      <c r="L177" s="6" t="str">
        <f t="shared" si="1"/>
        <v>coinciden</v>
      </c>
      <c r="M177" s="2"/>
    </row>
    <row r="178" spans="1:13" ht="15.75" customHeight="1" x14ac:dyDescent="0.25">
      <c r="A178" s="6" t="s">
        <v>372</v>
      </c>
      <c r="B178" s="6" t="s">
        <v>373</v>
      </c>
      <c r="C178" s="7" t="str">
        <f>IF(ISERROR(LOOKUP(2^15,SEARCH(B178,'2023'!$B$3:$B$1734,1),'2023'!$A$3:$A$1734)),"NO","SI")</f>
        <v>SI</v>
      </c>
      <c r="D178" s="7" t="str">
        <f>IF(ISERROR(LOOKUP(2^15,SEARCH(B178,'2022'!$B$2:$B$1591,1),'2022'!$A$2:$A$1591)),"NO","SI")</f>
        <v>SI</v>
      </c>
      <c r="E178" s="7" t="str">
        <f>IF(ISERROR(LOOKUP(2^15,SEARCH(B178,'2021'!$B$2:$B$1494,1),'2021'!$A$2:$A$1494)),"NO","SI")</f>
        <v>SI</v>
      </c>
      <c r="F178" s="7" t="str">
        <f>IF(ISERROR(LOOKUP(2^15,SEARCH(B178,'2020'!$B$2:$B$1278,1),'2020'!$A$2:$A$1278)),"NO","SI")</f>
        <v>SI</v>
      </c>
      <c r="G178" s="7" t="str">
        <f>IF(ISERROR(LOOKUP(2^15,SEARCH(B178,'2019'!$B$2:$B$1108,1),'2019'!$A$2:$A$1108)),"NO","SI")</f>
        <v>SI</v>
      </c>
      <c r="H178" s="7" t="str">
        <f>IF(ISERROR(LOOKUP(2^15,SEARCH(B178,'2018'!$B$1:$B$1047,1),'2018'!$A$1:$A$1047)),"NO","SI")</f>
        <v>SI</v>
      </c>
      <c r="I178" s="8" t="str">
        <f>IF(ISERROR(LOOKUP(2^15,SEARCH(B178,'ALERTA SANITARIA'!$B$2:$B$269,1),'2018'!$A$1:$A$1047)),"NO","SI")</f>
        <v>NO</v>
      </c>
      <c r="J178" s="6" t="str">
        <f t="shared" si="0"/>
        <v>DOF</v>
      </c>
      <c r="K178" s="6" t="str">
        <f t="array" ref="K178">IFERROR(INDEX(Anterior!$C$1:$D$323,MATCH(B178,Anterior!$B$2:$B$323,0)+1,2),0)</f>
        <v>DOF</v>
      </c>
      <c r="L178" s="6" t="str">
        <f t="shared" si="1"/>
        <v>coinciden</v>
      </c>
      <c r="M178" s="2"/>
    </row>
    <row r="179" spans="1:13" ht="15.75" customHeight="1" x14ac:dyDescent="0.25">
      <c r="A179" s="6" t="s">
        <v>374</v>
      </c>
      <c r="B179" s="6" t="s">
        <v>375</v>
      </c>
      <c r="C179" s="7" t="str">
        <f>IF(ISERROR(LOOKUP(2^15,SEARCH(B179,'2023'!$B$3:$B$1734,1),'2023'!$A$3:$A$1734)),"NO","SI")</f>
        <v>NO</v>
      </c>
      <c r="D179" s="7" t="str">
        <f>IF(ISERROR(LOOKUP(2^15,SEARCH(B179,'2022'!$B$2:$B$1591,1),'2022'!$A$2:$A$1591)),"NO","SI")</f>
        <v>NO</v>
      </c>
      <c r="E179" s="7" t="str">
        <f>IF(ISERROR(LOOKUP(2^15,SEARCH(B179,'2021'!$B$2:$B$1494,1),'2021'!$A$2:$A$1494)),"NO","SI")</f>
        <v>NO</v>
      </c>
      <c r="F179" s="7" t="str">
        <f>IF(ISERROR(LOOKUP(2^15,SEARCH(B179,'2020'!$B$2:$B$1278,1),'2020'!$A$2:$A$1278)),"NO","SI")</f>
        <v>NO</v>
      </c>
      <c r="G179" s="7" t="str">
        <f>IF(ISERROR(LOOKUP(2^15,SEARCH(B179,'2019'!$B$2:$B$1108,1),'2019'!$A$2:$A$1108)),"NO","SI")</f>
        <v>NO</v>
      </c>
      <c r="H179" s="7" t="str">
        <f>IF(ISERROR(LOOKUP(2^15,SEARCH(B179,'2018'!$B$1:$B$1047,1),'2018'!$A$1:$A$1047)),"NO","SI")</f>
        <v>NO</v>
      </c>
      <c r="I179" s="8" t="str">
        <f>IF(ISERROR(LOOKUP(2^15,SEARCH(B179,'ALERTA SANITARIA'!$B$2:$B$269,1),'2018'!$A$1:$A$1047)),"NO","SI")</f>
        <v>SI</v>
      </c>
      <c r="J179" s="6" t="str">
        <f t="shared" si="0"/>
        <v>COFEPRIS</v>
      </c>
      <c r="K179" s="6" t="str">
        <f t="array" ref="K179">IFERROR(INDEX(Anterior!$C$1:$D$323,MATCH(B179,Anterior!$B$2:$B$323,0)+1,2),0)</f>
        <v>COFEPRIS</v>
      </c>
      <c r="L179" s="6" t="str">
        <f t="shared" si="1"/>
        <v>coinciden</v>
      </c>
      <c r="M179" s="2"/>
    </row>
    <row r="180" spans="1:13" ht="15.75" customHeight="1" x14ac:dyDescent="0.25">
      <c r="A180" s="6" t="s">
        <v>376</v>
      </c>
      <c r="B180" s="6" t="s">
        <v>377</v>
      </c>
      <c r="C180" s="7" t="str">
        <f>IF(ISERROR(LOOKUP(2^15,SEARCH(B180,'2023'!$B$3:$B$1734,1),'2023'!$A$3:$A$1734)),"NO","SI")</f>
        <v>NO</v>
      </c>
      <c r="D180" s="7" t="str">
        <f>IF(ISERROR(LOOKUP(2^15,SEARCH(B180,'2022'!$B$2:$B$1591,1),'2022'!$A$2:$A$1591)),"NO","SI")</f>
        <v>NO</v>
      </c>
      <c r="E180" s="7" t="str">
        <f>IF(ISERROR(LOOKUP(2^15,SEARCH(B180,'2021'!$B$2:$B$1494,1),'2021'!$A$2:$A$1494)),"NO","SI")</f>
        <v>NO</v>
      </c>
      <c r="F180" s="7" t="str">
        <f>IF(ISERROR(LOOKUP(2^15,SEARCH(B180,'2020'!$B$2:$B$1278,1),'2020'!$A$2:$A$1278)),"NO","SI")</f>
        <v>NO</v>
      </c>
      <c r="G180" s="7" t="str">
        <f>IF(ISERROR(LOOKUP(2^15,SEARCH(B180,'2019'!$B$2:$B$1108,1),'2019'!$A$2:$A$1108)),"NO","SI")</f>
        <v>NO</v>
      </c>
      <c r="H180" s="7" t="str">
        <f>IF(ISERROR(LOOKUP(2^15,SEARCH(B180,'2018'!$B$1:$B$1047,1),'2018'!$A$1:$A$1047)),"NO","SI")</f>
        <v>NO</v>
      </c>
      <c r="I180" s="8" t="str">
        <f>IF(ISERROR(LOOKUP(2^15,SEARCH(B180,'ALERTA SANITARIA'!$B$2:$B$269,1),'2018'!$A$1:$A$1047)),"NO","SI")</f>
        <v>SI</v>
      </c>
      <c r="J180" s="6" t="str">
        <f t="shared" si="0"/>
        <v>COFEPRIS</v>
      </c>
      <c r="K180" s="6" t="str">
        <f t="array" ref="K180">IFERROR(INDEX(Anterior!$C$1:$D$323,MATCH(B180,Anterior!$B$2:$B$323,0)+1,2),0)</f>
        <v>COFEPRIS</v>
      </c>
      <c r="L180" s="6" t="str">
        <f t="shared" si="1"/>
        <v>coinciden</v>
      </c>
      <c r="M180" s="2"/>
    </row>
    <row r="181" spans="1:13" ht="15.75" customHeight="1" x14ac:dyDescent="0.25">
      <c r="A181" s="6" t="s">
        <v>378</v>
      </c>
      <c r="B181" s="6" t="s">
        <v>379</v>
      </c>
      <c r="C181" s="7" t="s">
        <v>14</v>
      </c>
      <c r="D181" s="7" t="s">
        <v>14</v>
      </c>
      <c r="E181" s="7" t="s">
        <v>14</v>
      </c>
      <c r="F181" s="7" t="s">
        <v>14</v>
      </c>
      <c r="G181" s="7" t="s">
        <v>14</v>
      </c>
      <c r="H181" s="7" t="s">
        <v>14</v>
      </c>
      <c r="I181" s="8" t="str">
        <f>IF(ISERROR(LOOKUP(2^15,SEARCH(B181,'ALERTA SANITARIA'!$B$2:$B$269,1),'2018'!$A$1:$A$1047)),"NO","SI")</f>
        <v>SI</v>
      </c>
      <c r="J181" s="6" t="str">
        <f t="shared" si="0"/>
        <v>COFEPRIS</v>
      </c>
      <c r="K181" s="6">
        <f t="array" ref="K181">IFERROR(INDEX(Anterior!$C$1:$D$323,MATCH(B181,Anterior!$B$2:$B$323,0)+1,2),0)</f>
        <v>0</v>
      </c>
      <c r="L181" s="6" t="str">
        <f t="shared" si="1"/>
        <v>Nuevo</v>
      </c>
      <c r="M181" s="2"/>
    </row>
    <row r="182" spans="1:13" ht="15.75" customHeight="1" x14ac:dyDescent="0.25">
      <c r="A182" s="6" t="s">
        <v>380</v>
      </c>
      <c r="B182" s="6" t="s">
        <v>381</v>
      </c>
      <c r="C182" s="7" t="str">
        <f>IF(ISERROR(LOOKUP(2^15,SEARCH(B182,'2023'!$B$3:$B$1734,1),'2023'!$A$3:$A$1734)),"NO","SI")</f>
        <v>NO</v>
      </c>
      <c r="D182" s="7" t="str">
        <f>IF(ISERROR(LOOKUP(2^15,SEARCH(B182,'2022'!$B$2:$B$1591,1),'2022'!$A$2:$A$1591)),"NO","SI")</f>
        <v>NO</v>
      </c>
      <c r="E182" s="7" t="str">
        <f>IF(ISERROR(LOOKUP(2^15,SEARCH(B182,'2021'!$B$2:$B$1494,1),'2021'!$A$2:$A$1494)),"NO","SI")</f>
        <v>NO</v>
      </c>
      <c r="F182" s="7" t="str">
        <f>IF(ISERROR(LOOKUP(2^15,SEARCH(B182,'2020'!$B$2:$B$1278,1),'2020'!$A$2:$A$1278)),"NO","SI")</f>
        <v>NO</v>
      </c>
      <c r="G182" s="7" t="str">
        <f>IF(ISERROR(LOOKUP(2^15,SEARCH(B182,'2019'!$B$2:$B$1108,1),'2019'!$A$2:$A$1108)),"NO","SI")</f>
        <v>NO</v>
      </c>
      <c r="H182" s="7" t="str">
        <f>IF(ISERROR(LOOKUP(2^15,SEARCH(B182,'2018'!$B$1:$B$1047,1),'2018'!$A$1:$A$1047)),"NO","SI")</f>
        <v>NO</v>
      </c>
      <c r="I182" s="8" t="str">
        <f>IF(ISERROR(LOOKUP(2^15,SEARCH(B182,'ALERTA SANITARIA'!$B$2:$B$269,1),'2018'!$A$1:$A$1047)),"NO","SI")</f>
        <v>SI</v>
      </c>
      <c r="J182" s="6" t="str">
        <f t="shared" si="0"/>
        <v>COFEPRIS</v>
      </c>
      <c r="K182" s="6" t="str">
        <f t="array" ref="K182">IFERROR(INDEX(Anterior!$C$1:$D$323,MATCH(B182,Anterior!$B$2:$B$323,0)+1,2),0)</f>
        <v>COFEPRIS</v>
      </c>
      <c r="L182" s="6" t="str">
        <f t="shared" si="1"/>
        <v>coinciden</v>
      </c>
      <c r="M182" s="2"/>
    </row>
    <row r="183" spans="1:13" ht="15.75" customHeight="1" x14ac:dyDescent="0.25">
      <c r="A183" s="6" t="s">
        <v>382</v>
      </c>
      <c r="B183" s="6" t="s">
        <v>383</v>
      </c>
      <c r="C183" s="7" t="str">
        <f>IF(ISERROR(LOOKUP(2^15,SEARCH(B183,'2023'!$B$3:$B$1734,1),'2023'!$A$3:$A$1734)),"NO","SI")</f>
        <v>NO</v>
      </c>
      <c r="D183" s="7" t="str">
        <f>IF(ISERROR(LOOKUP(2^15,SEARCH(B183,'2022'!$B$2:$B$1591,1),'2022'!$A$2:$A$1591)),"NO","SI")</f>
        <v>NO</v>
      </c>
      <c r="E183" s="7" t="str">
        <f>IF(ISERROR(LOOKUP(2^15,SEARCH(B183,'2021'!$B$2:$B$1494,1),'2021'!$A$2:$A$1494)),"NO","SI")</f>
        <v>NO</v>
      </c>
      <c r="F183" s="7" t="str">
        <f>IF(ISERROR(LOOKUP(2^15,SEARCH(B183,'2020'!$B$2:$B$1278,1),'2020'!$A$2:$A$1278)),"NO","SI")</f>
        <v>NO</v>
      </c>
      <c r="G183" s="7" t="str">
        <f>IF(ISERROR(LOOKUP(2^15,SEARCH(B183,'2019'!$B$2:$B$1108,1),'2019'!$A$2:$A$1108)),"NO","SI")</f>
        <v>NO</v>
      </c>
      <c r="H183" s="7" t="str">
        <f>IF(ISERROR(LOOKUP(2^15,SEARCH(B183,'2018'!$B$1:$B$1047,1),'2018'!$A$1:$A$1047)),"NO","SI")</f>
        <v>NO</v>
      </c>
      <c r="I183" s="8" t="str">
        <f>IF(ISERROR(LOOKUP(2^15,SEARCH(B183,'ALERTA SANITARIA'!$B$2:$B$269,1),'2018'!$A$1:$A$1047)),"NO","SI")</f>
        <v>SI</v>
      </c>
      <c r="J183" s="6" t="str">
        <f t="shared" si="0"/>
        <v>COFEPRIS</v>
      </c>
      <c r="K183" s="6" t="str">
        <f t="array" ref="K183">IFERROR(INDEX(Anterior!$C$1:$D$323,MATCH(B183,Anterior!$B$2:$B$323,0)+1,2),0)</f>
        <v>COFEPRIS</v>
      </c>
      <c r="L183" s="6" t="str">
        <f t="shared" si="1"/>
        <v>coinciden</v>
      </c>
      <c r="M183" s="2"/>
    </row>
    <row r="184" spans="1:13" ht="15.75" customHeight="1" x14ac:dyDescent="0.25">
      <c r="A184" s="6" t="s">
        <v>384</v>
      </c>
      <c r="B184" s="6" t="s">
        <v>385</v>
      </c>
      <c r="C184" s="7" t="str">
        <f>IF(ISERROR(LOOKUP(2^15,SEARCH(B184,'2023'!$B$3:$B$1734,1),'2023'!$A$3:$A$1734)),"NO","SI")</f>
        <v>NO</v>
      </c>
      <c r="D184" s="7" t="str">
        <f>IF(ISERROR(LOOKUP(2^15,SEARCH(B184,'2022'!$B$2:$B$1591,1),'2022'!$A$2:$A$1591)),"NO","SI")</f>
        <v>NO</v>
      </c>
      <c r="E184" s="7" t="str">
        <f>IF(ISERROR(LOOKUP(2^15,SEARCH(B184,'2021'!$B$2:$B$1494,1),'2021'!$A$2:$A$1494)),"NO","SI")</f>
        <v>NO</v>
      </c>
      <c r="F184" s="7" t="str">
        <f>IF(ISERROR(LOOKUP(2^15,SEARCH(B184,'2020'!$B$2:$B$1278,1),'2020'!$A$2:$A$1278)),"NO","SI")</f>
        <v>NO</v>
      </c>
      <c r="G184" s="7" t="str">
        <f>IF(ISERROR(LOOKUP(2^15,SEARCH(B184,'2019'!$B$2:$B$1108,1),'2019'!$A$2:$A$1108)),"NO","SI")</f>
        <v>NO</v>
      </c>
      <c r="H184" s="7" t="str">
        <f>IF(ISERROR(LOOKUP(2^15,SEARCH(B184,'2018'!$B$1:$B$1047,1),'2018'!$A$1:$A$1047)),"NO","SI")</f>
        <v>NO</v>
      </c>
      <c r="I184" s="8" t="str">
        <f>IF(ISERROR(LOOKUP(2^15,SEARCH(B184,'ALERTA SANITARIA'!$B$2:$B$269,1),'2018'!$A$1:$A$1047)),"NO","SI")</f>
        <v>SI</v>
      </c>
      <c r="J184" s="6" t="str">
        <f t="shared" si="0"/>
        <v>COFEPRIS</v>
      </c>
      <c r="K184" s="6" t="str">
        <f t="array" ref="K184">IFERROR(INDEX(Anterior!$C$1:$D$323,MATCH(B184,Anterior!$B$2:$B$323,0)+1,2),0)</f>
        <v>COFEPRIS</v>
      </c>
      <c r="L184" s="6" t="str">
        <f t="shared" si="1"/>
        <v>coinciden</v>
      </c>
      <c r="M184" s="2"/>
    </row>
    <row r="185" spans="1:13" ht="15.75" customHeight="1" x14ac:dyDescent="0.25">
      <c r="A185" s="6" t="s">
        <v>386</v>
      </c>
      <c r="B185" s="6" t="s">
        <v>387</v>
      </c>
      <c r="C185" s="7" t="str">
        <f>IF(ISERROR(LOOKUP(2^15,SEARCH(B185,'2023'!$B$3:$B$1734,1),'2023'!$A$3:$A$1734)),"NO","SI")</f>
        <v>NO</v>
      </c>
      <c r="D185" s="7" t="str">
        <f>IF(ISERROR(LOOKUP(2^15,SEARCH(B185,'2022'!$B$2:$B$1591,1),'2022'!$A$2:$A$1591)),"NO","SI")</f>
        <v>NO</v>
      </c>
      <c r="E185" s="7" t="str">
        <f>IF(ISERROR(LOOKUP(2^15,SEARCH(B185,'2021'!$B$2:$B$1494,1),'2021'!$A$2:$A$1494)),"NO","SI")</f>
        <v>NO</v>
      </c>
      <c r="F185" s="7" t="str">
        <f>IF(ISERROR(LOOKUP(2^15,SEARCH(B185,'2020'!$B$2:$B$1278,1),'2020'!$A$2:$A$1278)),"NO","SI")</f>
        <v>NO</v>
      </c>
      <c r="G185" s="7" t="str">
        <f>IF(ISERROR(LOOKUP(2^15,SEARCH(B185,'2019'!$B$2:$B$1108,1),'2019'!$A$2:$A$1108)),"NO","SI")</f>
        <v>NO</v>
      </c>
      <c r="H185" s="7" t="str">
        <f>IF(ISERROR(LOOKUP(2^15,SEARCH(B185,'2018'!$B$1:$B$1047,1),'2018'!$A$1:$A$1047)),"NO","SI")</f>
        <v>NO</v>
      </c>
      <c r="I185" s="8" t="str">
        <f>IF(ISERROR(LOOKUP(2^15,SEARCH(B185,'ALERTA SANITARIA'!$B$2:$B$269,1),'2018'!$A$1:$A$1047)),"NO","SI")</f>
        <v>SI</v>
      </c>
      <c r="J185" s="6" t="str">
        <f t="shared" si="0"/>
        <v>COFEPRIS</v>
      </c>
      <c r="K185" s="6" t="str">
        <f t="array" ref="K185">IFERROR(INDEX(Anterior!$C$1:$D$323,MATCH(B185,Anterior!$B$2:$B$323,0)+1,2),0)</f>
        <v>COFEPRIS</v>
      </c>
      <c r="L185" s="6" t="str">
        <f t="shared" si="1"/>
        <v>coinciden</v>
      </c>
      <c r="M185" s="2"/>
    </row>
    <row r="186" spans="1:13" ht="15.75" customHeight="1" x14ac:dyDescent="0.25">
      <c r="A186" s="6" t="s">
        <v>388</v>
      </c>
      <c r="B186" s="6" t="s">
        <v>389</v>
      </c>
      <c r="C186" s="7" t="str">
        <f>IF(ISERROR(LOOKUP(2^15,SEARCH(B186,'2023'!$B$3:$B$1734,1),'2023'!$A$3:$A$1734)),"NO","SI")</f>
        <v>NO</v>
      </c>
      <c r="D186" s="7" t="str">
        <f>IF(ISERROR(LOOKUP(2^15,SEARCH(B186,'2022'!$B$2:$B$1591,1),'2022'!$A$2:$A$1591)),"NO","SI")</f>
        <v>NO</v>
      </c>
      <c r="E186" s="7" t="str">
        <f>IF(ISERROR(LOOKUP(2^15,SEARCH(B186,'2021'!$B$2:$B$1494,1),'2021'!$A$2:$A$1494)),"NO","SI")</f>
        <v>NO</v>
      </c>
      <c r="F186" s="7" t="str">
        <f>IF(ISERROR(LOOKUP(2^15,SEARCH(B186,'2020'!$B$2:$B$1278,1),'2020'!$A$2:$A$1278)),"NO","SI")</f>
        <v>NO</v>
      </c>
      <c r="G186" s="7" t="str">
        <f>IF(ISERROR(LOOKUP(2^15,SEARCH(B186,'2019'!$B$2:$B$1108,1),'2019'!$A$2:$A$1108)),"NO","SI")</f>
        <v>NO</v>
      </c>
      <c r="H186" s="7" t="str">
        <f>IF(ISERROR(LOOKUP(2^15,SEARCH(B186,'2018'!$B$1:$B$1047,1),'2018'!$A$1:$A$1047)),"NO","SI")</f>
        <v>NO</v>
      </c>
      <c r="I186" s="8" t="str">
        <f>IF(ISERROR(LOOKUP(2^15,SEARCH(B186,'ALERTA SANITARIA'!$B$2:$B$269,1),'2018'!$A$1:$A$1047)),"NO","SI")</f>
        <v>SI</v>
      </c>
      <c r="J186" s="6" t="str">
        <f t="shared" si="0"/>
        <v>COFEPRIS</v>
      </c>
      <c r="K186" s="6" t="str">
        <f t="array" ref="K186">IFERROR(INDEX(Anterior!$C$1:$D$323,MATCH(B186,Anterior!$B$2:$B$323,0)+1,2),0)</f>
        <v>COFEPRIS</v>
      </c>
      <c r="L186" s="6" t="str">
        <f t="shared" si="1"/>
        <v>coinciden</v>
      </c>
      <c r="M186" s="2"/>
    </row>
    <row r="187" spans="1:13" ht="15.75" customHeight="1" x14ac:dyDescent="0.25">
      <c r="A187" s="6" t="s">
        <v>390</v>
      </c>
      <c r="B187" s="6" t="s">
        <v>391</v>
      </c>
      <c r="C187" s="7" t="str">
        <f>IF(ISERROR(LOOKUP(2^15,SEARCH(B187,'2023'!$B$3:$B$1734,1),'2023'!$A$3:$A$1734)),"NO","SI")</f>
        <v>SI</v>
      </c>
      <c r="D187" s="7" t="str">
        <f>IF(ISERROR(LOOKUP(2^15,SEARCH(B187,'2022'!$B$2:$B$1591,1),'2022'!$A$2:$A$1591)),"NO","SI")</f>
        <v>SI</v>
      </c>
      <c r="E187" s="7" t="str">
        <f>IF(ISERROR(LOOKUP(2^15,SEARCH(B187,'2021'!$B$2:$B$1494,1),'2021'!$A$2:$A$1494)),"NO","SI")</f>
        <v>SI</v>
      </c>
      <c r="F187" s="7" t="str">
        <f>IF(ISERROR(LOOKUP(2^15,SEARCH(B187,'2020'!$B$2:$B$1278,1),'2020'!$A$2:$A$1278)),"NO","SI")</f>
        <v>SI</v>
      </c>
      <c r="G187" s="7" t="str">
        <f>IF(ISERROR(LOOKUP(2^15,SEARCH(B187,'2019'!$B$2:$B$1108,1),'2019'!$A$2:$A$1108)),"NO","SI")</f>
        <v>SI</v>
      </c>
      <c r="H187" s="7" t="str">
        <f>IF(ISERROR(LOOKUP(2^15,SEARCH(B187,'2018'!$B$1:$B$1047,1),'2018'!$A$1:$A$1047)),"NO","SI")</f>
        <v>SI</v>
      </c>
      <c r="I187" s="8" t="str">
        <f>IF(ISERROR(LOOKUP(2^15,SEARCH(B187,'ALERTA SANITARIA'!$B$2:$B$269,1),'2018'!$A$1:$A$1047)),"NO","SI")</f>
        <v>NO</v>
      </c>
      <c r="J187" s="6" t="str">
        <f t="shared" si="0"/>
        <v>DOF</v>
      </c>
      <c r="K187" s="6" t="str">
        <f t="array" ref="K187">IFERROR(INDEX(Anterior!$C$1:$D$323,MATCH(B187,Anterior!$B$2:$B$323,0)+1,2),0)</f>
        <v>DOF</v>
      </c>
      <c r="L187" s="6" t="str">
        <f t="shared" si="1"/>
        <v>coinciden</v>
      </c>
      <c r="M187" s="2"/>
    </row>
    <row r="188" spans="1:13" ht="15.75" customHeight="1" x14ac:dyDescent="0.25">
      <c r="A188" s="6" t="s">
        <v>392</v>
      </c>
      <c r="B188" s="6" t="s">
        <v>393</v>
      </c>
      <c r="C188" s="7" t="str">
        <f>IF(ISERROR(LOOKUP(2^15,SEARCH(B188,'2023'!$B$3:$B$1734,1),'2023'!$A$3:$A$1734)),"NO","SI")</f>
        <v>NO</v>
      </c>
      <c r="D188" s="7" t="str">
        <f>IF(ISERROR(LOOKUP(2^15,SEARCH(B188,'2022'!$B$2:$B$1591,1),'2022'!$A$2:$A$1591)),"NO","SI")</f>
        <v>NO</v>
      </c>
      <c r="E188" s="7" t="str">
        <f>IF(ISERROR(LOOKUP(2^15,SEARCH(B188,'2021'!$B$2:$B$1494,1),'2021'!$A$2:$A$1494)),"NO","SI")</f>
        <v>NO</v>
      </c>
      <c r="F188" s="7" t="str">
        <f>IF(ISERROR(LOOKUP(2^15,SEARCH(B188,'2020'!$B$2:$B$1278,1),'2020'!$A$2:$A$1278)),"NO","SI")</f>
        <v>NO</v>
      </c>
      <c r="G188" s="7" t="str">
        <f>IF(ISERROR(LOOKUP(2^15,SEARCH(B188,'2019'!$B$2:$B$1108,1),'2019'!$A$2:$A$1108)),"NO","SI")</f>
        <v>NO</v>
      </c>
      <c r="H188" s="7" t="str">
        <f>IF(ISERROR(LOOKUP(2^15,SEARCH(B188,'2018'!$B$1:$B$1047,1),'2018'!$A$1:$A$1047)),"NO","SI")</f>
        <v>NO</v>
      </c>
      <c r="I188" s="8" t="str">
        <f>IF(ISERROR(LOOKUP(2^15,SEARCH(B188,'ALERTA SANITARIA'!$B$2:$B$269,1),'2018'!$A$1:$A$1047)),"NO","SI")</f>
        <v>SI</v>
      </c>
      <c r="J188" s="6" t="str">
        <f t="shared" si="0"/>
        <v>COFEPRIS</v>
      </c>
      <c r="K188" s="6" t="str">
        <f t="array" ref="K188">IFERROR(INDEX(Anterior!$C$1:$D$323,MATCH(B188,Anterior!$B$2:$B$323,0)+1,2),0)</f>
        <v>COFEPRIS</v>
      </c>
      <c r="L188" s="6" t="str">
        <f t="shared" si="1"/>
        <v>coinciden</v>
      </c>
      <c r="M188" s="2"/>
    </row>
    <row r="189" spans="1:13" ht="15.75" customHeight="1" x14ac:dyDescent="0.25">
      <c r="A189" s="6" t="s">
        <v>394</v>
      </c>
      <c r="B189" s="6" t="s">
        <v>395</v>
      </c>
      <c r="C189" s="7" t="str">
        <f>IF(ISERROR(LOOKUP(2^15,SEARCH(B189,'2023'!$B$3:$B$1734,1),'2023'!$A$3:$A$1734)),"NO","SI")</f>
        <v>SI</v>
      </c>
      <c r="D189" s="7" t="str">
        <f>IF(ISERROR(LOOKUP(2^15,SEARCH(B189,'2022'!$B$2:$B$1591,1),'2022'!$A$2:$A$1591)),"NO","SI")</f>
        <v>SI</v>
      </c>
      <c r="E189" s="7" t="str">
        <f>IF(ISERROR(LOOKUP(2^15,SEARCH(B189,'2021'!$B$2:$B$1494,1),'2021'!$A$2:$A$1494)),"NO","SI")</f>
        <v>SI</v>
      </c>
      <c r="F189" s="7" t="str">
        <f>IF(ISERROR(LOOKUP(2^15,SEARCH(B189,'2020'!$B$2:$B$1278,1),'2020'!$A$2:$A$1278)),"NO","SI")</f>
        <v>SI</v>
      </c>
      <c r="G189" s="7" t="str">
        <f>IF(ISERROR(LOOKUP(2^15,SEARCH(B189,'2019'!$B$2:$B$1108,1),'2019'!$A$2:$A$1108)),"NO","SI")</f>
        <v>SI</v>
      </c>
      <c r="H189" s="7" t="str">
        <f>IF(ISERROR(LOOKUP(2^15,SEARCH(B189,'2018'!$B$1:$B$1047,1),'2018'!$A$1:$A$1047)),"NO","SI")</f>
        <v>SI</v>
      </c>
      <c r="I189" s="8" t="str">
        <f>IF(ISERROR(LOOKUP(2^15,SEARCH(B189,'ALERTA SANITARIA'!$B$2:$B$269,1),'2018'!$A$1:$A$1047)),"NO","SI")</f>
        <v>NO</v>
      </c>
      <c r="J189" s="6" t="str">
        <f t="shared" si="0"/>
        <v>DOF</v>
      </c>
      <c r="K189" s="6" t="str">
        <f t="array" ref="K189">IFERROR(INDEX(Anterior!$C$1:$D$323,MATCH(B189,Anterior!$B$2:$B$323,0)+1,2),0)</f>
        <v>DOF</v>
      </c>
      <c r="L189" s="6" t="str">
        <f t="shared" si="1"/>
        <v>coinciden</v>
      </c>
      <c r="M189" s="2"/>
    </row>
    <row r="190" spans="1:13" ht="15.75" customHeight="1" x14ac:dyDescent="0.25">
      <c r="A190" s="6" t="s">
        <v>396</v>
      </c>
      <c r="B190" s="6" t="s">
        <v>397</v>
      </c>
      <c r="C190" s="7" t="str">
        <f>IF(ISERROR(LOOKUP(2^15,SEARCH(B190,'2023'!$B$3:$B$1734,1),'2023'!$A$3:$A$1734)),"NO","SI")</f>
        <v>NO</v>
      </c>
      <c r="D190" s="7" t="str">
        <f>IF(ISERROR(LOOKUP(2^15,SEARCH(B190,'2022'!$B$2:$B$1591,1),'2022'!$A$2:$A$1591)),"NO","SI")</f>
        <v>NO</v>
      </c>
      <c r="E190" s="7" t="str">
        <f>IF(ISERROR(LOOKUP(2^15,SEARCH(B190,'2021'!$B$2:$B$1494,1),'2021'!$A$2:$A$1494)),"NO","SI")</f>
        <v>NO</v>
      </c>
      <c r="F190" s="7" t="str">
        <f>IF(ISERROR(LOOKUP(2^15,SEARCH(B190,'2020'!$B$2:$B$1278,1),'2020'!$A$2:$A$1278)),"NO","SI")</f>
        <v>NO</v>
      </c>
      <c r="G190" s="7" t="str">
        <f>IF(ISERROR(LOOKUP(2^15,SEARCH(B190,'2019'!$B$2:$B$1108,1),'2019'!$A$2:$A$1108)),"NO","SI")</f>
        <v>NO</v>
      </c>
      <c r="H190" s="7" t="str">
        <f>IF(ISERROR(LOOKUP(2^15,SEARCH(B190,'2018'!$B$1:$B$1047,1),'2018'!$A$1:$A$1047)),"NO","SI")</f>
        <v>NO</v>
      </c>
      <c r="I190" s="8" t="str">
        <f>IF(ISERROR(LOOKUP(2^15,SEARCH(B190,'ALERTA SANITARIA'!$B$2:$B$269,1),'2018'!$A$1:$A$1047)),"NO","SI")</f>
        <v>NO</v>
      </c>
      <c r="J190" s="6" t="str">
        <f t="shared" si="0"/>
        <v>Ninguno</v>
      </c>
      <c r="K190" s="6" t="str">
        <f t="array" ref="K190">IFERROR(INDEX(Anterior!$C$1:$D$323,MATCH(B190,Anterior!$B$2:$B$323,0)+1,2),0)</f>
        <v>Ninguno</v>
      </c>
      <c r="L190" s="6" t="str">
        <f t="shared" si="1"/>
        <v>coinciden</v>
      </c>
      <c r="M190" s="2" t="s">
        <v>14</v>
      </c>
    </row>
    <row r="191" spans="1:13" ht="15.75" customHeight="1" x14ac:dyDescent="0.25">
      <c r="A191" s="6" t="s">
        <v>398</v>
      </c>
      <c r="B191" s="6" t="s">
        <v>399</v>
      </c>
      <c r="C191" s="7" t="str">
        <f>IF(ISERROR(LOOKUP(2^15,SEARCH(B191,'2023'!$B$3:$B$1734,1),'2023'!$A$3:$A$1734)),"NO","SI")</f>
        <v>NO</v>
      </c>
      <c r="D191" s="7" t="str">
        <f>IF(ISERROR(LOOKUP(2^15,SEARCH(B191,'2022'!$B$2:$B$1591,1),'2022'!$A$2:$A$1591)),"NO","SI")</f>
        <v>NO</v>
      </c>
      <c r="E191" s="7" t="str">
        <f>IF(ISERROR(LOOKUP(2^15,SEARCH(B191,'2021'!$B$2:$B$1494,1),'2021'!$A$2:$A$1494)),"NO","SI")</f>
        <v>NO</v>
      </c>
      <c r="F191" s="7" t="str">
        <f>IF(ISERROR(LOOKUP(2^15,SEARCH(B191,'2020'!$B$2:$B$1278,1),'2020'!$A$2:$A$1278)),"NO","SI")</f>
        <v>NO</v>
      </c>
      <c r="G191" s="7" t="str">
        <f>IF(ISERROR(LOOKUP(2^15,SEARCH(B191,'2019'!$B$2:$B$1108,1),'2019'!$A$2:$A$1108)),"NO","SI")</f>
        <v>NO</v>
      </c>
      <c r="H191" s="7" t="str">
        <f>IF(ISERROR(LOOKUP(2^15,SEARCH(B191,'2018'!$B$1:$B$1047,1),'2018'!$A$1:$A$1047)),"NO","SI")</f>
        <v>NO</v>
      </c>
      <c r="I191" s="8" t="str">
        <f>IF(ISERROR(LOOKUP(2^15,SEARCH(B191,'ALERTA SANITARIA'!$B$2:$B$269,1),'2018'!$A$1:$A$1047)),"NO","SI")</f>
        <v>SI</v>
      </c>
      <c r="J191" s="6" t="str">
        <f t="shared" si="0"/>
        <v>COFEPRIS</v>
      </c>
      <c r="K191" s="6" t="str">
        <f t="array" ref="K191">IFERROR(INDEX(Anterior!$C$1:$D$323,MATCH(B191,Anterior!$B$2:$B$323,0)+1,2),0)</f>
        <v>COFEPRIS</v>
      </c>
      <c r="L191" s="6" t="str">
        <f t="shared" si="1"/>
        <v>coinciden</v>
      </c>
      <c r="M191" s="2"/>
    </row>
    <row r="192" spans="1:13" ht="15.75" customHeight="1" x14ac:dyDescent="0.25">
      <c r="A192" s="6" t="s">
        <v>400</v>
      </c>
      <c r="B192" s="6" t="s">
        <v>401</v>
      </c>
      <c r="C192" s="7" t="s">
        <v>14</v>
      </c>
      <c r="D192" s="7" t="s">
        <v>14</v>
      </c>
      <c r="E192" s="7" t="s">
        <v>14</v>
      </c>
      <c r="F192" s="7" t="str">
        <f>IF(ISERROR(LOOKUP(2^15,SEARCH(B192,'2020'!$B$2:$B$1278,1),'2020'!$A$2:$A$1278)),"NO","SI")</f>
        <v>NO</v>
      </c>
      <c r="G192" s="7" t="str">
        <f>IF(ISERROR(LOOKUP(2^15,SEARCH(B192,'2019'!$B$2:$B$1108,1),'2019'!$A$2:$A$1108)),"NO","SI")</f>
        <v>NO</v>
      </c>
      <c r="H192" s="7" t="str">
        <f>IF(ISERROR(LOOKUP(2^15,SEARCH(B192,'2018'!$B$1:$B$1047,1),'2018'!$A$1:$A$1047)),"NO","SI")</f>
        <v>NO</v>
      </c>
      <c r="I192" s="8" t="str">
        <f>IF(ISERROR(LOOKUP(2^15,SEARCH(B192,'ALERTA SANITARIA'!$B$2:$B$269,1),'2018'!$A$1:$A$1047)),"NO","SI")</f>
        <v>SI</v>
      </c>
      <c r="J192" s="6" t="str">
        <f t="shared" si="0"/>
        <v>COFEPRIS</v>
      </c>
      <c r="K192" s="6" t="str">
        <f t="array" ref="K192">IFERROR(INDEX(Anterior!$C$1:$D$323,MATCH(B192,Anterior!$B$2:$B$323,0)+1,2),0)</f>
        <v>COFEPRIS</v>
      </c>
      <c r="L192" s="6" t="str">
        <f t="shared" si="1"/>
        <v>coinciden</v>
      </c>
      <c r="M192" s="2"/>
    </row>
    <row r="193" spans="1:16" ht="15.75" customHeight="1" x14ac:dyDescent="0.25">
      <c r="A193" s="6" t="s">
        <v>402</v>
      </c>
      <c r="B193" s="6" t="s">
        <v>403</v>
      </c>
      <c r="C193" s="7" t="str">
        <f>IF(ISERROR(LOOKUP(2^15,SEARCH(B193,'2023'!$B$3:$B$1734,1),'2023'!$A$3:$A$1734)),"NO","SI")</f>
        <v>NO</v>
      </c>
      <c r="D193" s="7" t="str">
        <f>IF(ISERROR(LOOKUP(2^15,SEARCH(B193,'2022'!$B$2:$B$1591,1),'2022'!$A$2:$A$1591)),"NO","SI")</f>
        <v>NO</v>
      </c>
      <c r="E193" s="7" t="str">
        <f>IF(ISERROR(LOOKUP(2^15,SEARCH(B193,'2021'!$B$2:$B$1494,1),'2021'!$A$2:$A$1494)),"NO","SI")</f>
        <v>NO</v>
      </c>
      <c r="F193" s="7" t="str">
        <f>IF(ISERROR(LOOKUP(2^15,SEARCH(B193,'2020'!$B$2:$B$1278,1),'2020'!$A$2:$A$1278)),"NO","SI")</f>
        <v>NO</v>
      </c>
      <c r="G193" s="7" t="str">
        <f>IF(ISERROR(LOOKUP(2^15,SEARCH(B193,'2019'!$B$2:$B$1108,1),'2019'!$A$2:$A$1108)),"NO","SI")</f>
        <v>NO</v>
      </c>
      <c r="H193" s="7" t="str">
        <f>IF(ISERROR(LOOKUP(2^15,SEARCH(B193,'2018'!$B$1:$B$1047,1),'2018'!$A$1:$A$1047)),"NO","SI")</f>
        <v>NO</v>
      </c>
      <c r="I193" s="8" t="str">
        <f>IF(ISERROR(LOOKUP(2^15,SEARCH(B193,'ALERTA SANITARIA'!$B$2:$B$269,1),'2018'!$A$1:$A$1047)),"NO","SI")</f>
        <v>SI</v>
      </c>
      <c r="J193" s="6" t="str">
        <f t="shared" si="0"/>
        <v>COFEPRIS</v>
      </c>
      <c r="K193" s="6" t="str">
        <f t="array" ref="K193">IFERROR(INDEX(Anterior!$C$1:$D$323,MATCH(B193,Anterior!$B$2:$B$323,0)+1,2),0)</f>
        <v>COFEPRIS</v>
      </c>
      <c r="L193" s="6" t="str">
        <f t="shared" si="1"/>
        <v>coinciden</v>
      </c>
      <c r="M193" s="2"/>
    </row>
    <row r="194" spans="1:16" ht="15.75" customHeight="1" x14ac:dyDescent="0.25">
      <c r="A194" s="6" t="s">
        <v>404</v>
      </c>
      <c r="B194" s="6" t="s">
        <v>405</v>
      </c>
      <c r="C194" s="7" t="str">
        <f>IF(ISERROR(LOOKUP(2^15,SEARCH(B194,'2023'!$B$3:$B$1734,1),'2023'!$A$3:$A$1734)),"NO","SI")</f>
        <v>NO</v>
      </c>
      <c r="D194" s="7" t="str">
        <f>IF(ISERROR(LOOKUP(2^15,SEARCH(B194,'2022'!$B$2:$B$1591,1),'2022'!$A$2:$A$1591)),"NO","SI")</f>
        <v>NO</v>
      </c>
      <c r="E194" s="7" t="str">
        <f>IF(ISERROR(LOOKUP(2^15,SEARCH(B194,'2021'!$B$2:$B$1494,1),'2021'!$A$2:$A$1494)),"NO","SI")</f>
        <v>NO</v>
      </c>
      <c r="F194" s="7" t="str">
        <f>IF(ISERROR(LOOKUP(2^15,SEARCH(B194,'2020'!$B$2:$B$1278,1),'2020'!$A$2:$A$1278)),"NO","SI")</f>
        <v>NO</v>
      </c>
      <c r="G194" s="7" t="str">
        <f>IF(ISERROR(LOOKUP(2^15,SEARCH(B194,'2019'!$B$2:$B$1108,1),'2019'!$A$2:$A$1108)),"NO","SI")</f>
        <v>NO</v>
      </c>
      <c r="H194" s="7" t="str">
        <f>IF(ISERROR(LOOKUP(2^15,SEARCH(B194,'2018'!$B$1:$B$1047,1),'2018'!$A$1:$A$1047)),"NO","SI")</f>
        <v>NO</v>
      </c>
      <c r="I194" s="8" t="str">
        <f>IF(ISERROR(LOOKUP(2^15,SEARCH(B194,'ALERTA SANITARIA'!$B$2:$B$269,1),'2018'!$A$1:$A$1047)),"NO","SI")</f>
        <v>SI</v>
      </c>
      <c r="J194" s="6" t="str">
        <f t="shared" si="0"/>
        <v>COFEPRIS</v>
      </c>
      <c r="K194" s="6" t="str">
        <f t="array" ref="K194">IFERROR(INDEX(Anterior!$C$1:$D$323,MATCH(B194,Anterior!$B$2:$B$323,0)+1,2),0)</f>
        <v>COFEPRIS</v>
      </c>
      <c r="L194" s="6" t="str">
        <f t="shared" si="1"/>
        <v>coinciden</v>
      </c>
      <c r="M194" s="2"/>
    </row>
    <row r="195" spans="1:16" ht="15.75" customHeight="1" x14ac:dyDescent="0.25">
      <c r="A195" s="6" t="s">
        <v>406</v>
      </c>
      <c r="B195" s="6" t="s">
        <v>407</v>
      </c>
      <c r="C195" s="7" t="str">
        <f>IF(ISERROR(LOOKUP(2^15,SEARCH(B195,'2023'!$B$3:$B$1734,1),'2023'!$A$3:$A$1734)),"NO","SI")</f>
        <v>NO</v>
      </c>
      <c r="D195" s="7" t="str">
        <f>IF(ISERROR(LOOKUP(2^15,SEARCH(B195,'2022'!$B$2:$B$1591,1),'2022'!$A$2:$A$1591)),"NO","SI")</f>
        <v>NO</v>
      </c>
      <c r="E195" s="7" t="str">
        <f>IF(ISERROR(LOOKUP(2^15,SEARCH(B195,'2021'!$B$2:$B$1494,1),'2021'!$A$2:$A$1494)),"NO","SI")</f>
        <v>NO</v>
      </c>
      <c r="F195" s="7" t="str">
        <f>IF(ISERROR(LOOKUP(2^15,SEARCH(B195,'2020'!$B$2:$B$1278,1),'2020'!$A$2:$A$1278)),"NO","SI")</f>
        <v>NO</v>
      </c>
      <c r="G195" s="7" t="str">
        <f>IF(ISERROR(LOOKUP(2^15,SEARCH(B195,'2019'!$B$2:$B$1108,1),'2019'!$A$2:$A$1108)),"NO","SI")</f>
        <v>NO</v>
      </c>
      <c r="H195" s="7" t="str">
        <f>IF(ISERROR(LOOKUP(2^15,SEARCH(B195,'2018'!$B$1:$B$1047,1),'2018'!$A$1:$A$1047)),"NO","SI")</f>
        <v>NO</v>
      </c>
      <c r="I195" s="8" t="str">
        <f>IF(ISERROR(LOOKUP(2^15,SEARCH(B195,'ALERTA SANITARIA'!$B$2:$B$269,1),'2018'!$A$1:$A$1047)),"NO","SI")</f>
        <v>NO</v>
      </c>
      <c r="J195" s="6" t="str">
        <f t="shared" si="0"/>
        <v>Ninguno</v>
      </c>
      <c r="K195" s="6">
        <f t="array" ref="K195">IFERROR(INDEX(Anterior!$C$1:$D$323,MATCH(B195,Anterior!$B$2:$B$323,0)+1,2),0)</f>
        <v>0</v>
      </c>
      <c r="L195" s="6" t="str">
        <f t="shared" si="1"/>
        <v>Nuevo</v>
      </c>
      <c r="M195" s="2" t="s">
        <v>14</v>
      </c>
    </row>
    <row r="196" spans="1:16" ht="15.75" customHeight="1" x14ac:dyDescent="0.25">
      <c r="A196" s="6" t="s">
        <v>408</v>
      </c>
      <c r="B196" s="6" t="s">
        <v>409</v>
      </c>
      <c r="C196" s="7" t="str">
        <f>IF(ISERROR(LOOKUP(2^15,SEARCH(B196,'2023'!$B$3:$B$1734,1),'2023'!$A$3:$A$1734)),"NO","SI")</f>
        <v>NO</v>
      </c>
      <c r="D196" s="7" t="str">
        <f>IF(ISERROR(LOOKUP(2^15,SEARCH(B196,'2022'!$B$2:$B$1591,1),'2022'!$A$2:$A$1591)),"NO","SI")</f>
        <v>NO</v>
      </c>
      <c r="E196" s="7" t="str">
        <f>IF(ISERROR(LOOKUP(2^15,SEARCH(B196,'2021'!$B$2:$B$1494,1),'2021'!$A$2:$A$1494)),"NO","SI")</f>
        <v>NO</v>
      </c>
      <c r="F196" s="7" t="str">
        <f>IF(ISERROR(LOOKUP(2^15,SEARCH(B196,'2020'!$B$2:$B$1278,1),'2020'!$A$2:$A$1278)),"NO","SI")</f>
        <v>NO</v>
      </c>
      <c r="G196" s="7" t="str">
        <f>IF(ISERROR(LOOKUP(2^15,SEARCH(B196,'2019'!$B$2:$B$1108,1),'2019'!$A$2:$A$1108)),"NO","SI")</f>
        <v>NO</v>
      </c>
      <c r="H196" s="7" t="str">
        <f>IF(ISERROR(LOOKUP(2^15,SEARCH(B196,'2018'!$B$1:$B$1047,1),'2018'!$A$1:$A$1047)),"NO","SI")</f>
        <v>NO</v>
      </c>
      <c r="I196" s="8" t="str">
        <f>IF(ISERROR(LOOKUP(2^15,SEARCH(B196,'ALERTA SANITARIA'!$B$2:$B$269,1),'2018'!$A$1:$A$1047)),"NO","SI")</f>
        <v>SI</v>
      </c>
      <c r="J196" s="6" t="str">
        <f t="shared" si="0"/>
        <v>COFEPRIS</v>
      </c>
      <c r="K196" s="6" t="str">
        <f t="array" ref="K196">IFERROR(INDEX(Anterior!$C$1:$D$323,MATCH(B196,Anterior!$B$2:$B$323,0)+1,2),0)</f>
        <v>COFEPRIS</v>
      </c>
      <c r="L196" s="6" t="str">
        <f t="shared" si="1"/>
        <v>coinciden</v>
      </c>
      <c r="M196" s="2"/>
    </row>
    <row r="197" spans="1:16" ht="15.75" customHeight="1" x14ac:dyDescent="0.25">
      <c r="A197" s="6" t="s">
        <v>410</v>
      </c>
      <c r="B197" s="6" t="s">
        <v>411</v>
      </c>
      <c r="C197" s="7" t="str">
        <f>IF(ISERROR(LOOKUP(2^15,SEARCH(B197,'2023'!$B$3:$B$1734,1),'2023'!$A$3:$A$1734)),"NO","SI")</f>
        <v>NO</v>
      </c>
      <c r="D197" s="7" t="str">
        <f>IF(ISERROR(LOOKUP(2^15,SEARCH(B197,'2022'!$B$2:$B$1591,1),'2022'!$A$2:$A$1591)),"NO","SI")</f>
        <v>NO</v>
      </c>
      <c r="E197" s="7" t="str">
        <f>IF(ISERROR(LOOKUP(2^15,SEARCH(B197,'2021'!$B$2:$B$1494,1),'2021'!$A$2:$A$1494)),"NO","SI")</f>
        <v>NO</v>
      </c>
      <c r="F197" s="7" t="str">
        <f>IF(ISERROR(LOOKUP(2^15,SEARCH(B197,'2020'!$B$2:$B$1278,1),'2020'!$A$2:$A$1278)),"NO","SI")</f>
        <v>NO</v>
      </c>
      <c r="G197" s="7" t="str">
        <f>IF(ISERROR(LOOKUP(2^15,SEARCH(B197,'2019'!$B$2:$B$1108,1),'2019'!$A$2:$A$1108)),"NO","SI")</f>
        <v>NO</v>
      </c>
      <c r="H197" s="7" t="str">
        <f>IF(ISERROR(LOOKUP(2^15,SEARCH(B197,'2018'!$B$1:$B$1047,1),'2018'!$A$1:$A$1047)),"NO","SI")</f>
        <v>NO</v>
      </c>
      <c r="I197" s="8" t="str">
        <f>IF(ISERROR(LOOKUP(2^15,SEARCH(B197,'ALERTA SANITARIA'!$B$2:$B$269,1),'2018'!$A$1:$A$1047)),"NO","SI")</f>
        <v>SI</v>
      </c>
      <c r="J197" s="6" t="str">
        <f t="shared" si="0"/>
        <v>COFEPRIS</v>
      </c>
      <c r="K197" s="6" t="str">
        <f t="array" ref="K197">IFERROR(INDEX(Anterior!$C$1:$D$323,MATCH(B197,Anterior!$B$2:$B$323,0)+1,2),0)</f>
        <v>COFEPRIS</v>
      </c>
      <c r="L197" s="6" t="str">
        <f t="shared" si="1"/>
        <v>coinciden</v>
      </c>
      <c r="M197" s="2"/>
    </row>
    <row r="198" spans="1:16" ht="15.75" customHeight="1" x14ac:dyDescent="0.25">
      <c r="A198" s="6" t="s">
        <v>412</v>
      </c>
      <c r="B198" s="6" t="s">
        <v>413</v>
      </c>
      <c r="C198" s="7" t="str">
        <f>IF(ISERROR(LOOKUP(2^15,SEARCH(B198,'2023'!$B$3:$B$1734,1),'2023'!$A$3:$A$1734)),"NO","SI")</f>
        <v>SI</v>
      </c>
      <c r="D198" s="7" t="s">
        <v>14</v>
      </c>
      <c r="E198" s="7" t="s">
        <v>14</v>
      </c>
      <c r="F198" s="7" t="str">
        <f>IF(ISERROR(LOOKUP(2^15,SEARCH(B198,'2020'!$B$2:$B$1278,1),'2020'!$A$2:$A$1278)),"NO","SI")</f>
        <v>NO</v>
      </c>
      <c r="G198" s="7" t="str">
        <f>IF(ISERROR(LOOKUP(2^15,SEARCH(B198,'2019'!$B$2:$B$1108,1),'2019'!$A$2:$A$1108)),"NO","SI")</f>
        <v>NO</v>
      </c>
      <c r="H198" s="7" t="str">
        <f>IF(ISERROR(LOOKUP(2^15,SEARCH(B198,'2018'!$B$1:$B$1047,1),'2018'!$A$1:$A$1047)),"NO","SI")</f>
        <v>NO</v>
      </c>
      <c r="I198" s="8" t="str">
        <f>IF(ISERROR(LOOKUP(2^15,SEARCH(B198,'ALERTA SANITARIA'!$B$2:$B$269,1),'2018'!$A$1:$A$1047)),"NO","SI")</f>
        <v>SI</v>
      </c>
      <c r="J198" s="6" t="str">
        <f t="shared" si="0"/>
        <v>AMBOS</v>
      </c>
      <c r="K198" s="6" t="str">
        <f t="array" ref="K198">IFERROR(INDEX(Anterior!$C$1:$D$323,MATCH(B198,Anterior!$B$2:$B$323,0)+1,2),0)</f>
        <v>COFEPRIS</v>
      </c>
      <c r="L198" s="6" t="str">
        <f t="shared" si="1"/>
        <v>Discrepan</v>
      </c>
      <c r="M198" s="2" t="s">
        <v>14</v>
      </c>
      <c r="P198" s="6" t="s">
        <v>414</v>
      </c>
    </row>
    <row r="199" spans="1:16" ht="15.75" customHeight="1" x14ac:dyDescent="0.25">
      <c r="A199" s="6" t="s">
        <v>415</v>
      </c>
      <c r="B199" s="6" t="s">
        <v>416</v>
      </c>
      <c r="C199" s="7" t="str">
        <f>IF(ISERROR(LOOKUP(2^15,SEARCH(B199,'2023'!$B$3:$B$1734,1),'2023'!$A$3:$A$1734)),"NO","SI")</f>
        <v>NO</v>
      </c>
      <c r="D199" s="7" t="str">
        <f>IF(ISERROR(LOOKUP(2^15,SEARCH(B199,'2022'!$B$2:$B$1591,1),'2022'!$A$2:$A$1591)),"NO","SI")</f>
        <v>NO</v>
      </c>
      <c r="E199" s="7" t="str">
        <f>IF(ISERROR(LOOKUP(2^15,SEARCH(B199,'2021'!$B$2:$B$1494,1),'2021'!$A$2:$A$1494)),"NO","SI")</f>
        <v>NO</v>
      </c>
      <c r="F199" s="7" t="str">
        <f>IF(ISERROR(LOOKUP(2^15,SEARCH(B199,'2020'!$B$2:$B$1278,1),'2020'!$A$2:$A$1278)),"NO","SI")</f>
        <v>NO</v>
      </c>
      <c r="G199" s="7" t="str">
        <f>IF(ISERROR(LOOKUP(2^15,SEARCH(B199,'2019'!$B$2:$B$1108,1),'2019'!$A$2:$A$1108)),"NO","SI")</f>
        <v>NO</v>
      </c>
      <c r="H199" s="7" t="str">
        <f>IF(ISERROR(LOOKUP(2^15,SEARCH(B199,'2018'!$B$1:$B$1047,1),'2018'!$A$1:$A$1047)),"NO","SI")</f>
        <v>NO</v>
      </c>
      <c r="I199" s="8" t="str">
        <f>IF(ISERROR(LOOKUP(2^15,SEARCH(B199,'ALERTA SANITARIA'!$B$2:$B$269,1),'2018'!$A$1:$A$1047)),"NO","SI")</f>
        <v>NO</v>
      </c>
      <c r="J199" s="6" t="str">
        <f t="shared" si="0"/>
        <v>Ninguno</v>
      </c>
      <c r="K199" s="6" t="str">
        <f t="array" ref="K199">IFERROR(INDEX(Anterior!$C$1:$D$323,MATCH(B199,Anterior!$B$2:$B$323,0)+1,2),0)</f>
        <v>Ninguno</v>
      </c>
      <c r="L199" s="6" t="str">
        <f t="shared" si="1"/>
        <v>coinciden</v>
      </c>
      <c r="M199" s="2"/>
    </row>
    <row r="200" spans="1:16" ht="15.75" customHeight="1" x14ac:dyDescent="0.25">
      <c r="A200" s="6" t="s">
        <v>417</v>
      </c>
      <c r="B200" s="6" t="s">
        <v>418</v>
      </c>
      <c r="C200" s="7" t="str">
        <f>IF(ISERROR(LOOKUP(2^15,SEARCH(B200,'2023'!$B$3:$B$1734,1),'2023'!$A$3:$A$1734)),"NO","SI")</f>
        <v>NO</v>
      </c>
      <c r="D200" s="7" t="str">
        <f>IF(ISERROR(LOOKUP(2^15,SEARCH(B200,'2022'!$B$2:$B$1591,1),'2022'!$A$2:$A$1591)),"NO","SI")</f>
        <v>NO</v>
      </c>
      <c r="E200" s="7" t="str">
        <f>IF(ISERROR(LOOKUP(2^15,SEARCH(B200,'2021'!$B$2:$B$1494,1),'2021'!$A$2:$A$1494)),"NO","SI")</f>
        <v>NO</v>
      </c>
      <c r="F200" s="7" t="str">
        <f>IF(ISERROR(LOOKUP(2^15,SEARCH(B200,'2020'!$B$2:$B$1278,1),'2020'!$A$2:$A$1278)),"NO","SI")</f>
        <v>NO</v>
      </c>
      <c r="G200" s="7" t="str">
        <f>IF(ISERROR(LOOKUP(2^15,SEARCH(B200,'2019'!$B$2:$B$1108,1),'2019'!$A$2:$A$1108)),"NO","SI")</f>
        <v>NO</v>
      </c>
      <c r="H200" s="7" t="str">
        <f>IF(ISERROR(LOOKUP(2^15,SEARCH(B200,'2018'!$B$1:$B$1047,1),'2018'!$A$1:$A$1047)),"NO","SI")</f>
        <v>NO</v>
      </c>
      <c r="I200" s="8" t="str">
        <f>IF(ISERROR(LOOKUP(2^15,SEARCH(B200,'ALERTA SANITARIA'!$B$2:$B$269,1),'2018'!$A$1:$A$1047)),"NO","SI")</f>
        <v>SI</v>
      </c>
      <c r="J200" s="6" t="str">
        <f t="shared" si="0"/>
        <v>COFEPRIS</v>
      </c>
      <c r="K200" s="6" t="str">
        <f t="array" ref="K200">IFERROR(INDEX(Anterior!$C$1:$D$323,MATCH(B200,Anterior!$B$2:$B$323,0)+1,2),0)</f>
        <v>COFEPRIS</v>
      </c>
      <c r="L200" s="6" t="str">
        <f t="shared" si="1"/>
        <v>coinciden</v>
      </c>
      <c r="M200" s="2"/>
    </row>
    <row r="201" spans="1:16" ht="15.75" customHeight="1" x14ac:dyDescent="0.25">
      <c r="A201" s="6" t="s">
        <v>419</v>
      </c>
      <c r="B201" s="6" t="s">
        <v>420</v>
      </c>
      <c r="C201" s="7" t="str">
        <f>IF(ISERROR(LOOKUP(2^15,SEARCH(B201,'2023'!$B$3:$B$1734,1),'2023'!$A$3:$A$1734)),"NO","SI")</f>
        <v>NO</v>
      </c>
      <c r="D201" s="7" t="str">
        <f>IF(ISERROR(LOOKUP(2^15,SEARCH(B201,'2022'!$B$2:$B$1591,1),'2022'!$A$2:$A$1591)),"NO","SI")</f>
        <v>NO</v>
      </c>
      <c r="E201" s="7" t="str">
        <f>IF(ISERROR(LOOKUP(2^15,SEARCH(B201,'2021'!$B$2:$B$1494,1),'2021'!$A$2:$A$1494)),"NO","SI")</f>
        <v>NO</v>
      </c>
      <c r="F201" s="7" t="str">
        <f>IF(ISERROR(LOOKUP(2^15,SEARCH(B201,'2020'!$B$2:$B$1278,1),'2020'!$A$2:$A$1278)),"NO","SI")</f>
        <v>NO</v>
      </c>
      <c r="G201" s="7" t="str">
        <f>IF(ISERROR(LOOKUP(2^15,SEARCH(B201,'2019'!$B$2:$B$1108,1),'2019'!$A$2:$A$1108)),"NO","SI")</f>
        <v>NO</v>
      </c>
      <c r="H201" s="7" t="str">
        <f>IF(ISERROR(LOOKUP(2^15,SEARCH(B201,'2018'!$B$1:$B$1047,1),'2018'!$A$1:$A$1047)),"NO","SI")</f>
        <v>NO</v>
      </c>
      <c r="I201" s="8" t="str">
        <f>IF(ISERROR(LOOKUP(2^15,SEARCH(B201,'ALERTA SANITARIA'!$B$2:$B$269,1),'2018'!$A$1:$A$1047)),"NO","SI")</f>
        <v>SI</v>
      </c>
      <c r="J201" s="6" t="str">
        <f t="shared" si="0"/>
        <v>COFEPRIS</v>
      </c>
      <c r="K201" s="6" t="str">
        <f t="array" ref="K201">IFERROR(INDEX(Anterior!$C$1:$D$323,MATCH(B201,Anterior!$B$2:$B$323,0)+1,2),0)</f>
        <v>COFEPRIS</v>
      </c>
      <c r="L201" s="6" t="str">
        <f t="shared" si="1"/>
        <v>coinciden</v>
      </c>
      <c r="M201" s="2"/>
    </row>
    <row r="202" spans="1:16" ht="15.75" customHeight="1" x14ac:dyDescent="0.25">
      <c r="A202" s="6" t="s">
        <v>421</v>
      </c>
      <c r="B202" s="6" t="s">
        <v>422</v>
      </c>
      <c r="C202" s="7" t="str">
        <f>IF(ISERROR(LOOKUP(2^15,SEARCH(B202,'2023'!$B$3:$B$1734,1),'2023'!$A$3:$A$1734)),"NO","SI")</f>
        <v>SI</v>
      </c>
      <c r="D202" s="7" t="str">
        <f>IF(ISERROR(LOOKUP(2^15,SEARCH(B202,'2022'!$B$2:$B$1591,1),'2022'!$A$2:$A$1591)),"NO","SI")</f>
        <v>SI</v>
      </c>
      <c r="E202" s="7" t="str">
        <f>IF(ISERROR(LOOKUP(2^15,SEARCH(B202,'2021'!$B$2:$B$1494,1),'2021'!$A$2:$A$1494)),"NO","SI")</f>
        <v>SI</v>
      </c>
      <c r="F202" s="7" t="str">
        <f>IF(ISERROR(LOOKUP(2^15,SEARCH(B202,'2020'!$B$2:$B$1278,1),'2020'!$A$2:$A$1278)),"NO","SI")</f>
        <v>SI</v>
      </c>
      <c r="G202" s="7" t="str">
        <f>IF(ISERROR(LOOKUP(2^15,SEARCH(B202,'2019'!$B$2:$B$1108,1),'2019'!$A$2:$A$1108)),"NO","SI")</f>
        <v>SI</v>
      </c>
      <c r="H202" s="7" t="str">
        <f>IF(ISERROR(LOOKUP(2^15,SEARCH(B202,'2018'!$B$1:$B$1047,1),'2018'!$A$1:$A$1047)),"NO","SI")</f>
        <v>SI</v>
      </c>
      <c r="I202" s="8" t="str">
        <f>IF(ISERROR(LOOKUP(2^15,SEARCH(B202,'ALERTA SANITARIA'!$B$2:$B$269,1),'2018'!$A$1:$A$1047)),"NO","SI")</f>
        <v>SI</v>
      </c>
      <c r="J202" s="6" t="str">
        <f t="shared" si="0"/>
        <v>AMBOS</v>
      </c>
      <c r="K202" s="6" t="str">
        <f t="array" ref="K202">IFERROR(INDEX(Anterior!$C$1:$D$323,MATCH(B202,Anterior!$B$2:$B$323,0)+1,2),0)</f>
        <v>Ambos</v>
      </c>
      <c r="L202" s="6" t="str">
        <f t="shared" si="1"/>
        <v>coinciden</v>
      </c>
      <c r="M202" s="2"/>
    </row>
    <row r="203" spans="1:16" ht="15.75" customHeight="1" x14ac:dyDescent="0.25">
      <c r="A203" s="6" t="s">
        <v>423</v>
      </c>
      <c r="B203" s="6" t="s">
        <v>424</v>
      </c>
      <c r="C203" s="7" t="str">
        <f>IF(ISERROR(LOOKUP(2^15,SEARCH(B203,'2023'!$B$3:$B$1734,1),'2023'!$A$3:$A$1734)),"NO","SI")</f>
        <v>NO</v>
      </c>
      <c r="D203" s="7" t="str">
        <f>IF(ISERROR(LOOKUP(2^15,SEARCH(B203,'2022'!$B$2:$B$1591,1),'2022'!$A$2:$A$1591)),"NO","SI")</f>
        <v>NO</v>
      </c>
      <c r="E203" s="7" t="str">
        <f>IF(ISERROR(LOOKUP(2^15,SEARCH(B203,'2021'!$B$2:$B$1494,1),'2021'!$A$2:$A$1494)),"NO","SI")</f>
        <v>NO</v>
      </c>
      <c r="F203" s="7" t="str">
        <f>IF(ISERROR(LOOKUP(2^15,SEARCH(B203,'2020'!$B$2:$B$1278,1),'2020'!$A$2:$A$1278)),"NO","SI")</f>
        <v>NO</v>
      </c>
      <c r="G203" s="7" t="str">
        <f>IF(ISERROR(LOOKUP(2^15,SEARCH(B203,'2019'!$B$2:$B$1108,1),'2019'!$A$2:$A$1108)),"NO","SI")</f>
        <v>NO</v>
      </c>
      <c r="H203" s="7" t="str">
        <f>IF(ISERROR(LOOKUP(2^15,SEARCH(B203,'2018'!$B$1:$B$1047,1),'2018'!$A$1:$A$1047)),"NO","SI")</f>
        <v>NO</v>
      </c>
      <c r="I203" s="8" t="str">
        <f>IF(ISERROR(LOOKUP(2^15,SEARCH(B203,'ALERTA SANITARIA'!$B$2:$B$269,1),'2018'!$A$1:$A$1047)),"NO","SI")</f>
        <v>SI</v>
      </c>
      <c r="J203" s="6" t="str">
        <f t="shared" si="0"/>
        <v>COFEPRIS</v>
      </c>
      <c r="K203" s="6" t="str">
        <f t="array" ref="K203">IFERROR(INDEX(Anterior!$C$1:$D$323,MATCH(B203,Anterior!$B$2:$B$323,0)+1,2),0)</f>
        <v>COFEPRIS</v>
      </c>
      <c r="L203" s="6" t="str">
        <f t="shared" si="1"/>
        <v>coinciden</v>
      </c>
      <c r="M203" s="2"/>
    </row>
    <row r="204" spans="1:16" ht="15.75" customHeight="1" x14ac:dyDescent="0.25">
      <c r="A204" s="6" t="s">
        <v>425</v>
      </c>
      <c r="B204" s="6" t="s">
        <v>426</v>
      </c>
      <c r="C204" s="7" t="s">
        <v>14</v>
      </c>
      <c r="D204" s="7" t="s">
        <v>14</v>
      </c>
      <c r="E204" s="7" t="s">
        <v>14</v>
      </c>
      <c r="F204" s="7" t="s">
        <v>14</v>
      </c>
      <c r="G204" s="7" t="s">
        <v>14</v>
      </c>
      <c r="H204" s="7" t="s">
        <v>14</v>
      </c>
      <c r="I204" s="8" t="str">
        <f>IF(ISERROR(LOOKUP(2^15,SEARCH(B204,'ALERTA SANITARIA'!$B$2:$B$269,1),'2018'!$A$1:$A$1047)),"NO","SI")</f>
        <v>SI</v>
      </c>
      <c r="J204" s="6" t="str">
        <f t="shared" si="0"/>
        <v>COFEPRIS</v>
      </c>
      <c r="K204" s="6">
        <f t="array" ref="K204">IFERROR(INDEX(Anterior!$C$1:$D$323,MATCH(B204,Anterior!$B$2:$B$323,0)+1,2),0)</f>
        <v>0</v>
      </c>
      <c r="L204" s="6" t="str">
        <f t="shared" si="1"/>
        <v>Nuevo</v>
      </c>
      <c r="M204" s="2"/>
    </row>
    <row r="205" spans="1:16" ht="15.75" customHeight="1" x14ac:dyDescent="0.25">
      <c r="A205" s="6" t="s">
        <v>427</v>
      </c>
      <c r="B205" s="6" t="s">
        <v>428</v>
      </c>
      <c r="C205" s="7" t="s">
        <v>14</v>
      </c>
      <c r="D205" s="7" t="s">
        <v>14</v>
      </c>
      <c r="E205" s="7" t="s">
        <v>14</v>
      </c>
      <c r="F205" s="7" t="s">
        <v>14</v>
      </c>
      <c r="G205" s="7" t="s">
        <v>14</v>
      </c>
      <c r="H205" s="7" t="s">
        <v>14</v>
      </c>
      <c r="I205" s="8" t="str">
        <f>IF(ISERROR(LOOKUP(2^15,SEARCH(B205,'ALERTA SANITARIA'!$B$2:$B$269,1),'2018'!$A$1:$A$1047)),"NO","SI")</f>
        <v>SI</v>
      </c>
      <c r="J205" s="6" t="str">
        <f t="shared" si="0"/>
        <v>COFEPRIS</v>
      </c>
      <c r="K205" s="6" t="str">
        <f t="array" ref="K205">IFERROR(INDEX(Anterior!$C$1:$D$323,MATCH(B205,Anterior!$B$2:$B$323,0)+1,2),0)</f>
        <v>COFEPRIS</v>
      </c>
      <c r="L205" s="6" t="str">
        <f t="shared" si="1"/>
        <v>coinciden</v>
      </c>
      <c r="M205" s="2"/>
      <c r="P205" s="6" t="s">
        <v>429</v>
      </c>
    </row>
    <row r="206" spans="1:16" ht="15.75" customHeight="1" x14ac:dyDescent="0.25">
      <c r="A206" s="6" t="s">
        <v>430</v>
      </c>
      <c r="B206" s="6" t="s">
        <v>431</v>
      </c>
      <c r="C206" s="7" t="s">
        <v>14</v>
      </c>
      <c r="D206" s="7" t="s">
        <v>14</v>
      </c>
      <c r="E206" s="7" t="s">
        <v>14</v>
      </c>
      <c r="F206" s="7" t="s">
        <v>14</v>
      </c>
      <c r="G206" s="7" t="s">
        <v>14</v>
      </c>
      <c r="H206" s="7" t="s">
        <v>14</v>
      </c>
      <c r="I206" s="8" t="str">
        <f>IF(ISERROR(LOOKUP(2^15,SEARCH(B206,'ALERTA SANITARIA'!$B$2:$B$269,1),'2018'!$A$1:$A$1047)),"NO","SI")</f>
        <v>SI</v>
      </c>
      <c r="J206" s="6" t="str">
        <f t="shared" si="0"/>
        <v>COFEPRIS</v>
      </c>
      <c r="K206" s="6" t="str">
        <f t="array" ref="K206">IFERROR(INDEX(Anterior!$C$1:$D$323,MATCH(B206,Anterior!$B$2:$B$323,0)+1,2),0)</f>
        <v>COFEPRIS</v>
      </c>
      <c r="L206" s="6" t="str">
        <f t="shared" si="1"/>
        <v>coinciden</v>
      </c>
      <c r="M206" s="2"/>
    </row>
    <row r="207" spans="1:16" ht="15.75" customHeight="1" x14ac:dyDescent="0.25">
      <c r="A207" s="6" t="s">
        <v>432</v>
      </c>
      <c r="B207" s="6" t="s">
        <v>433</v>
      </c>
      <c r="C207" s="7" t="str">
        <f>IF(ISERROR(LOOKUP(2^15,SEARCH(B207,'2023'!$B$3:$B$1734,1),'2023'!$A$3:$A$1734)),"NO","SI")</f>
        <v>SI</v>
      </c>
      <c r="D207" s="7" t="str">
        <f>IF(ISERROR(LOOKUP(2^15,SEARCH(B207,'2022'!$B$2:$B$1591,1),'2022'!$A$2:$A$1591)),"NO","SI")</f>
        <v>SI</v>
      </c>
      <c r="E207" s="7" t="str">
        <f>IF(ISERROR(LOOKUP(2^15,SEARCH(B207,'2021'!$B$2:$B$1494,1),'2021'!$A$2:$A$1494)),"NO","SI")</f>
        <v>SI</v>
      </c>
      <c r="F207" s="7" t="str">
        <f>IF(ISERROR(LOOKUP(2^15,SEARCH(B207,'2020'!$B$2:$B$1278,1),'2020'!$A$2:$A$1278)),"NO","SI")</f>
        <v>SI</v>
      </c>
      <c r="G207" s="7" t="str">
        <f>IF(ISERROR(LOOKUP(2^15,SEARCH(B207,'2019'!$B$2:$B$1108,1),'2019'!$A$2:$A$1108)),"NO","SI")</f>
        <v>SI</v>
      </c>
      <c r="H207" s="7" t="str">
        <f>IF(ISERROR(LOOKUP(2^15,SEARCH(B207,'2018'!$B$1:$B$1047,1),'2018'!$A$1:$A$1047)),"NO","SI")</f>
        <v>SI</v>
      </c>
      <c r="I207" s="8" t="str">
        <f>IF(ISERROR(LOOKUP(2^15,SEARCH(B207,'ALERTA SANITARIA'!$B$2:$B$269,1),'2018'!$A$1:$A$1047)),"NO","SI")</f>
        <v>NO</v>
      </c>
      <c r="J207" s="6" t="str">
        <f t="shared" si="0"/>
        <v>DOF</v>
      </c>
      <c r="K207" s="6" t="str">
        <f t="array" ref="K207">IFERROR(INDEX(Anterior!$C$1:$D$323,MATCH(B207,Anterior!$B$2:$B$323,0)+1,2),0)</f>
        <v>DOF</v>
      </c>
      <c r="L207" s="6" t="str">
        <f t="shared" si="1"/>
        <v>coinciden</v>
      </c>
      <c r="M207" s="2"/>
      <c r="P207" s="6" t="s">
        <v>434</v>
      </c>
    </row>
    <row r="208" spans="1:16" ht="15.75" customHeight="1" x14ac:dyDescent="0.25">
      <c r="A208" s="6" t="s">
        <v>435</v>
      </c>
      <c r="B208" s="6" t="s">
        <v>436</v>
      </c>
      <c r="C208" s="7" t="str">
        <f>IF(ISERROR(LOOKUP(2^15,SEARCH(B208,'2023'!$B$3:$B$1734,1),'2023'!$A$3:$A$1734)),"NO","SI")</f>
        <v>NO</v>
      </c>
      <c r="D208" s="7" t="str">
        <f>IF(ISERROR(LOOKUP(2^15,SEARCH(B208,'2022'!$B$2:$B$1591,1),'2022'!$A$2:$A$1591)),"NO","SI")</f>
        <v>NO</v>
      </c>
      <c r="E208" s="7" t="str">
        <f>IF(ISERROR(LOOKUP(2^15,SEARCH(B208,'2021'!$B$2:$B$1494,1),'2021'!$A$2:$A$1494)),"NO","SI")</f>
        <v>NO</v>
      </c>
      <c r="F208" s="7" t="str">
        <f>IF(ISERROR(LOOKUP(2^15,SEARCH(B208,'2020'!$B$2:$B$1278,1),'2020'!$A$2:$A$1278)),"NO","SI")</f>
        <v>NO</v>
      </c>
      <c r="G208" s="7" t="str">
        <f>IF(ISERROR(LOOKUP(2^15,SEARCH(B208,'2019'!$B$2:$B$1108,1),'2019'!$A$2:$A$1108)),"NO","SI")</f>
        <v>NO</v>
      </c>
      <c r="H208" s="7" t="str">
        <f>IF(ISERROR(LOOKUP(2^15,SEARCH(B208,'2018'!$B$1:$B$1047,1),'2018'!$A$1:$A$1047)),"NO","SI")</f>
        <v>NO</v>
      </c>
      <c r="I208" s="8" t="str">
        <f>IF(ISERROR(LOOKUP(2^15,SEARCH(B208,'ALERTA SANITARIA'!$B$2:$B$269,1),'2018'!$A$1:$A$1047)),"NO","SI")</f>
        <v>SI</v>
      </c>
      <c r="J208" s="6" t="str">
        <f t="shared" si="0"/>
        <v>COFEPRIS</v>
      </c>
      <c r="K208" s="6" t="str">
        <f t="array" ref="K208">IFERROR(INDEX(Anterior!$C$1:$D$323,MATCH(B208,Anterior!$B$2:$B$323,0)+1,2),0)</f>
        <v>COFEPRIS</v>
      </c>
      <c r="L208" s="6" t="str">
        <f t="shared" si="1"/>
        <v>coinciden</v>
      </c>
      <c r="M208" s="2"/>
    </row>
    <row r="209" spans="1:13" ht="15.75" customHeight="1" x14ac:dyDescent="0.25">
      <c r="A209" s="6" t="s">
        <v>437</v>
      </c>
      <c r="B209" s="6" t="s">
        <v>438</v>
      </c>
      <c r="C209" s="7" t="str">
        <f>IF(ISERROR(LOOKUP(2^15,SEARCH(B209,'2023'!$B$3:$B$1734,1),'2023'!$A$3:$A$1734)),"NO","SI")</f>
        <v>NO</v>
      </c>
      <c r="D209" s="7" t="str">
        <f>IF(ISERROR(LOOKUP(2^15,SEARCH(B209,'2022'!$B$2:$B$1591,1),'2022'!$A$2:$A$1591)),"NO","SI")</f>
        <v>NO</v>
      </c>
      <c r="E209" s="7" t="str">
        <f>IF(ISERROR(LOOKUP(2^15,SEARCH(B209,'2021'!$B$2:$B$1494,1),'2021'!$A$2:$A$1494)),"NO","SI")</f>
        <v>NO</v>
      </c>
      <c r="F209" s="7" t="str">
        <f>IF(ISERROR(LOOKUP(2^15,SEARCH(B209,'2020'!$B$2:$B$1278,1),'2020'!$A$2:$A$1278)),"NO","SI")</f>
        <v>NO</v>
      </c>
      <c r="G209" s="7" t="str">
        <f>IF(ISERROR(LOOKUP(2^15,SEARCH(B209,'2019'!$B$2:$B$1108,1),'2019'!$A$2:$A$1108)),"NO","SI")</f>
        <v>NO</v>
      </c>
      <c r="H209" s="7" t="str">
        <f>IF(ISERROR(LOOKUP(2^15,SEARCH(B209,'2018'!$B$1:$B$1047,1),'2018'!$A$1:$A$1047)),"NO","SI")</f>
        <v>NO</v>
      </c>
      <c r="I209" s="8" t="str">
        <f>IF(ISERROR(LOOKUP(2^15,SEARCH(B209,'ALERTA SANITARIA'!$B$2:$B$269,1),'2018'!$A$1:$A$1047)),"NO","SI")</f>
        <v>SI</v>
      </c>
      <c r="J209" s="6" t="str">
        <f t="shared" si="0"/>
        <v>COFEPRIS</v>
      </c>
      <c r="K209" s="6" t="str">
        <f t="array" ref="K209">IFERROR(INDEX(Anterior!$C$1:$D$323,MATCH(B209,Anterior!$B$2:$B$323,0)+1,2),0)</f>
        <v>COFEPRIS</v>
      </c>
      <c r="L209" s="6" t="str">
        <f t="shared" si="1"/>
        <v>coinciden</v>
      </c>
      <c r="M209" s="2"/>
    </row>
    <row r="210" spans="1:13" ht="15.75" customHeight="1" x14ac:dyDescent="0.25">
      <c r="A210" s="6" t="s">
        <v>439</v>
      </c>
      <c r="B210" s="6" t="s">
        <v>440</v>
      </c>
      <c r="C210" s="7" t="str">
        <f>IF(ISERROR(LOOKUP(2^15,SEARCH(B210,'2023'!$B$3:$B$1734,1),'2023'!$A$3:$A$1734)),"NO","SI")</f>
        <v>NO</v>
      </c>
      <c r="D210" s="7" t="str">
        <f>IF(ISERROR(LOOKUP(2^15,SEARCH(B210,'2022'!$B$2:$B$1591,1),'2022'!$A$2:$A$1591)),"NO","SI")</f>
        <v>NO</v>
      </c>
      <c r="E210" s="7" t="str">
        <f>IF(ISERROR(LOOKUP(2^15,SEARCH(B210,'2021'!$B$2:$B$1494,1),'2021'!$A$2:$A$1494)),"NO","SI")</f>
        <v>NO</v>
      </c>
      <c r="F210" s="7" t="str">
        <f>IF(ISERROR(LOOKUP(2^15,SEARCH(B210,'2020'!$B$2:$B$1278,1),'2020'!$A$2:$A$1278)),"NO","SI")</f>
        <v>NO</v>
      </c>
      <c r="G210" s="7" t="str">
        <f>IF(ISERROR(LOOKUP(2^15,SEARCH(B210,'2019'!$B$2:$B$1108,1),'2019'!$A$2:$A$1108)),"NO","SI")</f>
        <v>NO</v>
      </c>
      <c r="H210" s="7" t="str">
        <f>IF(ISERROR(LOOKUP(2^15,SEARCH(B210,'2018'!$B$1:$B$1047,1),'2018'!$A$1:$A$1047)),"NO","SI")</f>
        <v>NO</v>
      </c>
      <c r="I210" s="8" t="str">
        <f>IF(ISERROR(LOOKUP(2^15,SEARCH(B210,'ALERTA SANITARIA'!$B$2:$B$269,1),'2018'!$A$1:$A$1047)),"NO","SI")</f>
        <v>SI</v>
      </c>
      <c r="J210" s="6" t="str">
        <f t="shared" si="0"/>
        <v>COFEPRIS</v>
      </c>
      <c r="K210" s="6" t="str">
        <f t="array" ref="K210">IFERROR(INDEX(Anterior!$C$1:$D$323,MATCH(B210,Anterior!$B$2:$B$323,0)+1,2),0)</f>
        <v>COFEPRIS</v>
      </c>
      <c r="L210" s="6" t="str">
        <f t="shared" si="1"/>
        <v>coinciden</v>
      </c>
      <c r="M210" s="2"/>
    </row>
    <row r="211" spans="1:13" ht="15.75" customHeight="1" x14ac:dyDescent="0.25">
      <c r="A211" s="6" t="s">
        <v>441</v>
      </c>
      <c r="B211" s="6" t="s">
        <v>442</v>
      </c>
      <c r="C211" s="7" t="str">
        <f>IF(ISERROR(LOOKUP(2^15,SEARCH(B211,'2023'!$B$3:$B$1734,1),'2023'!$A$3:$A$1734)),"NO","SI")</f>
        <v>NO</v>
      </c>
      <c r="D211" s="7" t="str">
        <f>IF(ISERROR(LOOKUP(2^15,SEARCH(B211,'2022'!$B$2:$B$1591,1),'2022'!$A$2:$A$1591)),"NO","SI")</f>
        <v>NO</v>
      </c>
      <c r="E211" s="7" t="str">
        <f>IF(ISERROR(LOOKUP(2^15,SEARCH(B211,'2021'!$B$2:$B$1494,1),'2021'!$A$2:$A$1494)),"NO","SI")</f>
        <v>NO</v>
      </c>
      <c r="F211" s="7" t="str">
        <f>IF(ISERROR(LOOKUP(2^15,SEARCH(B211,'2020'!$B$2:$B$1278,1),'2020'!$A$2:$A$1278)),"NO","SI")</f>
        <v>NO</v>
      </c>
      <c r="G211" s="7" t="str">
        <f>IF(ISERROR(LOOKUP(2^15,SEARCH(B211,'2019'!$B$2:$B$1108,1),'2019'!$A$2:$A$1108)),"NO","SI")</f>
        <v>NO</v>
      </c>
      <c r="H211" s="7" t="str">
        <f>IF(ISERROR(LOOKUP(2^15,SEARCH(B211,'2018'!$B$1:$B$1047,1),'2018'!$A$1:$A$1047)),"NO","SI")</f>
        <v>NO</v>
      </c>
      <c r="I211" s="8" t="str">
        <f>IF(ISERROR(LOOKUP(2^15,SEARCH(B211,'ALERTA SANITARIA'!$B$2:$B$269,1),'2018'!$A$1:$A$1047)),"NO","SI")</f>
        <v>SI</v>
      </c>
      <c r="J211" s="6" t="str">
        <f t="shared" si="0"/>
        <v>COFEPRIS</v>
      </c>
      <c r="K211" s="6">
        <f t="array" ref="K211">IFERROR(INDEX(Anterior!$C$1:$D$323,MATCH(B211,Anterior!$B$2:$B$323,0)+1,2),0)</f>
        <v>0</v>
      </c>
      <c r="L211" s="6" t="str">
        <f t="shared" si="1"/>
        <v>Nuevo</v>
      </c>
      <c r="M211" s="2"/>
    </row>
    <row r="212" spans="1:13" ht="15.75" customHeight="1" x14ac:dyDescent="0.25">
      <c r="A212" s="6" t="s">
        <v>443</v>
      </c>
      <c r="B212" s="6" t="s">
        <v>444</v>
      </c>
      <c r="C212" s="7" t="str">
        <f>IF(ISERROR(LOOKUP(2^15,SEARCH(B212,'2023'!$B$3:$B$1734,1),'2023'!$A$3:$A$1734)),"NO","SI")</f>
        <v>SI</v>
      </c>
      <c r="D212" s="7" t="str">
        <f>IF(ISERROR(LOOKUP(2^15,SEARCH(B212,'2022'!$B$2:$B$1591,1),'2022'!$A$2:$A$1591)),"NO","SI")</f>
        <v>SI</v>
      </c>
      <c r="E212" s="7" t="str">
        <f>IF(ISERROR(LOOKUP(2^15,SEARCH(B212,'2021'!$B$2:$B$1494,1),'2021'!$A$2:$A$1494)),"NO","SI")</f>
        <v>SI</v>
      </c>
      <c r="F212" s="7" t="str">
        <f>IF(ISERROR(LOOKUP(2^15,SEARCH(B212,'2020'!$B$2:$B$1278,1),'2020'!$A$2:$A$1278)),"NO","SI")</f>
        <v>SI</v>
      </c>
      <c r="G212" s="7" t="str">
        <f>IF(ISERROR(LOOKUP(2^15,SEARCH(B212,'2019'!$B$2:$B$1108,1),'2019'!$A$2:$A$1108)),"NO","SI")</f>
        <v>SI</v>
      </c>
      <c r="H212" s="7" t="str">
        <f>IF(ISERROR(LOOKUP(2^15,SEARCH(B212,'2018'!$B$1:$B$1047,1),'2018'!$A$1:$A$1047)),"NO","SI")</f>
        <v>SI</v>
      </c>
      <c r="I212" s="8" t="str">
        <f>IF(ISERROR(LOOKUP(2^15,SEARCH(B212,'ALERTA SANITARIA'!$B$2:$B$269,1),'2018'!$A$1:$A$1047)),"NO","SI")</f>
        <v>NO</v>
      </c>
      <c r="J212" s="6" t="str">
        <f t="shared" si="0"/>
        <v>DOF</v>
      </c>
      <c r="K212" s="6" t="str">
        <f t="array" ref="K212">IFERROR(INDEX(Anterior!$C$1:$D$323,MATCH(B212,Anterior!$B$2:$B$323,0)+1,2),0)</f>
        <v>DOF</v>
      </c>
      <c r="L212" s="6" t="str">
        <f t="shared" si="1"/>
        <v>coinciden</v>
      </c>
      <c r="M212" s="2"/>
    </row>
    <row r="213" spans="1:13" ht="15.75" customHeight="1" x14ac:dyDescent="0.25">
      <c r="A213" s="6" t="s">
        <v>445</v>
      </c>
      <c r="B213" s="6" t="s">
        <v>446</v>
      </c>
      <c r="C213" s="7" t="str">
        <f>IF(ISERROR(LOOKUP(2^15,SEARCH(B213,'2023'!$B$3:$B$1734,1),'2023'!$A$3:$A$1734)),"NO","SI")</f>
        <v>NO</v>
      </c>
      <c r="D213" s="7" t="str">
        <f>IF(ISERROR(LOOKUP(2^15,SEARCH(B213,'2022'!$B$2:$B$1591,1),'2022'!$A$2:$A$1591)),"NO","SI")</f>
        <v>NO</v>
      </c>
      <c r="E213" s="7" t="str">
        <f>IF(ISERROR(LOOKUP(2^15,SEARCH(B213,'2021'!$B$2:$B$1494,1),'2021'!$A$2:$A$1494)),"NO","SI")</f>
        <v>NO</v>
      </c>
      <c r="F213" s="7" t="str">
        <f>IF(ISERROR(LOOKUP(2^15,SEARCH(B213,'2020'!$B$2:$B$1278,1),'2020'!$A$2:$A$1278)),"NO","SI")</f>
        <v>NO</v>
      </c>
      <c r="G213" s="7" t="str">
        <f>IF(ISERROR(LOOKUP(2^15,SEARCH(B213,'2019'!$B$2:$B$1108,1),'2019'!$A$2:$A$1108)),"NO","SI")</f>
        <v>NO</v>
      </c>
      <c r="H213" s="7" t="str">
        <f>IF(ISERROR(LOOKUP(2^15,SEARCH(B213,'2018'!$B$1:$B$1047,1),'2018'!$A$1:$A$1047)),"NO","SI")</f>
        <v>NO</v>
      </c>
      <c r="I213" s="8" t="str">
        <f>IF(ISERROR(LOOKUP(2^15,SEARCH(B213,'ALERTA SANITARIA'!$B$2:$B$269,1),'2018'!$A$1:$A$1047)),"NO","SI")</f>
        <v>NO</v>
      </c>
      <c r="J213" s="6" t="str">
        <f t="shared" si="0"/>
        <v>Ninguno</v>
      </c>
      <c r="K213" s="6" t="str">
        <f t="array" ref="K213">IFERROR(INDEX(Anterior!$C$1:$D$323,MATCH(B213,Anterior!$B$2:$B$323,0)+1,2),0)</f>
        <v>Ninguno</v>
      </c>
      <c r="L213" s="6" t="str">
        <f t="shared" si="1"/>
        <v>coinciden</v>
      </c>
      <c r="M213" s="2"/>
    </row>
    <row r="214" spans="1:13" ht="15.75" customHeight="1" x14ac:dyDescent="0.25">
      <c r="A214" s="6" t="s">
        <v>447</v>
      </c>
      <c r="B214" s="6" t="s">
        <v>448</v>
      </c>
      <c r="C214" s="7" t="s">
        <v>14</v>
      </c>
      <c r="D214" s="7" t="s">
        <v>14</v>
      </c>
      <c r="E214" s="7" t="s">
        <v>14</v>
      </c>
      <c r="F214" s="7" t="s">
        <v>14</v>
      </c>
      <c r="G214" s="7" t="s">
        <v>14</v>
      </c>
      <c r="H214" s="7" t="str">
        <f>IF(ISERROR(LOOKUP(2^15,SEARCH(B214,'2018'!$B$1:$B$1047,1),'2018'!$A$1:$A$1047)),"NO","SI")</f>
        <v>NO</v>
      </c>
      <c r="I214" s="8" t="str">
        <f>IF(ISERROR(LOOKUP(2^15,SEARCH(B214,'ALERTA SANITARIA'!$B$2:$B$269,1),'2018'!$A$1:$A$1047)),"NO","SI")</f>
        <v>SI</v>
      </c>
      <c r="J214" s="6" t="str">
        <f t="shared" si="0"/>
        <v>COFEPRIS</v>
      </c>
      <c r="K214" s="6" t="str">
        <f t="array" ref="K214">IFERROR(INDEX(Anterior!$C$1:$D$323,MATCH(B214,Anterior!$B$2:$B$323,0)+1,2),0)</f>
        <v>COFEPRIS</v>
      </c>
      <c r="L214" s="6" t="str">
        <f t="shared" si="1"/>
        <v>coinciden</v>
      </c>
      <c r="M214" s="2"/>
    </row>
    <row r="215" spans="1:13" ht="15.75" customHeight="1" x14ac:dyDescent="0.25">
      <c r="A215" s="6" t="s">
        <v>449</v>
      </c>
      <c r="B215" s="6" t="s">
        <v>450</v>
      </c>
      <c r="C215" s="7" t="str">
        <f>IF(ISERROR(LOOKUP(2^15,SEARCH(B215,'2023'!$B$3:$B$1734,1),'2023'!$A$3:$A$1734)),"NO","SI")</f>
        <v>NO</v>
      </c>
      <c r="D215" s="7" t="str">
        <f>IF(ISERROR(LOOKUP(2^15,SEARCH(B215,'2022'!$B$2:$B$1591,1),'2022'!$A$2:$A$1591)),"NO","SI")</f>
        <v>NO</v>
      </c>
      <c r="E215" s="7" t="str">
        <f>IF(ISERROR(LOOKUP(2^15,SEARCH(B215,'2021'!$B$2:$B$1494,1),'2021'!$A$2:$A$1494)),"NO","SI")</f>
        <v>NO</v>
      </c>
      <c r="F215" s="7" t="str">
        <f>IF(ISERROR(LOOKUP(2^15,SEARCH(B215,'2020'!$B$2:$B$1278,1),'2020'!$A$2:$A$1278)),"NO","SI")</f>
        <v>NO</v>
      </c>
      <c r="G215" s="7" t="str">
        <f>IF(ISERROR(LOOKUP(2^15,SEARCH(B215,'2019'!$B$2:$B$1108,1),'2019'!$A$2:$A$1108)),"NO","SI")</f>
        <v>NO</v>
      </c>
      <c r="H215" s="7" t="str">
        <f>IF(ISERROR(LOOKUP(2^15,SEARCH(B215,'2018'!$B$1:$B$1047,1),'2018'!$A$1:$A$1047)),"NO","SI")</f>
        <v>NO</v>
      </c>
      <c r="I215" s="8" t="str">
        <f>IF(ISERROR(LOOKUP(2^15,SEARCH(B215,'ALERTA SANITARIA'!$B$2:$B$269,1),'2018'!$A$1:$A$1047)),"NO","SI")</f>
        <v>SI</v>
      </c>
      <c r="J215" s="6" t="str">
        <f t="shared" si="0"/>
        <v>COFEPRIS</v>
      </c>
      <c r="K215" s="6" t="str">
        <f t="array" ref="K215">IFERROR(INDEX(Anterior!$C$1:$D$323,MATCH(B215,Anterior!$B$2:$B$323,0)+1,2),0)</f>
        <v>COFEPRIS</v>
      </c>
      <c r="L215" s="6" t="str">
        <f t="shared" si="1"/>
        <v>coinciden</v>
      </c>
      <c r="M215" s="2"/>
    </row>
    <row r="216" spans="1:13" ht="15.75" customHeight="1" x14ac:dyDescent="0.25">
      <c r="A216" s="6" t="s">
        <v>451</v>
      </c>
      <c r="B216" s="6" t="s">
        <v>452</v>
      </c>
      <c r="C216" s="7" t="str">
        <f>IF(ISERROR(LOOKUP(2^15,SEARCH(B216,'2023'!$B$3:$B$1734,1),'2023'!$A$3:$A$1734)),"NO","SI")</f>
        <v>NO</v>
      </c>
      <c r="D216" s="7" t="str">
        <f>IF(ISERROR(LOOKUP(2^15,SEARCH(B216,'2022'!$B$2:$B$1591,1),'2022'!$A$2:$A$1591)),"NO","SI")</f>
        <v>NO</v>
      </c>
      <c r="E216" s="7" t="str">
        <f>IF(ISERROR(LOOKUP(2^15,SEARCH(B216,'2021'!$B$2:$B$1494,1),'2021'!$A$2:$A$1494)),"NO","SI")</f>
        <v>NO</v>
      </c>
      <c r="F216" s="7" t="str">
        <f>IF(ISERROR(LOOKUP(2^15,SEARCH(B216,'2020'!$B$2:$B$1278,1),'2020'!$A$2:$A$1278)),"NO","SI")</f>
        <v>NO</v>
      </c>
      <c r="G216" s="7" t="str">
        <f>IF(ISERROR(LOOKUP(2^15,SEARCH(B216,'2019'!$B$2:$B$1108,1),'2019'!$A$2:$A$1108)),"NO","SI")</f>
        <v>NO</v>
      </c>
      <c r="H216" s="7" t="str">
        <f>IF(ISERROR(LOOKUP(2^15,SEARCH(B216,'2018'!$B$1:$B$1047,1),'2018'!$A$1:$A$1047)),"NO","SI")</f>
        <v>NO</v>
      </c>
      <c r="I216" s="8" t="str">
        <f>IF(ISERROR(LOOKUP(2^15,SEARCH(B216,'ALERTA SANITARIA'!$B$2:$B$269,1),'2018'!$A$1:$A$1047)),"NO","SI")</f>
        <v>SI</v>
      </c>
      <c r="J216" s="6" t="str">
        <f t="shared" si="0"/>
        <v>COFEPRIS</v>
      </c>
      <c r="K216" s="6" t="str">
        <f t="array" ref="K216">IFERROR(INDEX(Anterior!$C$1:$D$323,MATCH(B216,Anterior!$B$2:$B$323,0)+1,2),0)</f>
        <v>COFEPRIS</v>
      </c>
      <c r="L216" s="6" t="str">
        <f t="shared" si="1"/>
        <v>coinciden</v>
      </c>
      <c r="M216" s="2"/>
    </row>
    <row r="217" spans="1:13" ht="15.75" customHeight="1" x14ac:dyDescent="0.25">
      <c r="A217" s="6" t="s">
        <v>453</v>
      </c>
      <c r="B217" s="6" t="s">
        <v>454</v>
      </c>
      <c r="C217" s="7" t="str">
        <f>IF(ISERROR(LOOKUP(2^15,SEARCH(B217,'2023'!$B$3:$B$1734,1),'2023'!$A$3:$A$1734)),"NO","SI")</f>
        <v>NO</v>
      </c>
      <c r="D217" s="7" t="str">
        <f>IF(ISERROR(LOOKUP(2^15,SEARCH(B217,'2022'!$B$2:$B$1591,1),'2022'!$A$2:$A$1591)),"NO","SI")</f>
        <v>NO</v>
      </c>
      <c r="E217" s="7" t="str">
        <f>IF(ISERROR(LOOKUP(2^15,SEARCH(B217,'2021'!$B$2:$B$1494,1),'2021'!$A$2:$A$1494)),"NO","SI")</f>
        <v>NO</v>
      </c>
      <c r="F217" s="7" t="str">
        <f>IF(ISERROR(LOOKUP(2^15,SEARCH(B217,'2020'!$B$2:$B$1278,1),'2020'!$A$2:$A$1278)),"NO","SI")</f>
        <v>NO</v>
      </c>
      <c r="G217" s="7" t="str">
        <f>IF(ISERROR(LOOKUP(2^15,SEARCH(B217,'2019'!$B$2:$B$1108,1),'2019'!$A$2:$A$1108)),"NO","SI")</f>
        <v>NO</v>
      </c>
      <c r="H217" s="7" t="str">
        <f>IF(ISERROR(LOOKUP(2^15,SEARCH(B217,'2018'!$B$1:$B$1047,1),'2018'!$A$1:$A$1047)),"NO","SI")</f>
        <v>NO</v>
      </c>
      <c r="I217" s="8" t="str">
        <f>IF(ISERROR(LOOKUP(2^15,SEARCH(B217,'ALERTA SANITARIA'!$B$2:$B$269,1),'2018'!$A$1:$A$1047)),"NO","SI")</f>
        <v>SI</v>
      </c>
      <c r="J217" s="6" t="str">
        <f t="shared" si="0"/>
        <v>COFEPRIS</v>
      </c>
      <c r="K217" s="6" t="str">
        <f t="array" ref="K217">IFERROR(INDEX(Anterior!$C$1:$D$323,MATCH(B217,Anterior!$B$2:$B$323,0)+1,2),0)</f>
        <v>COFEPRIS</v>
      </c>
      <c r="L217" s="6" t="str">
        <f t="shared" si="1"/>
        <v>coinciden</v>
      </c>
      <c r="M217" s="2"/>
    </row>
    <row r="218" spans="1:13" ht="15.75" customHeight="1" x14ac:dyDescent="0.25">
      <c r="A218" s="6" t="s">
        <v>455</v>
      </c>
      <c r="B218" s="6" t="s">
        <v>456</v>
      </c>
      <c r="C218" s="7" t="s">
        <v>14</v>
      </c>
      <c r="D218" s="7" t="s">
        <v>14</v>
      </c>
      <c r="E218" s="7" t="s">
        <v>14</v>
      </c>
      <c r="F218" s="7" t="s">
        <v>14</v>
      </c>
      <c r="G218" s="7" t="s">
        <v>14</v>
      </c>
      <c r="H218" s="7" t="s">
        <v>14</v>
      </c>
      <c r="I218" s="8" t="str">
        <f>IF(ISERROR(LOOKUP(2^15,SEARCH(B218,'ALERTA SANITARIA'!$B$2:$B$269,1),'2018'!$A$1:$A$1047)),"NO","SI")</f>
        <v>SI</v>
      </c>
      <c r="J218" s="6" t="str">
        <f t="shared" si="0"/>
        <v>COFEPRIS</v>
      </c>
      <c r="K218" s="6" t="str">
        <f t="array" ref="K218">IFERROR(INDEX(Anterior!$C$1:$D$323,MATCH(B218,Anterior!$B$2:$B$323,0)+1,2),0)</f>
        <v>COFEPRIS</v>
      </c>
      <c r="L218" s="6" t="str">
        <f t="shared" si="1"/>
        <v>coinciden</v>
      </c>
      <c r="M218" s="2"/>
    </row>
    <row r="219" spans="1:13" ht="15.75" customHeight="1" x14ac:dyDescent="0.25">
      <c r="A219" s="6" t="s">
        <v>457</v>
      </c>
      <c r="B219" s="6" t="s">
        <v>458</v>
      </c>
      <c r="C219" s="7" t="s">
        <v>14</v>
      </c>
      <c r="D219" s="7" t="s">
        <v>14</v>
      </c>
      <c r="E219" s="7" t="s">
        <v>14</v>
      </c>
      <c r="F219" s="7" t="s">
        <v>14</v>
      </c>
      <c r="G219" s="7" t="s">
        <v>14</v>
      </c>
      <c r="H219" s="7" t="s">
        <v>14</v>
      </c>
      <c r="I219" s="8" t="str">
        <f>IF(ISERROR(LOOKUP(2^15,SEARCH(B219,'ALERTA SANITARIA'!$B$2:$B$269,1),'2018'!$A$1:$A$1047)),"NO","SI")</f>
        <v>SI</v>
      </c>
      <c r="J219" s="6" t="str">
        <f t="shared" si="0"/>
        <v>COFEPRIS</v>
      </c>
      <c r="K219" s="6" t="str">
        <f t="array" ref="K219">IFERROR(INDEX(Anterior!$C$1:$D$323,MATCH(B219,Anterior!$B$2:$B$323,0)+1,2),0)</f>
        <v>COFEPRIS</v>
      </c>
      <c r="L219" s="6" t="str">
        <f t="shared" si="1"/>
        <v>coinciden</v>
      </c>
      <c r="M219" s="2"/>
    </row>
    <row r="220" spans="1:13" ht="15.75" customHeight="1" x14ac:dyDescent="0.25">
      <c r="A220" s="6" t="s">
        <v>459</v>
      </c>
      <c r="B220" s="6" t="s">
        <v>460</v>
      </c>
      <c r="C220" s="7" t="str">
        <f>IF(ISERROR(LOOKUP(2^15,SEARCH(B220,'2023'!$B$3:$B$1734,1),'2023'!$A$3:$A$1734)),"NO","SI")</f>
        <v>SI</v>
      </c>
      <c r="D220" s="7" t="str">
        <f>IF(ISERROR(LOOKUP(2^15,SEARCH(B220,'2022'!$B$2:$B$1591,1),'2022'!$A$2:$A$1591)),"NO","SI")</f>
        <v>SI</v>
      </c>
      <c r="E220" s="7" t="str">
        <f>IF(ISERROR(LOOKUP(2^15,SEARCH(B220,'2021'!$B$2:$B$1494,1),'2021'!$A$2:$A$1494)),"NO","SI")</f>
        <v>SI</v>
      </c>
      <c r="F220" s="7" t="str">
        <f>IF(ISERROR(LOOKUP(2^15,SEARCH(B220,'2020'!$B$2:$B$1278,1),'2020'!$A$2:$A$1278)),"NO","SI")</f>
        <v>SI</v>
      </c>
      <c r="G220" s="7" t="str">
        <f>IF(ISERROR(LOOKUP(2^15,SEARCH(B220,'2019'!$B$2:$B$1108,1),'2019'!$A$2:$A$1108)),"NO","SI")</f>
        <v>SI</v>
      </c>
      <c r="H220" s="7" t="str">
        <f>IF(ISERROR(LOOKUP(2^15,SEARCH(B220,'2018'!$B$1:$B$1047,1),'2018'!$A$1:$A$1047)),"NO","SI")</f>
        <v>SI</v>
      </c>
      <c r="I220" s="8" t="str">
        <f>IF(ISERROR(LOOKUP(2^15,SEARCH(B220,'ALERTA SANITARIA'!$B$2:$B$269,1),'2018'!$A$1:$A$1047)),"NO","SI")</f>
        <v>NO</v>
      </c>
      <c r="J220" s="6" t="str">
        <f t="shared" si="0"/>
        <v>DOF</v>
      </c>
      <c r="K220" s="6" t="str">
        <f t="array" ref="K220">IFERROR(INDEX(Anterior!$C$1:$D$323,MATCH(B220,Anterior!$B$2:$B$323,0)+1,2),0)</f>
        <v>DOF</v>
      </c>
      <c r="L220" s="6" t="str">
        <f t="shared" si="1"/>
        <v>coinciden</v>
      </c>
      <c r="M220" s="2"/>
    </row>
    <row r="221" spans="1:13" ht="15.75" customHeight="1" x14ac:dyDescent="0.25">
      <c r="A221" s="6" t="s">
        <v>461</v>
      </c>
      <c r="B221" s="6" t="s">
        <v>462</v>
      </c>
      <c r="C221" s="7" t="str">
        <f>IF(ISERROR(LOOKUP(2^15,SEARCH(B221,'2023'!$B$3:$B$1734,1),'2023'!$A$3:$A$1734)),"NO","SI")</f>
        <v>NO</v>
      </c>
      <c r="D221" s="7" t="str">
        <f>IF(ISERROR(LOOKUP(2^15,SEARCH(B221,'2022'!$B$2:$B$1591,1),'2022'!$A$2:$A$1591)),"NO","SI")</f>
        <v>NO</v>
      </c>
      <c r="E221" s="7" t="str">
        <f>IF(ISERROR(LOOKUP(2^15,SEARCH(B221,'2021'!$B$2:$B$1494,1),'2021'!$A$2:$A$1494)),"NO","SI")</f>
        <v>NO</v>
      </c>
      <c r="F221" s="7" t="str">
        <f>IF(ISERROR(LOOKUP(2^15,SEARCH(B221,'2020'!$B$2:$B$1278,1),'2020'!$A$2:$A$1278)),"NO","SI")</f>
        <v>NO</v>
      </c>
      <c r="G221" s="7" t="str">
        <f>IF(ISERROR(LOOKUP(2^15,SEARCH(B221,'2019'!$B$2:$B$1108,1),'2019'!$A$2:$A$1108)),"NO","SI")</f>
        <v>NO</v>
      </c>
      <c r="H221" s="7" t="str">
        <f>IF(ISERROR(LOOKUP(2^15,SEARCH(B221,'2018'!$B$1:$B$1047,1),'2018'!$A$1:$A$1047)),"NO","SI")</f>
        <v>NO</v>
      </c>
      <c r="I221" s="8" t="str">
        <f>IF(ISERROR(LOOKUP(2^15,SEARCH(B221,'ALERTA SANITARIA'!$B$2:$B$269,1),'2018'!$A$1:$A$1047)),"NO","SI")</f>
        <v>SI</v>
      </c>
      <c r="J221" s="6" t="str">
        <f t="shared" si="0"/>
        <v>COFEPRIS</v>
      </c>
      <c r="K221" s="6">
        <f t="array" ref="K221">IFERROR(INDEX(Anterior!$C$1:$D$323,MATCH(B221,Anterior!$B$2:$B$323,0)+1,2),0)</f>
        <v>0</v>
      </c>
      <c r="L221" s="6" t="str">
        <f t="shared" si="1"/>
        <v>Nuevo</v>
      </c>
      <c r="M221" s="2"/>
    </row>
    <row r="222" spans="1:13" ht="15.75" customHeight="1" x14ac:dyDescent="0.25">
      <c r="A222" s="6" t="s">
        <v>463</v>
      </c>
      <c r="B222" s="6" t="s">
        <v>464</v>
      </c>
      <c r="C222" s="7" t="str">
        <f>IF(ISERROR(LOOKUP(2^15,SEARCH(B222,'2023'!$B$3:$B$1734,1),'2023'!$A$3:$A$1734)),"NO","SI")</f>
        <v>NO</v>
      </c>
      <c r="D222" s="7" t="str">
        <f>IF(ISERROR(LOOKUP(2^15,SEARCH(B222,'2022'!$B$2:$B$1591,1),'2022'!$A$2:$A$1591)),"NO","SI")</f>
        <v>NO</v>
      </c>
      <c r="E222" s="7" t="str">
        <f>IF(ISERROR(LOOKUP(2^15,SEARCH(B222,'2021'!$B$2:$B$1494,1),'2021'!$A$2:$A$1494)),"NO","SI")</f>
        <v>NO</v>
      </c>
      <c r="F222" s="7" t="str">
        <f>IF(ISERROR(LOOKUP(2^15,SEARCH(B222,'2020'!$B$2:$B$1278,1),'2020'!$A$2:$A$1278)),"NO","SI")</f>
        <v>NO</v>
      </c>
      <c r="G222" s="7" t="str">
        <f>IF(ISERROR(LOOKUP(2^15,SEARCH(B222,'2019'!$B$2:$B$1108,1),'2019'!$A$2:$A$1108)),"NO","SI")</f>
        <v>NO</v>
      </c>
      <c r="H222" s="7" t="str">
        <f>IF(ISERROR(LOOKUP(2^15,SEARCH(B222,'2018'!$B$1:$B$1047,1),'2018'!$A$1:$A$1047)),"NO","SI")</f>
        <v>NO</v>
      </c>
      <c r="I222" s="8" t="str">
        <f>IF(ISERROR(LOOKUP(2^15,SEARCH(B222,'ALERTA SANITARIA'!$B$2:$B$269,1),'2018'!$A$1:$A$1047)),"NO","SI")</f>
        <v>SI</v>
      </c>
      <c r="J222" s="6" t="str">
        <f t="shared" si="0"/>
        <v>COFEPRIS</v>
      </c>
      <c r="K222" s="6" t="str">
        <f t="array" ref="K222">IFERROR(INDEX(Anterior!$C$1:$D$323,MATCH(B222,Anterior!$B$2:$B$323,0)+1,2),0)</f>
        <v>Ninguno</v>
      </c>
      <c r="L222" s="6" t="str">
        <f t="shared" si="1"/>
        <v>Discrepan</v>
      </c>
      <c r="M222" s="2" t="s">
        <v>14</v>
      </c>
    </row>
    <row r="223" spans="1:13" ht="15.75" customHeight="1" x14ac:dyDescent="0.25">
      <c r="A223" s="6" t="s">
        <v>465</v>
      </c>
      <c r="B223" s="6" t="s">
        <v>466</v>
      </c>
      <c r="C223" s="7" t="s">
        <v>14</v>
      </c>
      <c r="D223" s="7" t="s">
        <v>14</v>
      </c>
      <c r="E223" s="7" t="s">
        <v>14</v>
      </c>
      <c r="F223" s="7" t="str">
        <f>IF(ISERROR(LOOKUP(2^15,SEARCH(B223,'2020'!$B$2:$B$1278,1),'2020'!$A$2:$A$1278)),"NO","SI")</f>
        <v>NO</v>
      </c>
      <c r="G223" s="7" t="str">
        <f>IF(ISERROR(LOOKUP(2^15,SEARCH(B223,'2019'!$B$2:$B$1108,1),'2019'!$A$2:$A$1108)),"NO","SI")</f>
        <v>NO</v>
      </c>
      <c r="H223" s="7" t="str">
        <f>IF(ISERROR(LOOKUP(2^15,SEARCH(B223,'2018'!$B$1:$B$1047,1),'2018'!$A$1:$A$1047)),"NO","SI")</f>
        <v>NO</v>
      </c>
      <c r="I223" s="8" t="str">
        <f>IF(ISERROR(LOOKUP(2^15,SEARCH(B223,'ALERTA SANITARIA'!$B$2:$B$269,1),'2018'!$A$1:$A$1047)),"NO","SI")</f>
        <v>SI</v>
      </c>
      <c r="J223" s="6" t="str">
        <f t="shared" si="0"/>
        <v>COFEPRIS</v>
      </c>
      <c r="K223" s="6" t="str">
        <f t="array" ref="K223">IFERROR(INDEX(Anterior!$C$1:$D$323,MATCH(B223,Anterior!$B$2:$B$323,0)+1,2),0)</f>
        <v>COFEPRIS</v>
      </c>
      <c r="L223" s="6" t="str">
        <f t="shared" si="1"/>
        <v>coinciden</v>
      </c>
      <c r="M223" s="2"/>
    </row>
    <row r="224" spans="1:13" ht="15.75" customHeight="1" x14ac:dyDescent="0.25">
      <c r="A224" s="6" t="s">
        <v>467</v>
      </c>
      <c r="B224" s="6" t="s">
        <v>468</v>
      </c>
      <c r="C224" s="7" t="str">
        <f>IF(ISERROR(LOOKUP(2^15,SEARCH(B224,'2023'!$B$3:$B$1734,1),'2023'!$A$3:$A$1734)),"NO","SI")</f>
        <v>SI</v>
      </c>
      <c r="D224" s="7" t="str">
        <f>IF(ISERROR(LOOKUP(2^15,SEARCH(B224,'2022'!$B$2:$B$1591,1),'2022'!$A$2:$A$1591)),"NO","SI")</f>
        <v>SI</v>
      </c>
      <c r="E224" s="7" t="str">
        <f>IF(ISERROR(LOOKUP(2^15,SEARCH(B224,'2021'!$B$2:$B$1494,1),'2021'!$A$2:$A$1494)),"NO","SI")</f>
        <v>SI</v>
      </c>
      <c r="F224" s="7" t="str">
        <f>IF(ISERROR(LOOKUP(2^15,SEARCH(B224,'2020'!$B$2:$B$1278,1),'2020'!$A$2:$A$1278)),"NO","SI")</f>
        <v>SI</v>
      </c>
      <c r="G224" s="7" t="str">
        <f>IF(ISERROR(LOOKUP(2^15,SEARCH(B224,'2019'!$B$2:$B$1108,1),'2019'!$A$2:$A$1108)),"NO","SI")</f>
        <v>SI</v>
      </c>
      <c r="H224" s="7" t="str">
        <f>IF(ISERROR(LOOKUP(2^15,SEARCH(B224,'2018'!$B$1:$B$1047,1),'2018'!$A$1:$A$1047)),"NO","SI")</f>
        <v>SI</v>
      </c>
      <c r="I224" s="8" t="str">
        <f>IF(ISERROR(LOOKUP(2^15,SEARCH(B224,'ALERTA SANITARIA'!$B$2:$B$269,1),'2018'!$A$1:$A$1047)),"NO","SI")</f>
        <v>NO</v>
      </c>
      <c r="J224" s="6" t="str">
        <f t="shared" si="0"/>
        <v>DOF</v>
      </c>
      <c r="K224" s="6" t="str">
        <f t="array" ref="K224">IFERROR(INDEX(Anterior!$C$1:$D$323,MATCH(B224,Anterior!$B$2:$B$323,0)+1,2),0)</f>
        <v>DOF</v>
      </c>
      <c r="L224" s="6" t="str">
        <f t="shared" si="1"/>
        <v>coinciden</v>
      </c>
      <c r="M224" s="2"/>
    </row>
    <row r="225" spans="1:19" ht="15.75" customHeight="1" x14ac:dyDescent="0.25">
      <c r="A225" s="6" t="s">
        <v>469</v>
      </c>
      <c r="B225" s="6" t="s">
        <v>470</v>
      </c>
      <c r="C225" s="7" t="str">
        <f>IF(ISERROR(LOOKUP(2^15,SEARCH(B225,'2023'!$B$3:$B$1734,1),'2023'!$A$3:$A$1734)),"NO","SI")</f>
        <v>SI</v>
      </c>
      <c r="D225" s="7" t="str">
        <f>IF(ISERROR(LOOKUP(2^15,SEARCH(B225,'2022'!$B$2:$B$1591,1),'2022'!$A$2:$A$1591)),"NO","SI")</f>
        <v>SI</v>
      </c>
      <c r="E225" s="7" t="str">
        <f>IF(ISERROR(LOOKUP(2^15,SEARCH(B225,'2021'!$B$2:$B$1494,1),'2021'!$A$2:$A$1494)),"NO","SI")</f>
        <v>SI</v>
      </c>
      <c r="F225" s="7" t="str">
        <f>IF(ISERROR(LOOKUP(2^15,SEARCH(B225,'2020'!$B$2:$B$1278,1),'2020'!$A$2:$A$1278)),"NO","SI")</f>
        <v>SI</v>
      </c>
      <c r="G225" s="7" t="str">
        <f>IF(ISERROR(LOOKUP(2^15,SEARCH(B225,'2019'!$B$2:$B$1108,1),'2019'!$A$2:$A$1108)),"NO","SI")</f>
        <v>SI</v>
      </c>
      <c r="H225" s="7" t="str">
        <f>IF(ISERROR(LOOKUP(2^15,SEARCH(B225,'2018'!$B$1:$B$1047,1),'2018'!$A$1:$A$1047)),"NO","SI")</f>
        <v>SI</v>
      </c>
      <c r="I225" s="8" t="str">
        <f>IF(ISERROR(LOOKUP(2^15,SEARCH(B225,'ALERTA SANITARIA'!$B$2:$B$269,1),'2018'!$A$1:$A$1047)),"NO","SI")</f>
        <v>SI</v>
      </c>
      <c r="J225" s="6" t="str">
        <f t="shared" si="0"/>
        <v>AMBOS</v>
      </c>
      <c r="K225" s="6" t="str">
        <f t="array" ref="K225">IFERROR(INDEX(Anterior!$C$1:$D$323,MATCH(B225,Anterior!$B$2:$B$323,0)+1,2),0)</f>
        <v>DOF</v>
      </c>
      <c r="L225" s="6" t="str">
        <f t="shared" si="1"/>
        <v>Discrepan</v>
      </c>
      <c r="M225" s="2" t="s">
        <v>471</v>
      </c>
      <c r="N225" s="9" t="s">
        <v>472</v>
      </c>
      <c r="O225" s="9"/>
      <c r="P225" s="9"/>
      <c r="Q225" s="9"/>
      <c r="R225" s="9"/>
      <c r="S225" s="9"/>
    </row>
    <row r="226" spans="1:19" ht="15.75" customHeight="1" x14ac:dyDescent="0.25">
      <c r="A226" s="6" t="s">
        <v>473</v>
      </c>
      <c r="B226" s="6" t="s">
        <v>474</v>
      </c>
      <c r="C226" s="7" t="str">
        <f>IF(ISERROR(LOOKUP(2^15,SEARCH(B226,'2023'!$B$3:$B$1734,1),'2023'!$A$3:$A$1734)),"NO","SI")</f>
        <v>NO</v>
      </c>
      <c r="D226" s="7" t="str">
        <f>IF(ISERROR(LOOKUP(2^15,SEARCH(B226,'2022'!$B$2:$B$1591,1),'2022'!$A$2:$A$1591)),"NO","SI")</f>
        <v>NO</v>
      </c>
      <c r="E226" s="7" t="str">
        <f>IF(ISERROR(LOOKUP(2^15,SEARCH(B226,'2021'!$B$2:$B$1494,1),'2021'!$A$2:$A$1494)),"NO","SI")</f>
        <v>NO</v>
      </c>
      <c r="F226" s="7" t="str">
        <f>IF(ISERROR(LOOKUP(2^15,SEARCH(B226,'2020'!$B$2:$B$1278,1),'2020'!$A$2:$A$1278)),"NO","SI")</f>
        <v>NO</v>
      </c>
      <c r="G226" s="7" t="str">
        <f>IF(ISERROR(LOOKUP(2^15,SEARCH(B226,'2019'!$B$2:$B$1108,1),'2019'!$A$2:$A$1108)),"NO","SI")</f>
        <v>NO</v>
      </c>
      <c r="H226" s="7" t="str">
        <f>IF(ISERROR(LOOKUP(2^15,SEARCH(B226,'2018'!$B$1:$B$1047,1),'2018'!$A$1:$A$1047)),"NO","SI")</f>
        <v>NO</v>
      </c>
      <c r="I226" s="8" t="str">
        <f>IF(ISERROR(LOOKUP(2^15,SEARCH(B226,'ALERTA SANITARIA'!$B$2:$B$269,1),'2018'!$A$1:$A$1047)),"NO","SI")</f>
        <v>SI</v>
      </c>
      <c r="J226" s="6" t="str">
        <f t="shared" si="0"/>
        <v>COFEPRIS</v>
      </c>
      <c r="K226" s="6">
        <f t="array" ref="K226">IFERROR(INDEX(Anterior!$C$1:$D$323,MATCH(B226,Anterior!$B$2:$B$323,0)+1,2),0)</f>
        <v>0</v>
      </c>
      <c r="L226" s="6" t="str">
        <f t="shared" si="1"/>
        <v>Nuevo</v>
      </c>
      <c r="M226" s="2"/>
    </row>
    <row r="227" spans="1:19" ht="15.75" customHeight="1" x14ac:dyDescent="0.25">
      <c r="A227" s="6" t="s">
        <v>475</v>
      </c>
      <c r="B227" s="6" t="s">
        <v>476</v>
      </c>
      <c r="C227" s="7" t="str">
        <f>IF(ISERROR(LOOKUP(2^15,SEARCH(B227,'2023'!$B$3:$B$1734,1),'2023'!$A$3:$A$1734)),"NO","SI")</f>
        <v>NO</v>
      </c>
      <c r="D227" s="7" t="str">
        <f>IF(ISERROR(LOOKUP(2^15,SEARCH(B227,'2022'!$B$2:$B$1591,1),'2022'!$A$2:$A$1591)),"NO","SI")</f>
        <v>NO</v>
      </c>
      <c r="E227" s="7" t="str">
        <f>IF(ISERROR(LOOKUP(2^15,SEARCH(B227,'2021'!$B$2:$B$1494,1),'2021'!$A$2:$A$1494)),"NO","SI")</f>
        <v>NO</v>
      </c>
      <c r="F227" s="7" t="str">
        <f>IF(ISERROR(LOOKUP(2^15,SEARCH(B227,'2020'!$B$2:$B$1278,1),'2020'!$A$2:$A$1278)),"NO","SI")</f>
        <v>NO</v>
      </c>
      <c r="G227" s="7" t="str">
        <f>IF(ISERROR(LOOKUP(2^15,SEARCH(B227,'2019'!$B$2:$B$1108,1),'2019'!$A$2:$A$1108)),"NO","SI")</f>
        <v>NO</v>
      </c>
      <c r="H227" s="7" t="str">
        <f>IF(ISERROR(LOOKUP(2^15,SEARCH(B227,'2018'!$B$1:$B$1047,1),'2018'!$A$1:$A$1047)),"NO","SI")</f>
        <v>NO</v>
      </c>
      <c r="I227" s="8" t="str">
        <f>IF(ISERROR(LOOKUP(2^15,SEARCH(B227,'ALERTA SANITARIA'!$B$2:$B$269,1),'2018'!$A$1:$A$1047)),"NO","SI")</f>
        <v>SI</v>
      </c>
      <c r="J227" s="6" t="str">
        <f t="shared" si="0"/>
        <v>COFEPRIS</v>
      </c>
      <c r="K227" s="6" t="str">
        <f t="array" ref="K227">IFERROR(INDEX(Anterior!$C$1:$D$323,MATCH(B227,Anterior!$B$2:$B$323,0)+1,2),0)</f>
        <v>COFEPRIS</v>
      </c>
      <c r="L227" s="6" t="str">
        <f t="shared" si="1"/>
        <v>coinciden</v>
      </c>
      <c r="M227" s="2"/>
    </row>
    <row r="228" spans="1:19" ht="15.75" customHeight="1" x14ac:dyDescent="0.25">
      <c r="A228" s="6" t="s">
        <v>477</v>
      </c>
      <c r="B228" s="6" t="s">
        <v>478</v>
      </c>
      <c r="C228" s="7" t="str">
        <f>IF(ISERROR(LOOKUP(2^15,SEARCH(B228,'2023'!$B$3:$B$1734,1),'2023'!$A$3:$A$1734)),"NO","SI")</f>
        <v>SI</v>
      </c>
      <c r="D228" s="7" t="s">
        <v>14</v>
      </c>
      <c r="E228" s="7" t="s">
        <v>14</v>
      </c>
      <c r="F228" s="7" t="str">
        <f>IF(ISERROR(LOOKUP(2^15,SEARCH(B228,'2020'!$B$2:$B$1278,1),'2020'!$A$2:$A$1278)),"NO","SI")</f>
        <v>NO</v>
      </c>
      <c r="G228" s="7" t="str">
        <f>IF(ISERROR(LOOKUP(2^15,SEARCH(B228,'2019'!$B$2:$B$1108,1),'2019'!$A$2:$A$1108)),"NO","SI")</f>
        <v>NO</v>
      </c>
      <c r="H228" s="7" t="str">
        <f>IF(ISERROR(LOOKUP(2^15,SEARCH(B228,'2018'!$B$1:$B$1047,1),'2018'!$A$1:$A$1047)),"NO","SI")</f>
        <v>NO</v>
      </c>
      <c r="I228" s="8" t="str">
        <f>IF(ISERROR(LOOKUP(2^15,SEARCH(B228,'ALERTA SANITARIA'!$B$2:$B$269,1),'2018'!$A$1:$A$1047)),"NO","SI")</f>
        <v>SI</v>
      </c>
      <c r="J228" s="6" t="str">
        <f t="shared" si="0"/>
        <v>AMBOS</v>
      </c>
      <c r="K228" s="6" t="str">
        <f t="array" ref="K228">IFERROR(INDEX(Anterior!$C$1:$D$323,MATCH(B228,Anterior!$B$2:$B$323,0)+1,2),0)</f>
        <v>COFEPRIS</v>
      </c>
      <c r="L228" s="6" t="str">
        <f t="shared" si="1"/>
        <v>Discrepan</v>
      </c>
      <c r="M228" s="2" t="s">
        <v>14</v>
      </c>
    </row>
    <row r="229" spans="1:19" ht="15.75" customHeight="1" x14ac:dyDescent="0.25">
      <c r="A229" s="6" t="s">
        <v>479</v>
      </c>
      <c r="B229" s="6" t="s">
        <v>480</v>
      </c>
      <c r="C229" s="7" t="str">
        <f>IF(ISERROR(LOOKUP(2^15,SEARCH(B229,'2023'!$B$3:$B$1734,1),'2023'!$A$3:$A$1734)),"NO","SI")</f>
        <v>NO</v>
      </c>
      <c r="D229" s="7" t="str">
        <f>IF(ISERROR(LOOKUP(2^15,SEARCH(B229,'2022'!$B$2:$B$1591,1),'2022'!$A$2:$A$1591)),"NO","SI")</f>
        <v>NO</v>
      </c>
      <c r="E229" s="7" t="str">
        <f>IF(ISERROR(LOOKUP(2^15,SEARCH(B229,'2021'!$B$2:$B$1494,1),'2021'!$A$2:$A$1494)),"NO","SI")</f>
        <v>NO</v>
      </c>
      <c r="F229" s="7" t="str">
        <f>IF(ISERROR(LOOKUP(2^15,SEARCH(B229,'2020'!$B$2:$B$1278,1),'2020'!$A$2:$A$1278)),"NO","SI")</f>
        <v>NO</v>
      </c>
      <c r="G229" s="7" t="str">
        <f>IF(ISERROR(LOOKUP(2^15,SEARCH(B229,'2019'!$B$2:$B$1108,1),'2019'!$A$2:$A$1108)),"NO","SI")</f>
        <v>NO</v>
      </c>
      <c r="H229" s="7" t="str">
        <f>IF(ISERROR(LOOKUP(2^15,SEARCH(B229,'2018'!$B$1:$B$1047,1),'2018'!$A$1:$A$1047)),"NO","SI")</f>
        <v>NO</v>
      </c>
      <c r="I229" s="8" t="str">
        <f>IF(ISERROR(LOOKUP(2^15,SEARCH(B229,'ALERTA SANITARIA'!$B$2:$B$269,1),'2018'!$A$1:$A$1047)),"NO","SI")</f>
        <v>SI</v>
      </c>
      <c r="J229" s="6" t="str">
        <f t="shared" si="0"/>
        <v>COFEPRIS</v>
      </c>
      <c r="K229" s="6" t="str">
        <f t="array" ref="K229">IFERROR(INDEX(Anterior!$C$1:$D$323,MATCH(B229,Anterior!$B$2:$B$323,0)+1,2),0)</f>
        <v>COFEPRIS</v>
      </c>
      <c r="L229" s="6" t="str">
        <f t="shared" si="1"/>
        <v>coinciden</v>
      </c>
      <c r="M229" s="2"/>
    </row>
    <row r="230" spans="1:19" ht="15.75" customHeight="1" x14ac:dyDescent="0.25">
      <c r="A230" s="6" t="s">
        <v>481</v>
      </c>
      <c r="B230" s="6" t="s">
        <v>482</v>
      </c>
      <c r="C230" s="7" t="str">
        <f>IF(ISERROR(LOOKUP(2^15,SEARCH(B230,'2023'!$B$3:$B$1734,1),'2023'!$A$3:$A$1734)),"NO","SI")</f>
        <v>NO</v>
      </c>
      <c r="D230" s="7" t="str">
        <f>IF(ISERROR(LOOKUP(2^15,SEARCH(B230,'2022'!$B$2:$B$1591,1),'2022'!$A$2:$A$1591)),"NO","SI")</f>
        <v>NO</v>
      </c>
      <c r="E230" s="7" t="str">
        <f>IF(ISERROR(LOOKUP(2^15,SEARCH(B230,'2021'!$B$2:$B$1494,1),'2021'!$A$2:$A$1494)),"NO","SI")</f>
        <v>NO</v>
      </c>
      <c r="F230" s="7" t="str">
        <f>IF(ISERROR(LOOKUP(2^15,SEARCH(B230,'2020'!$B$2:$B$1278,1),'2020'!$A$2:$A$1278)),"NO","SI")</f>
        <v>NO</v>
      </c>
      <c r="G230" s="7" t="str">
        <f>IF(ISERROR(LOOKUP(2^15,SEARCH(B230,'2019'!$B$2:$B$1108,1),'2019'!$A$2:$A$1108)),"NO","SI")</f>
        <v>NO</v>
      </c>
      <c r="H230" s="7" t="str">
        <f>IF(ISERROR(LOOKUP(2^15,SEARCH(B230,'2018'!$B$1:$B$1047,1),'2018'!$A$1:$A$1047)),"NO","SI")</f>
        <v>NO</v>
      </c>
      <c r="I230" s="8" t="str">
        <f>IF(ISERROR(LOOKUP(2^15,SEARCH(B230,'ALERTA SANITARIA'!$B$2:$B$269,1),'2018'!$A$1:$A$1047)),"NO","SI")</f>
        <v>SI</v>
      </c>
      <c r="J230" s="6" t="str">
        <f t="shared" si="0"/>
        <v>COFEPRIS</v>
      </c>
      <c r="K230" s="6">
        <f t="array" ref="K230">IFERROR(INDEX(Anterior!$C$1:$D$323,MATCH(B230,Anterior!$B$2:$B$323,0)+1,2),0)</f>
        <v>0</v>
      </c>
      <c r="L230" s="6" t="str">
        <f t="shared" si="1"/>
        <v>Nuevo</v>
      </c>
      <c r="M230" s="2"/>
    </row>
    <row r="231" spans="1:19" ht="15.75" customHeight="1" x14ac:dyDescent="0.25">
      <c r="A231" s="6" t="s">
        <v>483</v>
      </c>
      <c r="B231" s="6" t="s">
        <v>484</v>
      </c>
      <c r="C231" s="7" t="s">
        <v>14</v>
      </c>
      <c r="D231" s="7" t="s">
        <v>14</v>
      </c>
      <c r="E231" s="7" t="s">
        <v>14</v>
      </c>
      <c r="F231" s="7" t="s">
        <v>14</v>
      </c>
      <c r="G231" s="7" t="s">
        <v>14</v>
      </c>
      <c r="H231" s="7" t="s">
        <v>14</v>
      </c>
      <c r="I231" s="8" t="str">
        <f>IF(ISERROR(LOOKUP(2^15,SEARCH(B231,'ALERTA SANITARIA'!$B$2:$B$269,1),'2018'!$A$1:$A$1047)),"NO","SI")</f>
        <v>SI</v>
      </c>
      <c r="J231" s="6" t="str">
        <f t="shared" si="0"/>
        <v>COFEPRIS</v>
      </c>
      <c r="K231" s="6" t="str">
        <f t="array" ref="K231">IFERROR(INDEX(Anterior!$C$1:$D$323,MATCH(B231,Anterior!$B$2:$B$323,0)+1,2),0)</f>
        <v>COFEPRIS</v>
      </c>
      <c r="L231" s="6" t="str">
        <f t="shared" si="1"/>
        <v>coinciden</v>
      </c>
      <c r="M231" s="2"/>
      <c r="P231" s="6" t="s">
        <v>485</v>
      </c>
      <c r="Q231" s="10" t="s">
        <v>486</v>
      </c>
    </row>
    <row r="232" spans="1:19" ht="15.75" customHeight="1" x14ac:dyDescent="0.25">
      <c r="A232" s="6" t="s">
        <v>487</v>
      </c>
      <c r="B232" s="6" t="s">
        <v>488</v>
      </c>
      <c r="C232" s="7" t="str">
        <f>IF(ISERROR(LOOKUP(2^15,SEARCH(B232,'2023'!$B$3:$B$1734,1),'2023'!$A$3:$A$1734)),"NO","SI")</f>
        <v>NO</v>
      </c>
      <c r="D232" s="7" t="str">
        <f>IF(ISERROR(LOOKUP(2^15,SEARCH(B232,'2022'!$B$2:$B$1591,1),'2022'!$A$2:$A$1591)),"NO","SI")</f>
        <v>NO</v>
      </c>
      <c r="E232" s="7" t="str">
        <f>IF(ISERROR(LOOKUP(2^15,SEARCH(B232,'2021'!$B$2:$B$1494,1),'2021'!$A$2:$A$1494)),"NO","SI")</f>
        <v>NO</v>
      </c>
      <c r="F232" s="7" t="str">
        <f>IF(ISERROR(LOOKUP(2^15,SEARCH(B232,'2020'!$B$2:$B$1278,1),'2020'!$A$2:$A$1278)),"NO","SI")</f>
        <v>NO</v>
      </c>
      <c r="G232" s="7" t="str">
        <f>IF(ISERROR(LOOKUP(2^15,SEARCH(B232,'2019'!$B$2:$B$1108,1),'2019'!$A$2:$A$1108)),"NO","SI")</f>
        <v>NO</v>
      </c>
      <c r="H232" s="7" t="str">
        <f>IF(ISERROR(LOOKUP(2^15,SEARCH(B232,'2018'!$B$1:$B$1047,1),'2018'!$A$1:$A$1047)),"NO","SI")</f>
        <v>NO</v>
      </c>
      <c r="I232" s="8" t="str">
        <f>IF(ISERROR(LOOKUP(2^15,SEARCH(B232,'ALERTA SANITARIA'!$B$2:$B$269,1),'2018'!$A$1:$A$1047)),"NO","SI")</f>
        <v>SI</v>
      </c>
      <c r="J232" s="6" t="str">
        <f t="shared" si="0"/>
        <v>COFEPRIS</v>
      </c>
      <c r="K232" s="6" t="str">
        <f t="array" ref="K232">IFERROR(INDEX(Anterior!$C$1:$D$323,MATCH(B232,Anterior!$B$2:$B$323,0)+1,2),0)</f>
        <v>COFEPRIS</v>
      </c>
      <c r="L232" s="6" t="str">
        <f t="shared" si="1"/>
        <v>coinciden</v>
      </c>
      <c r="M232" s="2"/>
      <c r="Q232" s="10" t="s">
        <v>489</v>
      </c>
    </row>
    <row r="233" spans="1:19" ht="15.75" customHeight="1" x14ac:dyDescent="0.25">
      <c r="A233" s="6" t="s">
        <v>490</v>
      </c>
      <c r="B233" s="6" t="s">
        <v>491</v>
      </c>
      <c r="C233" s="7" t="str">
        <f>IF(ISERROR(LOOKUP(2^15,SEARCH(B233,'2023'!$B$3:$B$1734,1),'2023'!$A$3:$A$1734)),"NO","SI")</f>
        <v>NO</v>
      </c>
      <c r="D233" s="7" t="str">
        <f>IF(ISERROR(LOOKUP(2^15,SEARCH(B233,'2022'!$B$2:$B$1591,1),'2022'!$A$2:$A$1591)),"NO","SI")</f>
        <v>NO</v>
      </c>
      <c r="E233" s="7" t="str">
        <f>IF(ISERROR(LOOKUP(2^15,SEARCH(B233,'2021'!$B$2:$B$1494,1),'2021'!$A$2:$A$1494)),"NO","SI")</f>
        <v>NO</v>
      </c>
      <c r="F233" s="7" t="str">
        <f>IF(ISERROR(LOOKUP(2^15,SEARCH(B233,'2020'!$B$2:$B$1278,1),'2020'!$A$2:$A$1278)),"NO","SI")</f>
        <v>NO</v>
      </c>
      <c r="G233" s="7" t="str">
        <f>IF(ISERROR(LOOKUP(2^15,SEARCH(B233,'2019'!$B$2:$B$1108,1),'2019'!$A$2:$A$1108)),"NO","SI")</f>
        <v>NO</v>
      </c>
      <c r="H233" s="7" t="str">
        <f>IF(ISERROR(LOOKUP(2^15,SEARCH(B233,'2018'!$B$1:$B$1047,1),'2018'!$A$1:$A$1047)),"NO","SI")</f>
        <v>NO</v>
      </c>
      <c r="I233" s="8" t="str">
        <f>IF(ISERROR(LOOKUP(2^15,SEARCH(B233,'ALERTA SANITARIA'!$B$2:$B$269,1),'2018'!$A$1:$A$1047)),"NO","SI")</f>
        <v>SI</v>
      </c>
      <c r="J233" s="6" t="str">
        <f t="shared" si="0"/>
        <v>COFEPRIS</v>
      </c>
      <c r="K233" s="6" t="str">
        <f t="array" ref="K233">IFERROR(INDEX(Anterior!$C$1:$D$323,MATCH(B233,Anterior!$B$2:$B$323,0)+1,2),0)</f>
        <v>COFEPRIS</v>
      </c>
      <c r="L233" s="6" t="str">
        <f t="shared" si="1"/>
        <v>coinciden</v>
      </c>
      <c r="M233" s="2"/>
    </row>
    <row r="234" spans="1:19" ht="15.75" customHeight="1" x14ac:dyDescent="0.25">
      <c r="A234" s="6" t="s">
        <v>492</v>
      </c>
      <c r="B234" s="6" t="s">
        <v>493</v>
      </c>
      <c r="C234" s="7" t="str">
        <f>IF(ISERROR(LOOKUP(2^15,SEARCH(B234,'2023'!$B$3:$B$1734,1),'2023'!$A$3:$A$1734)),"NO","SI")</f>
        <v>NO</v>
      </c>
      <c r="D234" s="7" t="str">
        <f>IF(ISERROR(LOOKUP(2^15,SEARCH(B234,'2022'!$B$2:$B$1591,1),'2022'!$A$2:$A$1591)),"NO","SI")</f>
        <v>NO</v>
      </c>
      <c r="E234" s="7" t="str">
        <f>IF(ISERROR(LOOKUP(2^15,SEARCH(B234,'2021'!$B$2:$B$1494,1),'2021'!$A$2:$A$1494)),"NO","SI")</f>
        <v>NO</v>
      </c>
      <c r="F234" s="7" t="str">
        <f>IF(ISERROR(LOOKUP(2^15,SEARCH(B234,'2020'!$B$2:$B$1278,1),'2020'!$A$2:$A$1278)),"NO","SI")</f>
        <v>NO</v>
      </c>
      <c r="G234" s="7" t="str">
        <f>IF(ISERROR(LOOKUP(2^15,SEARCH(B234,'2019'!$B$2:$B$1108,1),'2019'!$A$2:$A$1108)),"NO","SI")</f>
        <v>NO</v>
      </c>
      <c r="H234" s="7" t="str">
        <f>IF(ISERROR(LOOKUP(2^15,SEARCH(B234,'2018'!$B$1:$B$1047,1),'2018'!$A$1:$A$1047)),"NO","SI")</f>
        <v>NO</v>
      </c>
      <c r="I234" s="8" t="str">
        <f>IF(ISERROR(LOOKUP(2^15,SEARCH(B234,'ALERTA SANITARIA'!$B$2:$B$269,1),'2018'!$A$1:$A$1047)),"NO","SI")</f>
        <v>SI</v>
      </c>
      <c r="J234" s="6" t="str">
        <f t="shared" si="0"/>
        <v>COFEPRIS</v>
      </c>
      <c r="K234" s="6" t="str">
        <f t="array" ref="K234">IFERROR(INDEX(Anterior!$C$1:$D$323,MATCH(B234,Anterior!$B$2:$B$323,0)+1,2),0)</f>
        <v>COFEPRIS</v>
      </c>
      <c r="L234" s="6" t="str">
        <f t="shared" si="1"/>
        <v>coinciden</v>
      </c>
      <c r="M234" s="2"/>
    </row>
    <row r="235" spans="1:19" ht="15.75" customHeight="1" x14ac:dyDescent="0.25">
      <c r="A235" s="6" t="s">
        <v>494</v>
      </c>
      <c r="B235" s="6" t="s">
        <v>495</v>
      </c>
      <c r="C235" s="7" t="str">
        <f>IF(ISERROR(LOOKUP(2^15,SEARCH(B235,'2023'!$B$3:$B$1734,1),'2023'!$A$3:$A$1734)),"NO","SI")</f>
        <v>SI</v>
      </c>
      <c r="D235" s="7" t="str">
        <f>IF(ISERROR(LOOKUP(2^15,SEARCH(B235,'2022'!$B$2:$B$1591,1),'2022'!$A$2:$A$1591)),"NO","SI")</f>
        <v>SI</v>
      </c>
      <c r="E235" s="7" t="str">
        <f>IF(ISERROR(LOOKUP(2^15,SEARCH(B235,'2021'!$B$2:$B$1494,1),'2021'!$A$2:$A$1494)),"NO","SI")</f>
        <v>SI</v>
      </c>
      <c r="F235" s="7" t="str">
        <f>IF(ISERROR(LOOKUP(2^15,SEARCH(B235,'2020'!$B$2:$B$1278,1),'2020'!$A$2:$A$1278)),"NO","SI")</f>
        <v>SI</v>
      </c>
      <c r="G235" s="7" t="str">
        <f>IF(ISERROR(LOOKUP(2^15,SEARCH(B235,'2019'!$B$2:$B$1108,1),'2019'!$A$2:$A$1108)),"NO","SI")</f>
        <v>SI</v>
      </c>
      <c r="H235" s="7" t="str">
        <f>IF(ISERROR(LOOKUP(2^15,SEARCH(B235,'2018'!$B$1:$B$1047,1),'2018'!$A$1:$A$1047)),"NO","SI")</f>
        <v>SI</v>
      </c>
      <c r="I235" s="8" t="str">
        <f>IF(ISERROR(LOOKUP(2^15,SEARCH(B235,'ALERTA SANITARIA'!$B$2:$B$269,1),'2018'!$A$1:$A$1047)),"NO","SI")</f>
        <v>NO</v>
      </c>
      <c r="J235" s="6" t="str">
        <f t="shared" si="0"/>
        <v>DOF</v>
      </c>
      <c r="K235" s="6" t="str">
        <f t="array" ref="K235">IFERROR(INDEX(Anterior!$C$1:$D$323,MATCH(B235,Anterior!$B$2:$B$323,0)+1,2),0)</f>
        <v>DOF</v>
      </c>
      <c r="L235" s="6" t="str">
        <f t="shared" si="1"/>
        <v>coinciden</v>
      </c>
      <c r="M235" s="2"/>
    </row>
    <row r="236" spans="1:19" ht="15.75" customHeight="1" x14ac:dyDescent="0.25">
      <c r="A236" s="6" t="s">
        <v>496</v>
      </c>
      <c r="B236" s="6" t="s">
        <v>497</v>
      </c>
      <c r="C236" s="7" t="str">
        <f>IF(ISERROR(LOOKUP(2^15,SEARCH(B236,'2023'!$B$3:$B$1734,1),'2023'!$A$3:$A$1734)),"NO","SI")</f>
        <v>NO</v>
      </c>
      <c r="D236" s="7" t="str">
        <f>IF(ISERROR(LOOKUP(2^15,SEARCH(B236,'2022'!$B$2:$B$1591,1),'2022'!$A$2:$A$1591)),"NO","SI")</f>
        <v>NO</v>
      </c>
      <c r="E236" s="7" t="str">
        <f>IF(ISERROR(LOOKUP(2^15,SEARCH(B236,'2021'!$B$2:$B$1494,1),'2021'!$A$2:$A$1494)),"NO","SI")</f>
        <v>NO</v>
      </c>
      <c r="F236" s="7" t="str">
        <f>IF(ISERROR(LOOKUP(2^15,SEARCH(B236,'2020'!$B$2:$B$1278,1),'2020'!$A$2:$A$1278)),"NO","SI")</f>
        <v>NO</v>
      </c>
      <c r="G236" s="7" t="str">
        <f>IF(ISERROR(LOOKUP(2^15,SEARCH(B236,'2019'!$B$2:$B$1108,1),'2019'!$A$2:$A$1108)),"NO","SI")</f>
        <v>NO</v>
      </c>
      <c r="H236" s="7" t="str">
        <f>IF(ISERROR(LOOKUP(2^15,SEARCH(B236,'2018'!$B$1:$B$1047,1),'2018'!$A$1:$A$1047)),"NO","SI")</f>
        <v>NO</v>
      </c>
      <c r="I236" s="8" t="str">
        <f>IF(ISERROR(LOOKUP(2^15,SEARCH(B236,'ALERTA SANITARIA'!$B$2:$B$269,1),'2018'!$A$1:$A$1047)),"NO","SI")</f>
        <v>SI</v>
      </c>
      <c r="J236" s="6" t="str">
        <f t="shared" si="0"/>
        <v>COFEPRIS</v>
      </c>
      <c r="K236" s="6" t="str">
        <f t="array" ref="K236">IFERROR(INDEX(Anterior!$C$1:$D$323,MATCH(B236,Anterior!$B$2:$B$323,0)+1,2),0)</f>
        <v>COFEPRIS</v>
      </c>
      <c r="L236" s="6" t="str">
        <f t="shared" si="1"/>
        <v>coinciden</v>
      </c>
      <c r="M236" s="2"/>
    </row>
    <row r="237" spans="1:19" ht="15.75" customHeight="1" x14ac:dyDescent="0.25">
      <c r="A237" s="6" t="s">
        <v>498</v>
      </c>
      <c r="B237" s="6" t="s">
        <v>499</v>
      </c>
      <c r="C237" s="7" t="str">
        <f>IF(ISERROR(LOOKUP(2^15,SEARCH(B237,'2023'!$B$3:$B$1734,1),'2023'!$A$3:$A$1734)),"NO","SI")</f>
        <v>NO</v>
      </c>
      <c r="D237" s="7" t="str">
        <f>IF(ISERROR(LOOKUP(2^15,SEARCH(B237,'2022'!$B$2:$B$1591,1),'2022'!$A$2:$A$1591)),"NO","SI")</f>
        <v>NO</v>
      </c>
      <c r="E237" s="7" t="str">
        <f>IF(ISERROR(LOOKUP(2^15,SEARCH(B237,'2021'!$B$2:$B$1494,1),'2021'!$A$2:$A$1494)),"NO","SI")</f>
        <v>NO</v>
      </c>
      <c r="F237" s="7" t="str">
        <f>IF(ISERROR(LOOKUP(2^15,SEARCH(B237,'2020'!$B$2:$B$1278,1),'2020'!$A$2:$A$1278)),"NO","SI")</f>
        <v>NO</v>
      </c>
      <c r="G237" s="7" t="str">
        <f>IF(ISERROR(LOOKUP(2^15,SEARCH(B237,'2019'!$B$2:$B$1108,1),'2019'!$A$2:$A$1108)),"NO","SI")</f>
        <v>NO</v>
      </c>
      <c r="H237" s="7" t="str">
        <f>IF(ISERROR(LOOKUP(2^15,SEARCH(B237,'2018'!$B$1:$B$1047,1),'2018'!$A$1:$A$1047)),"NO","SI")</f>
        <v>NO</v>
      </c>
      <c r="I237" s="8" t="str">
        <f>IF(ISERROR(LOOKUP(2^15,SEARCH(B237,'ALERTA SANITARIA'!$B$2:$B$269,1),'2018'!$A$1:$A$1047)),"NO","SI")</f>
        <v>SI</v>
      </c>
      <c r="J237" s="6" t="str">
        <f t="shared" si="0"/>
        <v>COFEPRIS</v>
      </c>
      <c r="K237" s="6">
        <f t="array" ref="K237">IFERROR(INDEX(Anterior!$C$1:$D$323,MATCH(B237,Anterior!$B$2:$B$323,0)+1,2),0)</f>
        <v>0</v>
      </c>
      <c r="L237" s="6" t="str">
        <f t="shared" si="1"/>
        <v>Nuevo</v>
      </c>
      <c r="M237" s="2"/>
    </row>
    <row r="238" spans="1:19" ht="15.75" customHeight="1" x14ac:dyDescent="0.25">
      <c r="A238" s="6" t="s">
        <v>500</v>
      </c>
      <c r="B238" s="6" t="s">
        <v>501</v>
      </c>
      <c r="C238" s="7" t="str">
        <f>IF(ISERROR(LOOKUP(2^15,SEARCH(B238,'2023'!$B$3:$B$1734,1),'2023'!$A$3:$A$1734)),"NO","SI")</f>
        <v>SI</v>
      </c>
      <c r="D238" s="7" t="str">
        <f>IF(ISERROR(LOOKUP(2^15,SEARCH(B238,'2022'!$B$2:$B$1591,1),'2022'!$A$2:$A$1591)),"NO","SI")</f>
        <v>SI</v>
      </c>
      <c r="E238" s="7" t="str">
        <f>IF(ISERROR(LOOKUP(2^15,SEARCH(B238,'2021'!$B$2:$B$1494,1),'2021'!$A$2:$A$1494)),"NO","SI")</f>
        <v>SI</v>
      </c>
      <c r="F238" s="7" t="str">
        <f>IF(ISERROR(LOOKUP(2^15,SEARCH(B238,'2020'!$B$2:$B$1278,1),'2020'!$A$2:$A$1278)),"NO","SI")</f>
        <v>SI</v>
      </c>
      <c r="G238" s="7" t="str">
        <f>IF(ISERROR(LOOKUP(2^15,SEARCH(B238,'2019'!$B$2:$B$1108,1),'2019'!$A$2:$A$1108)),"NO","SI")</f>
        <v>SI</v>
      </c>
      <c r="H238" s="7" t="str">
        <f>IF(ISERROR(LOOKUP(2^15,SEARCH(B238,'2018'!$B$1:$B$1047,1),'2018'!$A$1:$A$1047)),"NO","SI")</f>
        <v>SI</v>
      </c>
      <c r="I238" s="8" t="str">
        <f>IF(ISERROR(LOOKUP(2^15,SEARCH(B238,'ALERTA SANITARIA'!$B$2:$B$269,1),'2018'!$A$1:$A$1047)),"NO","SI")</f>
        <v>NO</v>
      </c>
      <c r="J238" s="6" t="str">
        <f t="shared" si="0"/>
        <v>DOF</v>
      </c>
      <c r="K238" s="6" t="str">
        <f t="array" ref="K238">IFERROR(INDEX(Anterior!$C$1:$D$323,MATCH(B238,Anterior!$B$2:$B$323,0)+1,2),0)</f>
        <v>DOF</v>
      </c>
      <c r="L238" s="6" t="str">
        <f t="shared" si="1"/>
        <v>coinciden</v>
      </c>
      <c r="M238" s="2"/>
    </row>
    <row r="239" spans="1:19" ht="15.75" customHeight="1" x14ac:dyDescent="0.25">
      <c r="A239" s="6" t="s">
        <v>502</v>
      </c>
      <c r="B239" s="6" t="s">
        <v>503</v>
      </c>
      <c r="C239" s="7" t="str">
        <f>IF(ISERROR(LOOKUP(2^15,SEARCH(B239,'2023'!$B$3:$B$1734,1),'2023'!$A$3:$A$1734)),"NO","SI")</f>
        <v>SI</v>
      </c>
      <c r="D239" s="7" t="str">
        <f>IF(ISERROR(LOOKUP(2^15,SEARCH(B239,'2022'!$B$2:$B$1591,1),'2022'!$A$2:$A$1591)),"NO","SI")</f>
        <v>SI</v>
      </c>
      <c r="E239" s="7" t="str">
        <f>IF(ISERROR(LOOKUP(2^15,SEARCH(B239,'2021'!$B$2:$B$1494,1),'2021'!$A$2:$A$1494)),"NO","SI")</f>
        <v>SI</v>
      </c>
      <c r="F239" s="7" t="str">
        <f>IF(ISERROR(LOOKUP(2^15,SEARCH(B239,'2020'!$B$2:$B$1278,1),'2020'!$A$2:$A$1278)),"NO","SI")</f>
        <v>SI</v>
      </c>
      <c r="G239" s="7" t="str">
        <f>IF(ISERROR(LOOKUP(2^15,SEARCH(B239,'2019'!$B$2:$B$1108,1),'2019'!$A$2:$A$1108)),"NO","SI")</f>
        <v>SI</v>
      </c>
      <c r="H239" s="7" t="str">
        <f>IF(ISERROR(LOOKUP(2^15,SEARCH(B239,'2018'!$B$1:$B$1047,1),'2018'!$A$1:$A$1047)),"NO","SI")</f>
        <v>SI</v>
      </c>
      <c r="I239" s="8" t="str">
        <f>IF(ISERROR(LOOKUP(2^15,SEARCH(B239,'ALERTA SANITARIA'!$B$2:$B$269,1),'2018'!$A$1:$A$1047)),"NO","SI")</f>
        <v>NO</v>
      </c>
      <c r="J239" s="6" t="str">
        <f t="shared" si="0"/>
        <v>DOF</v>
      </c>
      <c r="K239" s="6" t="str">
        <f t="array" ref="K239">IFERROR(INDEX(Anterior!$C$1:$D$323,MATCH(B239,Anterior!$B$2:$B$323,0)+1,2),0)</f>
        <v>DOF</v>
      </c>
      <c r="L239" s="6" t="str">
        <f t="shared" si="1"/>
        <v>coinciden</v>
      </c>
      <c r="M239" s="2"/>
    </row>
    <row r="240" spans="1:19" ht="15.75" customHeight="1" x14ac:dyDescent="0.25">
      <c r="A240" s="6" t="s">
        <v>504</v>
      </c>
      <c r="B240" s="6" t="s">
        <v>505</v>
      </c>
      <c r="C240" s="7" t="str">
        <f>IF(ISERROR(LOOKUP(2^15,SEARCH(B240,'2023'!$B$3:$B$1734,1),'2023'!$A$3:$A$1734)),"NO","SI")</f>
        <v>NO</v>
      </c>
      <c r="D240" s="7" t="str">
        <f>IF(ISERROR(LOOKUP(2^15,SEARCH(B240,'2022'!$B$2:$B$1591,1),'2022'!$A$2:$A$1591)),"NO","SI")</f>
        <v>NO</v>
      </c>
      <c r="E240" s="7" t="str">
        <f>IF(ISERROR(LOOKUP(2^15,SEARCH(B240,'2021'!$B$2:$B$1494,1),'2021'!$A$2:$A$1494)),"NO","SI")</f>
        <v>NO</v>
      </c>
      <c r="F240" s="7" t="str">
        <f>IF(ISERROR(LOOKUP(2^15,SEARCH(B240,'2020'!$B$2:$B$1278,1),'2020'!$A$2:$A$1278)),"NO","SI")</f>
        <v>NO</v>
      </c>
      <c r="G240" s="7" t="str">
        <f>IF(ISERROR(LOOKUP(2^15,SEARCH(B240,'2019'!$B$2:$B$1108,1),'2019'!$A$2:$A$1108)),"NO","SI")</f>
        <v>NO</v>
      </c>
      <c r="H240" s="7" t="str">
        <f>IF(ISERROR(LOOKUP(2^15,SEARCH(B240,'2018'!$B$1:$B$1047,1),'2018'!$A$1:$A$1047)),"NO","SI")</f>
        <v>NO</v>
      </c>
      <c r="I240" s="8" t="str">
        <f>IF(ISERROR(LOOKUP(2^15,SEARCH(B240,'ALERTA SANITARIA'!$B$2:$B$269,1),'2018'!$A$1:$A$1047)),"NO","SI")</f>
        <v>SI</v>
      </c>
      <c r="J240" s="6" t="str">
        <f t="shared" si="0"/>
        <v>COFEPRIS</v>
      </c>
      <c r="K240" s="6" t="str">
        <f t="array" ref="K240">IFERROR(INDEX(Anterior!$C$1:$D$323,MATCH(B240,Anterior!$B$2:$B$323,0)+1,2),0)</f>
        <v>COFEPRIS</v>
      </c>
      <c r="L240" s="6" t="str">
        <f t="shared" si="1"/>
        <v>coinciden</v>
      </c>
      <c r="M240" s="2"/>
    </row>
    <row r="241" spans="1:19" ht="15.75" customHeight="1" x14ac:dyDescent="0.25">
      <c r="A241" s="6" t="s">
        <v>506</v>
      </c>
      <c r="B241" s="6" t="s">
        <v>507</v>
      </c>
      <c r="C241" s="7" t="str">
        <f>IF(ISERROR(LOOKUP(2^15,SEARCH(B241,'2023'!$B$3:$B$1734,1),'2023'!$A$3:$A$1734)),"NO","SI")</f>
        <v>SI</v>
      </c>
      <c r="D241" s="7" t="str">
        <f>IF(ISERROR(LOOKUP(2^15,SEARCH(B241,'2022'!$B$2:$B$1591,1),'2022'!$A$2:$A$1591)),"NO","SI")</f>
        <v>SI</v>
      </c>
      <c r="E241" s="7" t="str">
        <f>IF(ISERROR(LOOKUP(2^15,SEARCH(B241,'2021'!$B$2:$B$1494,1),'2021'!$A$2:$A$1494)),"NO","SI")</f>
        <v>SI</v>
      </c>
      <c r="F241" s="7" t="str">
        <f>IF(ISERROR(LOOKUP(2^15,SEARCH(B241,'2020'!$B$2:$B$1278,1),'2020'!$A$2:$A$1278)),"NO","SI")</f>
        <v>SI</v>
      </c>
      <c r="G241" s="7" t="str">
        <f>IF(ISERROR(LOOKUP(2^15,SEARCH(B241,'2019'!$B$2:$B$1108,1),'2019'!$A$2:$A$1108)),"NO","SI")</f>
        <v>SI</v>
      </c>
      <c r="H241" s="7" t="str">
        <f>IF(ISERROR(LOOKUP(2^15,SEARCH(B241,'2018'!$B$1:$B$1047,1),'2018'!$A$1:$A$1047)),"NO","SI")</f>
        <v>SI</v>
      </c>
      <c r="I241" s="8" t="str">
        <f>IF(ISERROR(LOOKUP(2^15,SEARCH(B241,'ALERTA SANITARIA'!$B$2:$B$269,1),'2018'!$A$1:$A$1047)),"NO","SI")</f>
        <v>NO</v>
      </c>
      <c r="J241" s="6" t="str">
        <f t="shared" si="0"/>
        <v>DOF</v>
      </c>
      <c r="K241" s="6" t="str">
        <f t="array" ref="K241">IFERROR(INDEX(Anterior!$C$1:$D$323,MATCH(B241,Anterior!$B$2:$B$323,0)+1,2),0)</f>
        <v>DOF</v>
      </c>
      <c r="L241" s="6" t="str">
        <f t="shared" si="1"/>
        <v>coinciden</v>
      </c>
      <c r="M241" s="2"/>
    </row>
    <row r="242" spans="1:19" ht="15.75" customHeight="1" x14ac:dyDescent="0.25">
      <c r="A242" s="6" t="s">
        <v>508</v>
      </c>
      <c r="B242" s="6" t="s">
        <v>509</v>
      </c>
      <c r="C242" s="7" t="str">
        <f>IF(ISERROR(LOOKUP(2^15,SEARCH(B242,'2023'!$B$3:$B$1734,1),'2023'!$A$3:$A$1734)),"NO","SI")</f>
        <v>NO</v>
      </c>
      <c r="D242" s="7" t="str">
        <f>IF(ISERROR(LOOKUP(2^15,SEARCH(B242,'2022'!$B$2:$B$1591,1),'2022'!$A$2:$A$1591)),"NO","SI")</f>
        <v>NO</v>
      </c>
      <c r="E242" s="7" t="str">
        <f>IF(ISERROR(LOOKUP(2^15,SEARCH(B242,'2021'!$B$2:$B$1494,1),'2021'!$A$2:$A$1494)),"NO","SI")</f>
        <v>NO</v>
      </c>
      <c r="F242" s="7" t="str">
        <f>IF(ISERROR(LOOKUP(2^15,SEARCH(B242,'2020'!$B$2:$B$1278,1),'2020'!$A$2:$A$1278)),"NO","SI")</f>
        <v>NO</v>
      </c>
      <c r="G242" s="7" t="str">
        <f>IF(ISERROR(LOOKUP(2^15,SEARCH(B242,'2019'!$B$2:$B$1108,1),'2019'!$A$2:$A$1108)),"NO","SI")</f>
        <v>NO</v>
      </c>
      <c r="H242" s="7" t="str">
        <f>IF(ISERROR(LOOKUP(2^15,SEARCH(B242,'2018'!$B$1:$B$1047,1),'2018'!$A$1:$A$1047)),"NO","SI")</f>
        <v>NO</v>
      </c>
      <c r="I242" s="8" t="str">
        <f>IF(ISERROR(LOOKUP(2^15,SEARCH(B242,'ALERTA SANITARIA'!$B$2:$B$269,1),'2018'!$A$1:$A$1047)),"NO","SI")</f>
        <v>SI</v>
      </c>
      <c r="J242" s="6" t="str">
        <f t="shared" si="0"/>
        <v>COFEPRIS</v>
      </c>
      <c r="K242" s="6" t="str">
        <f t="array" ref="K242">IFERROR(INDEX(Anterior!$C$1:$D$323,MATCH(B242,Anterior!$B$2:$B$323,0)+1,2),0)</f>
        <v>COFEPRIS</v>
      </c>
      <c r="L242" s="6" t="str">
        <f t="shared" si="1"/>
        <v>coinciden</v>
      </c>
      <c r="M242" s="2"/>
    </row>
    <row r="243" spans="1:19" ht="15.75" customHeight="1" x14ac:dyDescent="0.25">
      <c r="A243" s="6" t="s">
        <v>510</v>
      </c>
      <c r="B243" s="6" t="s">
        <v>511</v>
      </c>
      <c r="C243" s="7" t="str">
        <f>IF(ISERROR(LOOKUP(2^15,SEARCH(B243,'2023'!$B$3:$B$1734,1),'2023'!$A$3:$A$1734)),"NO","SI")</f>
        <v>SI</v>
      </c>
      <c r="D243" s="7" t="str">
        <f>IF(ISERROR(LOOKUP(2^15,SEARCH(B243,'2022'!$B$2:$B$1591,1),'2022'!$A$2:$A$1591)),"NO","SI")</f>
        <v>SI</v>
      </c>
      <c r="E243" s="7" t="str">
        <f>IF(ISERROR(LOOKUP(2^15,SEARCH(B243,'2021'!$B$2:$B$1494,1),'2021'!$A$2:$A$1494)),"NO","SI")</f>
        <v>SI</v>
      </c>
      <c r="F243" s="7" t="str">
        <f>IF(ISERROR(LOOKUP(2^15,SEARCH(B243,'2020'!$B$2:$B$1278,1),'2020'!$A$2:$A$1278)),"NO","SI")</f>
        <v>SI</v>
      </c>
      <c r="G243" s="7" t="str">
        <f>IF(ISERROR(LOOKUP(2^15,SEARCH(B243,'2019'!$B$2:$B$1108,1),'2019'!$A$2:$A$1108)),"NO","SI")</f>
        <v>SI</v>
      </c>
      <c r="H243" s="7" t="str">
        <f>IF(ISERROR(LOOKUP(2^15,SEARCH(B243,'2018'!$B$1:$B$1047,1),'2018'!$A$1:$A$1047)),"NO","SI")</f>
        <v>SI</v>
      </c>
      <c r="I243" s="8" t="str">
        <f>IF(ISERROR(LOOKUP(2^15,SEARCH(B243,'ALERTA SANITARIA'!$B$2:$B$269,1),'2018'!$A$1:$A$1047)),"NO","SI")</f>
        <v>SI</v>
      </c>
      <c r="J243" s="6" t="str">
        <f t="shared" si="0"/>
        <v>AMBOS</v>
      </c>
      <c r="K243" s="6" t="str">
        <f t="array" ref="K243">IFERROR(INDEX(Anterior!$C$1:$D$323,MATCH(B243,Anterior!$B$2:$B$323,0)+1,2),0)</f>
        <v>Ambos</v>
      </c>
      <c r="L243" s="6" t="str">
        <f t="shared" si="1"/>
        <v>coinciden</v>
      </c>
      <c r="M243" s="2"/>
    </row>
    <row r="244" spans="1:19" ht="15.75" customHeight="1" x14ac:dyDescent="0.25">
      <c r="A244" s="6" t="s">
        <v>512</v>
      </c>
      <c r="B244" s="6" t="s">
        <v>513</v>
      </c>
      <c r="C244" s="7" t="str">
        <f>IF(ISERROR(LOOKUP(2^15,SEARCH(B244,'2023'!$B$3:$B$1734,1),'2023'!$A$3:$A$1734)),"NO","SI")</f>
        <v>NO</v>
      </c>
      <c r="D244" s="7" t="str">
        <f>IF(ISERROR(LOOKUP(2^15,SEARCH(B244,'2022'!$B$2:$B$1591,1),'2022'!$A$2:$A$1591)),"NO","SI")</f>
        <v>NO</v>
      </c>
      <c r="E244" s="7" t="str">
        <f>IF(ISERROR(LOOKUP(2^15,SEARCH(B244,'2021'!$B$2:$B$1494,1),'2021'!$A$2:$A$1494)),"NO","SI")</f>
        <v>NO</v>
      </c>
      <c r="F244" s="7" t="str">
        <f>IF(ISERROR(LOOKUP(2^15,SEARCH(B244,'2020'!$B$2:$B$1278,1),'2020'!$A$2:$A$1278)),"NO","SI")</f>
        <v>NO</v>
      </c>
      <c r="G244" s="7" t="str">
        <f>IF(ISERROR(LOOKUP(2^15,SEARCH(B244,'2019'!$B$2:$B$1108,1),'2019'!$A$2:$A$1108)),"NO","SI")</f>
        <v>NO</v>
      </c>
      <c r="H244" s="7" t="str">
        <f>IF(ISERROR(LOOKUP(2^15,SEARCH(B244,'2018'!$B$1:$B$1047,1),'2018'!$A$1:$A$1047)),"NO","SI")</f>
        <v>NO</v>
      </c>
      <c r="I244" s="8" t="str">
        <f>IF(ISERROR(LOOKUP(2^15,SEARCH(B244,'ALERTA SANITARIA'!$B$2:$B$269,1),'2018'!$A$1:$A$1047)),"NO","SI")</f>
        <v>SI</v>
      </c>
      <c r="J244" s="6" t="str">
        <f t="shared" si="0"/>
        <v>COFEPRIS</v>
      </c>
      <c r="K244" s="6" t="str">
        <f t="array" ref="K244">IFERROR(INDEX(Anterior!$C$1:$D$323,MATCH(B244,Anterior!$B$2:$B$323,0)+1,2),0)</f>
        <v>COFEPRIS</v>
      </c>
      <c r="L244" s="6" t="str">
        <f t="shared" si="1"/>
        <v>coinciden</v>
      </c>
      <c r="M244" s="2"/>
    </row>
    <row r="245" spans="1:19" ht="15.75" customHeight="1" x14ac:dyDescent="0.25">
      <c r="A245" s="6" t="s">
        <v>514</v>
      </c>
      <c r="B245" s="6" t="s">
        <v>515</v>
      </c>
      <c r="C245" s="7" t="s">
        <v>14</v>
      </c>
      <c r="D245" s="7" t="s">
        <v>14</v>
      </c>
      <c r="E245" s="7" t="s">
        <v>14</v>
      </c>
      <c r="F245" s="7" t="s">
        <v>14</v>
      </c>
      <c r="G245" s="7" t="s">
        <v>14</v>
      </c>
      <c r="H245" s="7" t="s">
        <v>14</v>
      </c>
      <c r="I245" s="8" t="str">
        <f>IF(ISERROR(LOOKUP(2^15,SEARCH(B245,'ALERTA SANITARIA'!$B$2:$B$269,1),'2018'!$A$1:$A$1047)),"NO","SI")</f>
        <v>SI</v>
      </c>
      <c r="J245" s="6" t="str">
        <f t="shared" si="0"/>
        <v>COFEPRIS</v>
      </c>
      <c r="K245" s="6" t="str">
        <f t="array" ref="K245">IFERROR(INDEX(Anterior!$C$1:$D$323,MATCH(B245,Anterior!$B$2:$B$323,0)+1,2),0)</f>
        <v>COFEPRIS</v>
      </c>
      <c r="L245" s="6" t="str">
        <f t="shared" si="1"/>
        <v>coinciden</v>
      </c>
      <c r="M245" s="2"/>
      <c r="P245" s="6" t="s">
        <v>516</v>
      </c>
    </row>
    <row r="246" spans="1:19" ht="15.75" customHeight="1" x14ac:dyDescent="0.25">
      <c r="A246" s="6" t="s">
        <v>517</v>
      </c>
      <c r="B246" s="6" t="s">
        <v>518</v>
      </c>
      <c r="C246" s="7" t="str">
        <f>IF(ISERROR(LOOKUP(2^15,SEARCH(B246,'2023'!$B$3:$B$1734,1),'2023'!$A$3:$A$1734)),"NO","SI")</f>
        <v>NO</v>
      </c>
      <c r="D246" s="7" t="str">
        <f>IF(ISERROR(LOOKUP(2^15,SEARCH(B246,'2022'!$B$2:$B$1591,1),'2022'!$A$2:$A$1591)),"NO","SI")</f>
        <v>NO</v>
      </c>
      <c r="E246" s="7" t="str">
        <f>IF(ISERROR(LOOKUP(2^15,SEARCH(B246,'2021'!$B$2:$B$1494,1),'2021'!$A$2:$A$1494)),"NO","SI")</f>
        <v>NO</v>
      </c>
      <c r="F246" s="7" t="str">
        <f>IF(ISERROR(LOOKUP(2^15,SEARCH(B246,'2020'!$B$2:$B$1278,1),'2020'!$A$2:$A$1278)),"NO","SI")</f>
        <v>NO</v>
      </c>
      <c r="G246" s="7" t="str">
        <f>IF(ISERROR(LOOKUP(2^15,SEARCH(B246,'2019'!$B$2:$B$1108,1),'2019'!$A$2:$A$1108)),"NO","SI")</f>
        <v>NO</v>
      </c>
      <c r="H246" s="7" t="str">
        <f>IF(ISERROR(LOOKUP(2^15,SEARCH(B246,'2018'!$B$1:$B$1047,1),'2018'!$A$1:$A$1047)),"NO","SI")</f>
        <v>NO</v>
      </c>
      <c r="I246" s="8" t="str">
        <f>IF(ISERROR(LOOKUP(2^15,SEARCH(B246,'ALERTA SANITARIA'!$B$2:$B$269,1),'2018'!$A$1:$A$1047)),"NO","SI")</f>
        <v>SI</v>
      </c>
      <c r="J246" s="6" t="str">
        <f t="shared" si="0"/>
        <v>COFEPRIS</v>
      </c>
      <c r="K246" s="6" t="str">
        <f t="array" ref="K246">IFERROR(INDEX(Anterior!$C$1:$D$323,MATCH(B246,Anterior!$B$2:$B$323,0)+1,2),0)</f>
        <v>COFEPRIS</v>
      </c>
      <c r="L246" s="6" t="str">
        <f t="shared" si="1"/>
        <v>coinciden</v>
      </c>
      <c r="M246" s="2"/>
    </row>
    <row r="247" spans="1:19" ht="15.75" customHeight="1" x14ac:dyDescent="0.25">
      <c r="A247" s="6" t="s">
        <v>519</v>
      </c>
      <c r="B247" s="6" t="s">
        <v>520</v>
      </c>
      <c r="C247" s="7" t="str">
        <f>IF(ISERROR(LOOKUP(2^15,SEARCH(B247,'2023'!$B$3:$B$1734,1),'2023'!$A$3:$A$1734)),"NO","SI")</f>
        <v>NO</v>
      </c>
      <c r="D247" s="7" t="str">
        <f>IF(ISERROR(LOOKUP(2^15,SEARCH(B247,'2022'!$B$2:$B$1591,1),'2022'!$A$2:$A$1591)),"NO","SI")</f>
        <v>NO</v>
      </c>
      <c r="E247" s="7" t="str">
        <f>IF(ISERROR(LOOKUP(2^15,SEARCH(B247,'2021'!$B$2:$B$1494,1),'2021'!$A$2:$A$1494)),"NO","SI")</f>
        <v>NO</v>
      </c>
      <c r="F247" s="7" t="str">
        <f>IF(ISERROR(LOOKUP(2^15,SEARCH(B247,'2020'!$B$2:$B$1278,1),'2020'!$A$2:$A$1278)),"NO","SI")</f>
        <v>NO</v>
      </c>
      <c r="G247" s="7" t="str">
        <f>IF(ISERROR(LOOKUP(2^15,SEARCH(B247,'2019'!$B$2:$B$1108,1),'2019'!$A$2:$A$1108)),"NO","SI")</f>
        <v>NO</v>
      </c>
      <c r="H247" s="7" t="str">
        <f>IF(ISERROR(LOOKUP(2^15,SEARCH(B247,'2018'!$B$1:$B$1047,1),'2018'!$A$1:$A$1047)),"NO","SI")</f>
        <v>NO</v>
      </c>
      <c r="I247" s="8" t="str">
        <f>IF(ISERROR(LOOKUP(2^15,SEARCH(B247,'ALERTA SANITARIA'!$B$2:$B$269,1),'2018'!$A$1:$A$1047)),"NO","SI")</f>
        <v>SI</v>
      </c>
      <c r="J247" s="6" t="str">
        <f t="shared" si="0"/>
        <v>COFEPRIS</v>
      </c>
      <c r="K247" s="6" t="str">
        <f t="array" ref="K247">IFERROR(INDEX(Anterior!$C$1:$D$323,MATCH(B247,Anterior!$B$2:$B$323,0)+1,2),0)</f>
        <v>COFEPRIS</v>
      </c>
      <c r="L247" s="6" t="str">
        <f t="shared" si="1"/>
        <v>coinciden</v>
      </c>
      <c r="M247" s="2"/>
    </row>
    <row r="248" spans="1:19" ht="15.75" customHeight="1" x14ac:dyDescent="0.25">
      <c r="A248" s="6" t="s">
        <v>521</v>
      </c>
      <c r="B248" s="6" t="s">
        <v>522</v>
      </c>
      <c r="C248" s="7" t="str">
        <f>IF(ISERROR(LOOKUP(2^15,SEARCH(B248,'2023'!$B$3:$B$1734,1),'2023'!$A$3:$A$1734)),"NO","SI")</f>
        <v>NO</v>
      </c>
      <c r="D248" s="7" t="str">
        <f>IF(ISERROR(LOOKUP(2^15,SEARCH(B248,'2022'!$B$2:$B$1591,1),'2022'!$A$2:$A$1591)),"NO","SI")</f>
        <v>NO</v>
      </c>
      <c r="E248" s="7" t="str">
        <f>IF(ISERROR(LOOKUP(2^15,SEARCH(B248,'2021'!$B$2:$B$1494,1),'2021'!$A$2:$A$1494)),"NO","SI")</f>
        <v>NO</v>
      </c>
      <c r="F248" s="7" t="str">
        <f>IF(ISERROR(LOOKUP(2^15,SEARCH(B248,'2020'!$B$2:$B$1278,1),'2020'!$A$2:$A$1278)),"NO","SI")</f>
        <v>NO</v>
      </c>
      <c r="G248" s="7" t="str">
        <f>IF(ISERROR(LOOKUP(2^15,SEARCH(B248,'2019'!$B$2:$B$1108,1),'2019'!$A$2:$A$1108)),"NO","SI")</f>
        <v>NO</v>
      </c>
      <c r="H248" s="7" t="str">
        <f>IF(ISERROR(LOOKUP(2^15,SEARCH(B248,'2018'!$B$1:$B$1047,1),'2018'!$A$1:$A$1047)),"NO","SI")</f>
        <v>NO</v>
      </c>
      <c r="I248" s="8" t="str">
        <f>IF(ISERROR(LOOKUP(2^15,SEARCH(B248,'ALERTA SANITARIA'!$B$2:$B$269,1),'2018'!$A$1:$A$1047)),"NO","SI")</f>
        <v>SI</v>
      </c>
      <c r="J248" s="6" t="str">
        <f t="shared" si="0"/>
        <v>COFEPRIS</v>
      </c>
      <c r="K248" s="6" t="str">
        <f t="array" ref="K248">IFERROR(INDEX(Anterior!$C$1:$D$323,MATCH(B248,Anterior!$B$2:$B$323,0)+1,2),0)</f>
        <v>COFEPRIS</v>
      </c>
      <c r="L248" s="6" t="str">
        <f t="shared" si="1"/>
        <v>coinciden</v>
      </c>
      <c r="M248" s="2"/>
    </row>
    <row r="249" spans="1:19" ht="15.75" customHeight="1" x14ac:dyDescent="0.25">
      <c r="A249" s="6" t="s">
        <v>523</v>
      </c>
      <c r="B249" s="6" t="s">
        <v>524</v>
      </c>
      <c r="C249" s="7" t="str">
        <f>IF(ISERROR(LOOKUP(2^15,SEARCH(B249,'2023'!$B$3:$B$1734,1),'2023'!$A$3:$A$1734)),"NO","SI")</f>
        <v>SI</v>
      </c>
      <c r="D249" s="7" t="str">
        <f>IF(ISERROR(LOOKUP(2^15,SEARCH(B249,'2022'!$B$2:$B$1591,1),'2022'!$A$2:$A$1591)),"NO","SI")</f>
        <v>SI</v>
      </c>
      <c r="E249" s="7" t="str">
        <f>IF(ISERROR(LOOKUP(2^15,SEARCH(B249,'2021'!$B$2:$B$1494,1),'2021'!$A$2:$A$1494)),"NO","SI")</f>
        <v>SI</v>
      </c>
      <c r="F249" s="7" t="str">
        <f>IF(ISERROR(LOOKUP(2^15,SEARCH(B249,'2020'!$B$2:$B$1278,1),'2020'!$A$2:$A$1278)),"NO","SI")</f>
        <v>SI</v>
      </c>
      <c r="G249" s="7" t="str">
        <f>IF(ISERROR(LOOKUP(2^15,SEARCH(B249,'2019'!$B$2:$B$1108,1),'2019'!$A$2:$A$1108)),"NO","SI")</f>
        <v>SI</v>
      </c>
      <c r="H249" s="7" t="str">
        <f>IF(ISERROR(LOOKUP(2^15,SEARCH(B249,'2018'!$B$1:$B$1047,1),'2018'!$A$1:$A$1047)),"NO","SI")</f>
        <v>SI</v>
      </c>
      <c r="I249" s="8" t="str">
        <f>IF(ISERROR(LOOKUP(2^15,SEARCH(B249,'ALERTA SANITARIA'!$B$2:$B$269,1),'2018'!$A$1:$A$1047)),"NO","SI")</f>
        <v>SI</v>
      </c>
      <c r="J249" s="6" t="str">
        <f t="shared" si="0"/>
        <v>AMBOS</v>
      </c>
      <c r="K249" s="6" t="str">
        <f t="array" ref="K249">IFERROR(INDEX(Anterior!$C$1:$D$323,MATCH(B249,Anterior!$B$2:$B$323,0)+1,2),0)</f>
        <v>Ambos</v>
      </c>
      <c r="L249" s="6" t="str">
        <f t="shared" si="1"/>
        <v>coinciden</v>
      </c>
      <c r="M249" s="2"/>
    </row>
    <row r="250" spans="1:19" ht="15.75" customHeight="1" x14ac:dyDescent="0.25">
      <c r="A250" s="6" t="s">
        <v>525</v>
      </c>
      <c r="B250" s="6" t="s">
        <v>526</v>
      </c>
      <c r="C250" s="7" t="str">
        <f>IF(ISERROR(LOOKUP(2^15,SEARCH(B250,'2023'!$B$3:$B$1734,1),'2023'!$A$3:$A$1734)),"NO","SI")</f>
        <v>NO</v>
      </c>
      <c r="D250" s="7" t="str">
        <f>IF(ISERROR(LOOKUP(2^15,SEARCH(B250,'2022'!$B$2:$B$1591,1),'2022'!$A$2:$A$1591)),"NO","SI")</f>
        <v>NO</v>
      </c>
      <c r="E250" s="7" t="str">
        <f>IF(ISERROR(LOOKUP(2^15,SEARCH(B250,'2021'!$B$2:$B$1494,1),'2021'!$A$2:$A$1494)),"NO","SI")</f>
        <v>NO</v>
      </c>
      <c r="F250" s="7" t="str">
        <f>IF(ISERROR(LOOKUP(2^15,SEARCH(B250,'2020'!$B$2:$B$1278,1),'2020'!$A$2:$A$1278)),"NO","SI")</f>
        <v>NO</v>
      </c>
      <c r="G250" s="7" t="str">
        <f>IF(ISERROR(LOOKUP(2^15,SEARCH(B250,'2019'!$B$2:$B$1108,1),'2019'!$A$2:$A$1108)),"NO","SI")</f>
        <v>NO</v>
      </c>
      <c r="H250" s="7" t="str">
        <f>IF(ISERROR(LOOKUP(2^15,SEARCH(B250,'2018'!$B$1:$B$1047,1),'2018'!$A$1:$A$1047)),"NO","SI")</f>
        <v>NO</v>
      </c>
      <c r="I250" s="8" t="str">
        <f>IF(ISERROR(LOOKUP(2^15,SEARCH(B250,'ALERTA SANITARIA'!$B$2:$B$269,1),'2018'!$A$1:$A$1047)),"NO","SI")</f>
        <v>SI</v>
      </c>
      <c r="J250" s="6" t="str">
        <f t="shared" si="0"/>
        <v>COFEPRIS</v>
      </c>
      <c r="K250" s="6" t="str">
        <f t="array" ref="K250">IFERROR(INDEX(Anterior!$C$1:$D$323,MATCH(B250,Anterior!$B$2:$B$323,0)+1,2),0)</f>
        <v>COFEPRIS</v>
      </c>
      <c r="L250" s="6" t="str">
        <f t="shared" si="1"/>
        <v>coinciden</v>
      </c>
      <c r="M250" s="2"/>
    </row>
    <row r="251" spans="1:19" ht="15.75" customHeight="1" x14ac:dyDescent="0.25">
      <c r="A251" s="6" t="s">
        <v>527</v>
      </c>
      <c r="B251" s="6" t="s">
        <v>528</v>
      </c>
      <c r="C251" s="7" t="str">
        <f>IF(ISERROR(LOOKUP(2^15,SEARCH(B251,'2023'!$B$3:$B$1734,1),'2023'!$A$3:$A$1734)),"NO","SI")</f>
        <v>NO</v>
      </c>
      <c r="D251" s="7" t="str">
        <f>IF(ISERROR(LOOKUP(2^15,SEARCH(B251,'2022'!$B$2:$B$1591,1),'2022'!$A$2:$A$1591)),"NO","SI")</f>
        <v>NO</v>
      </c>
      <c r="E251" s="7" t="str">
        <f>IF(ISERROR(LOOKUP(2^15,SEARCH(B251,'2021'!$B$2:$B$1494,1),'2021'!$A$2:$A$1494)),"NO","SI")</f>
        <v>NO</v>
      </c>
      <c r="F251" s="7" t="str">
        <f>IF(ISERROR(LOOKUP(2^15,SEARCH(B251,'2020'!$B$2:$B$1278,1),'2020'!$A$2:$A$1278)),"NO","SI")</f>
        <v>NO</v>
      </c>
      <c r="G251" s="7" t="str">
        <f>IF(ISERROR(LOOKUP(2^15,SEARCH(B251,'2019'!$B$2:$B$1108,1),'2019'!$A$2:$A$1108)),"NO","SI")</f>
        <v>NO</v>
      </c>
      <c r="H251" s="7" t="str">
        <f>IF(ISERROR(LOOKUP(2^15,SEARCH(B251,'2018'!$B$1:$B$1047,1),'2018'!$A$1:$A$1047)),"NO","SI")</f>
        <v>NO</v>
      </c>
      <c r="I251" s="8" t="str">
        <f>IF(ISERROR(LOOKUP(2^15,SEARCH(B251,'ALERTA SANITARIA'!$B$2:$B$269,1),'2018'!$A$1:$A$1047)),"NO","SI")</f>
        <v>SI</v>
      </c>
      <c r="J251" s="6" t="str">
        <f t="shared" si="0"/>
        <v>COFEPRIS</v>
      </c>
      <c r="K251" s="6" t="str">
        <f t="array" ref="K251">IFERROR(INDEX(Anterior!$C$1:$D$323,MATCH(B251,Anterior!$B$2:$B$323,0)+1,2),0)</f>
        <v>COFEPRIS</v>
      </c>
      <c r="L251" s="6" t="str">
        <f t="shared" si="1"/>
        <v>coinciden</v>
      </c>
      <c r="M251" s="2" t="s">
        <v>14</v>
      </c>
      <c r="N251" s="9" t="s">
        <v>529</v>
      </c>
      <c r="O251" s="9"/>
      <c r="P251" s="9"/>
      <c r="Q251" s="9"/>
      <c r="R251" s="9"/>
      <c r="S251" s="9"/>
    </row>
    <row r="252" spans="1:19" ht="15.75" customHeight="1" x14ac:dyDescent="0.25">
      <c r="A252" s="6" t="s">
        <v>530</v>
      </c>
      <c r="B252" s="6" t="s">
        <v>531</v>
      </c>
      <c r="C252" s="7" t="str">
        <f>IF(ISERROR(LOOKUP(2^15,SEARCH(B252,'2023'!$B$3:$B$1734,1),'2023'!$A$3:$A$1734)),"NO","SI")</f>
        <v>NO</v>
      </c>
      <c r="D252" s="7" t="str">
        <f>IF(ISERROR(LOOKUP(2^15,SEARCH(B252,'2022'!$B$2:$B$1591,1),'2022'!$A$2:$A$1591)),"NO","SI")</f>
        <v>NO</v>
      </c>
      <c r="E252" s="7" t="str">
        <f>IF(ISERROR(LOOKUP(2^15,SEARCH(B252,'2021'!$B$2:$B$1494,1),'2021'!$A$2:$A$1494)),"NO","SI")</f>
        <v>NO</v>
      </c>
      <c r="F252" s="7" t="str">
        <f>IF(ISERROR(LOOKUP(2^15,SEARCH(B252,'2020'!$B$2:$B$1278,1),'2020'!$A$2:$A$1278)),"NO","SI")</f>
        <v>NO</v>
      </c>
      <c r="G252" s="7" t="str">
        <f>IF(ISERROR(LOOKUP(2^15,SEARCH(B252,'2019'!$B$2:$B$1108,1),'2019'!$A$2:$A$1108)),"NO","SI")</f>
        <v>NO</v>
      </c>
      <c r="H252" s="7" t="str">
        <f>IF(ISERROR(LOOKUP(2^15,SEARCH(B252,'2018'!$B$1:$B$1047,1),'2018'!$A$1:$A$1047)),"NO","SI")</f>
        <v>NO</v>
      </c>
      <c r="I252" s="8" t="str">
        <f>IF(ISERROR(LOOKUP(2^15,SEARCH(B252,'ALERTA SANITARIA'!$B$2:$B$269,1),'2018'!$A$1:$A$1047)),"NO","SI")</f>
        <v>SI</v>
      </c>
      <c r="J252" s="6" t="str">
        <f t="shared" si="0"/>
        <v>COFEPRIS</v>
      </c>
      <c r="K252" s="6" t="str">
        <f t="array" ref="K252">IFERROR(INDEX(Anterior!$C$1:$D$323,MATCH(B252,Anterior!$B$2:$B$323,0)+1,2),0)</f>
        <v>Ninguno</v>
      </c>
      <c r="L252" s="6" t="str">
        <f t="shared" si="1"/>
        <v>Discrepan</v>
      </c>
      <c r="M252" s="2" t="s">
        <v>14</v>
      </c>
      <c r="N252" s="9" t="s">
        <v>532</v>
      </c>
      <c r="O252" s="9"/>
    </row>
    <row r="253" spans="1:19" ht="15.75" customHeight="1" x14ac:dyDescent="0.25">
      <c r="A253" s="6" t="s">
        <v>533</v>
      </c>
      <c r="B253" s="6" t="s">
        <v>534</v>
      </c>
      <c r="C253" s="7" t="str">
        <f>IF(ISERROR(LOOKUP(2^15,SEARCH(B253,'2023'!$B$3:$B$1734,1),'2023'!$A$3:$A$1734)),"NO","SI")</f>
        <v>NO</v>
      </c>
      <c r="D253" s="7" t="str">
        <f>IF(ISERROR(LOOKUP(2^15,SEARCH(B253,'2022'!$B$2:$B$1591,1),'2022'!$A$2:$A$1591)),"NO","SI")</f>
        <v>NO</v>
      </c>
      <c r="E253" s="7" t="str">
        <f>IF(ISERROR(LOOKUP(2^15,SEARCH(B253,'2021'!$B$2:$B$1494,1),'2021'!$A$2:$A$1494)),"NO","SI")</f>
        <v>NO</v>
      </c>
      <c r="F253" s="7" t="str">
        <f>IF(ISERROR(LOOKUP(2^15,SEARCH(B253,'2020'!$B$2:$B$1278,1),'2020'!$A$2:$A$1278)),"NO","SI")</f>
        <v>NO</v>
      </c>
      <c r="G253" s="7" t="str">
        <f>IF(ISERROR(LOOKUP(2^15,SEARCH(B253,'2019'!$B$2:$B$1108,1),'2019'!$A$2:$A$1108)),"NO","SI")</f>
        <v>NO</v>
      </c>
      <c r="H253" s="7" t="str">
        <f>IF(ISERROR(LOOKUP(2^15,SEARCH(B253,'2018'!$B$1:$B$1047,1),'2018'!$A$1:$A$1047)),"NO","SI")</f>
        <v>NO</v>
      </c>
      <c r="I253" s="8" t="str">
        <f>IF(ISERROR(LOOKUP(2^15,SEARCH(B253,'ALERTA SANITARIA'!$B$2:$B$269,1),'2018'!$A$1:$A$1047)),"NO","SI")</f>
        <v>SI</v>
      </c>
      <c r="J253" s="6" t="str">
        <f t="shared" si="0"/>
        <v>COFEPRIS</v>
      </c>
      <c r="K253" s="6">
        <f t="array" ref="K253">IFERROR(INDEX(Anterior!$C$1:$D$323,MATCH(B253,Anterior!$B$2:$B$323,0)+1,2),0)</f>
        <v>0</v>
      </c>
      <c r="L253" s="6" t="str">
        <f t="shared" si="1"/>
        <v>Nuevo</v>
      </c>
      <c r="M253" s="2"/>
    </row>
    <row r="254" spans="1:19" ht="15.75" customHeight="1" x14ac:dyDescent="0.25">
      <c r="A254" s="6" t="s">
        <v>535</v>
      </c>
      <c r="B254" s="6" t="s">
        <v>536</v>
      </c>
      <c r="C254" s="7" t="str">
        <f>IF(ISERROR(LOOKUP(2^15,SEARCH(B254,'2023'!$B$3:$B$1734,1),'2023'!$A$3:$A$1734)),"NO","SI")</f>
        <v>NO</v>
      </c>
      <c r="D254" s="7" t="str">
        <f>IF(ISERROR(LOOKUP(2^15,SEARCH(B254,'2022'!$B$2:$B$1591,1),'2022'!$A$2:$A$1591)),"NO","SI")</f>
        <v>NO</v>
      </c>
      <c r="E254" s="7" t="str">
        <f>IF(ISERROR(LOOKUP(2^15,SEARCH(B254,'2021'!$B$2:$B$1494,1),'2021'!$A$2:$A$1494)),"NO","SI")</f>
        <v>NO</v>
      </c>
      <c r="F254" s="7" t="str">
        <f>IF(ISERROR(LOOKUP(2^15,SEARCH(B254,'2020'!$B$2:$B$1278,1),'2020'!$A$2:$A$1278)),"NO","SI")</f>
        <v>NO</v>
      </c>
      <c r="G254" s="7" t="str">
        <f>IF(ISERROR(LOOKUP(2^15,SEARCH(B254,'2019'!$B$2:$B$1108,1),'2019'!$A$2:$A$1108)),"NO","SI")</f>
        <v>NO</v>
      </c>
      <c r="H254" s="7" t="str">
        <f>IF(ISERROR(LOOKUP(2^15,SEARCH(B254,'2018'!$B$1:$B$1047,1),'2018'!$A$1:$A$1047)),"NO","SI")</f>
        <v>NO</v>
      </c>
      <c r="I254" s="8" t="str">
        <f>IF(ISERROR(LOOKUP(2^15,SEARCH(B254,'ALERTA SANITARIA'!$B$2:$B$269,1),'2018'!$A$1:$A$1047)),"NO","SI")</f>
        <v>SI</v>
      </c>
      <c r="J254" s="6" t="str">
        <f t="shared" si="0"/>
        <v>COFEPRIS</v>
      </c>
      <c r="K254" s="6" t="str">
        <f t="array" ref="K254">IFERROR(INDEX(Anterior!$C$1:$D$323,MATCH(B254,Anterior!$B$2:$B$323,0)+1,2),0)</f>
        <v>COFEPRIS</v>
      </c>
      <c r="L254" s="6" t="str">
        <f t="shared" si="1"/>
        <v>coinciden</v>
      </c>
      <c r="M254" s="2"/>
    </row>
    <row r="255" spans="1:19" ht="15.75" customHeight="1" x14ac:dyDescent="0.25">
      <c r="A255" s="6" t="s">
        <v>537</v>
      </c>
      <c r="B255" s="6" t="s">
        <v>538</v>
      </c>
      <c r="C255" s="7" t="str">
        <f>IF(ISERROR(LOOKUP(2^15,SEARCH(B255,'2023'!$B$3:$B$1734,1),'2023'!$A$3:$A$1734)),"NO","SI")</f>
        <v>NO</v>
      </c>
      <c r="D255" s="7" t="str">
        <f>IF(ISERROR(LOOKUP(2^15,SEARCH(B255,'2022'!$B$2:$B$1591,1),'2022'!$A$2:$A$1591)),"NO","SI")</f>
        <v>NO</v>
      </c>
      <c r="E255" s="7" t="str">
        <f>IF(ISERROR(LOOKUP(2^15,SEARCH(B255,'2021'!$B$2:$B$1494,1),'2021'!$A$2:$A$1494)),"NO","SI")</f>
        <v>NO</v>
      </c>
      <c r="F255" s="7" t="str">
        <f>IF(ISERROR(LOOKUP(2^15,SEARCH(B255,'2020'!$B$2:$B$1278,1),'2020'!$A$2:$A$1278)),"NO","SI")</f>
        <v>NO</v>
      </c>
      <c r="G255" s="7" t="str">
        <f>IF(ISERROR(LOOKUP(2^15,SEARCH(B255,'2019'!$B$2:$B$1108,1),'2019'!$A$2:$A$1108)),"NO","SI")</f>
        <v>NO</v>
      </c>
      <c r="H255" s="7" t="str">
        <f>IF(ISERROR(LOOKUP(2^15,SEARCH(B255,'2018'!$B$1:$B$1047,1),'2018'!$A$1:$A$1047)),"NO","SI")</f>
        <v>NO</v>
      </c>
      <c r="I255" s="8" t="str">
        <f>IF(ISERROR(LOOKUP(2^15,SEARCH(B255,'ALERTA SANITARIA'!$B$2:$B$269,1),'2018'!$A$1:$A$1047)),"NO","SI")</f>
        <v>SI</v>
      </c>
      <c r="J255" s="6" t="str">
        <f t="shared" si="0"/>
        <v>COFEPRIS</v>
      </c>
      <c r="K255" s="6" t="str">
        <f t="array" ref="K255">IFERROR(INDEX(Anterior!$C$1:$D$323,MATCH(B255,Anterior!$B$2:$B$323,0)+1,2),0)</f>
        <v>COFEPRIS</v>
      </c>
      <c r="L255" s="6" t="str">
        <f t="shared" si="1"/>
        <v>coinciden</v>
      </c>
      <c r="M255" s="2"/>
    </row>
    <row r="256" spans="1:19" ht="15.75" customHeight="1" x14ac:dyDescent="0.25">
      <c r="A256" s="6" t="s">
        <v>539</v>
      </c>
      <c r="B256" s="6" t="s">
        <v>540</v>
      </c>
      <c r="C256" s="7" t="str">
        <f>IF(ISERROR(LOOKUP(2^15,SEARCH(B256,'2023'!$B$3:$B$1734,1),'2023'!$A$3:$A$1734)),"NO","SI")</f>
        <v>NO</v>
      </c>
      <c r="D256" s="7" t="str">
        <f>IF(ISERROR(LOOKUP(2^15,SEARCH(B256,'2022'!$B$2:$B$1591,1),'2022'!$A$2:$A$1591)),"NO","SI")</f>
        <v>NO</v>
      </c>
      <c r="E256" s="7" t="str">
        <f>IF(ISERROR(LOOKUP(2^15,SEARCH(B256,'2021'!$B$2:$B$1494,1),'2021'!$A$2:$A$1494)),"NO","SI")</f>
        <v>NO</v>
      </c>
      <c r="F256" s="7" t="str">
        <f>IF(ISERROR(LOOKUP(2^15,SEARCH(B256,'2020'!$B$2:$B$1278,1),'2020'!$A$2:$A$1278)),"NO","SI")</f>
        <v>NO</v>
      </c>
      <c r="G256" s="7" t="str">
        <f>IF(ISERROR(LOOKUP(2^15,SEARCH(B256,'2019'!$B$2:$B$1108,1),'2019'!$A$2:$A$1108)),"NO","SI")</f>
        <v>NO</v>
      </c>
      <c r="H256" s="7" t="str">
        <f>IF(ISERROR(LOOKUP(2^15,SEARCH(B256,'2018'!$B$1:$B$1047,1),'2018'!$A$1:$A$1047)),"NO","SI")</f>
        <v>NO</v>
      </c>
      <c r="I256" s="8" t="str">
        <f>IF(ISERROR(LOOKUP(2^15,SEARCH(B256,'ALERTA SANITARIA'!$B$2:$B$269,1),'2018'!$A$1:$A$1047)),"NO","SI")</f>
        <v>SI</v>
      </c>
      <c r="J256" s="6" t="str">
        <f t="shared" si="0"/>
        <v>COFEPRIS</v>
      </c>
      <c r="K256" s="6" t="str">
        <f t="array" ref="K256">IFERROR(INDEX(Anterior!$C$1:$D$323,MATCH(B256,Anterior!$B$2:$B$323,0)+1,2),0)</f>
        <v>COFEPRIS</v>
      </c>
      <c r="L256" s="6" t="str">
        <f t="shared" si="1"/>
        <v>coinciden</v>
      </c>
      <c r="M256" s="2"/>
    </row>
    <row r="257" spans="1:17" ht="15.75" customHeight="1" x14ac:dyDescent="0.25">
      <c r="A257" s="6" t="s">
        <v>541</v>
      </c>
      <c r="B257" s="6" t="s">
        <v>542</v>
      </c>
      <c r="C257" s="7" t="str">
        <f>IF(ISERROR(LOOKUP(2^15,SEARCH(B257,'2023'!$B$3:$B$1734,1),'2023'!$A$3:$A$1734)),"NO","SI")</f>
        <v>NO</v>
      </c>
      <c r="D257" s="7" t="str">
        <f>IF(ISERROR(LOOKUP(2^15,SEARCH(B257,'2022'!$B$2:$B$1591,1),'2022'!$A$2:$A$1591)),"NO","SI")</f>
        <v>NO</v>
      </c>
      <c r="E257" s="7" t="str">
        <f>IF(ISERROR(LOOKUP(2^15,SEARCH(B257,'2021'!$B$2:$B$1494,1),'2021'!$A$2:$A$1494)),"NO","SI")</f>
        <v>NO</v>
      </c>
      <c r="F257" s="7" t="str">
        <f>IF(ISERROR(LOOKUP(2^15,SEARCH(B257,'2020'!$B$2:$B$1278,1),'2020'!$A$2:$A$1278)),"NO","SI")</f>
        <v>NO</v>
      </c>
      <c r="G257" s="7" t="str">
        <f>IF(ISERROR(LOOKUP(2^15,SEARCH(B257,'2019'!$B$2:$B$1108,1),'2019'!$A$2:$A$1108)),"NO","SI")</f>
        <v>NO</v>
      </c>
      <c r="H257" s="7" t="str">
        <f>IF(ISERROR(LOOKUP(2^15,SEARCH(B257,'2018'!$B$1:$B$1047,1),'2018'!$A$1:$A$1047)),"NO","SI")</f>
        <v>NO</v>
      </c>
      <c r="I257" s="8" t="str">
        <f>IF(ISERROR(LOOKUP(2^15,SEARCH(B257,'ALERTA SANITARIA'!$B$2:$B$269,1),'2018'!$A$1:$A$1047)),"NO","SI")</f>
        <v>SI</v>
      </c>
      <c r="J257" s="6" t="str">
        <f t="shared" si="0"/>
        <v>COFEPRIS</v>
      </c>
      <c r="K257" s="6" t="str">
        <f t="array" ref="K257">IFERROR(INDEX(Anterior!$C$1:$D$323,MATCH(B257,Anterior!$B$2:$B$323,0)+1,2),0)</f>
        <v>COFEPRIS</v>
      </c>
      <c r="L257" s="6" t="str">
        <f t="shared" si="1"/>
        <v>coinciden</v>
      </c>
      <c r="M257" s="2"/>
    </row>
    <row r="258" spans="1:17" ht="15.75" customHeight="1" x14ac:dyDescent="0.25">
      <c r="A258" s="6" t="s">
        <v>543</v>
      </c>
      <c r="B258" s="6" t="s">
        <v>544</v>
      </c>
      <c r="C258" s="7" t="str">
        <f>IF(ISERROR(LOOKUP(2^15,SEARCH(B258,'2023'!$B$3:$B$1734,1),'2023'!$A$3:$A$1734)),"NO","SI")</f>
        <v>SI</v>
      </c>
      <c r="D258" s="7" t="str">
        <f>IF(ISERROR(LOOKUP(2^15,SEARCH(B258,'2022'!$B$2:$B$1591,1),'2022'!$A$2:$A$1591)),"NO","SI")</f>
        <v>SI</v>
      </c>
      <c r="E258" s="7" t="str">
        <f>IF(ISERROR(LOOKUP(2^15,SEARCH(B258,'2021'!$B$2:$B$1494,1),'2021'!$A$2:$A$1494)),"NO","SI")</f>
        <v>SI</v>
      </c>
      <c r="F258" s="7" t="str">
        <f>IF(ISERROR(LOOKUP(2^15,SEARCH(B258,'2020'!$B$2:$B$1278,1),'2020'!$A$2:$A$1278)),"NO","SI")</f>
        <v>SI</v>
      </c>
      <c r="G258" s="7" t="str">
        <f>IF(ISERROR(LOOKUP(2^15,SEARCH(B258,'2019'!$B$2:$B$1108,1),'2019'!$A$2:$A$1108)),"NO","SI")</f>
        <v>NO</v>
      </c>
      <c r="H258" s="7" t="str">
        <f>IF(ISERROR(LOOKUP(2^15,SEARCH(B258,'2018'!$B$1:$B$1047,1),'2018'!$A$1:$A$1047)),"NO","SI")</f>
        <v>NO</v>
      </c>
      <c r="I258" s="8" t="str">
        <f>IF(ISERROR(LOOKUP(2^15,SEARCH(B258,'ALERTA SANITARIA'!$B$2:$B$269,1),'2018'!$A$1:$A$1047)),"NO","SI")</f>
        <v>NO</v>
      </c>
      <c r="J258" s="6" t="str">
        <f t="shared" ref="J258:J323" si="2">IF(AND(C258="NO", I258="NO"), "Ninguno",IF(AND(C258="NO", I258="SI"), "COFEPRIS",IF(AND(C258="SI",I258="NO"),"DOF","AMBOS")))</f>
        <v>DOF</v>
      </c>
      <c r="K258" s="6">
        <f t="array" ref="K258">IFERROR(INDEX(Anterior!$C$1:$D$323,MATCH(B258,Anterior!$B$2:$B$323,0)+1,2),0)</f>
        <v>0</v>
      </c>
      <c r="L258" s="6" t="str">
        <f t="shared" ref="L258:L323" si="3">IF(K258=J258,"coinciden",IF(K258=0,"Nuevo","Discrepan"))</f>
        <v>Nuevo</v>
      </c>
      <c r="M258" s="2"/>
    </row>
    <row r="259" spans="1:17" ht="15.75" customHeight="1" x14ac:dyDescent="0.25">
      <c r="A259" s="6" t="s">
        <v>545</v>
      </c>
      <c r="B259" s="6" t="s">
        <v>546</v>
      </c>
      <c r="C259" s="7" t="str">
        <f>IF(ISERROR(LOOKUP(2^15,SEARCH(B259,'2023'!$B$3:$B$1734,1),'2023'!$A$3:$A$1734)),"NO","SI")</f>
        <v>NO</v>
      </c>
      <c r="D259" s="7" t="str">
        <f>IF(ISERROR(LOOKUP(2^15,SEARCH(B259,'2022'!$B$2:$B$1591,1),'2022'!$A$2:$A$1591)),"NO","SI")</f>
        <v>NO</v>
      </c>
      <c r="E259" s="7" t="str">
        <f>IF(ISERROR(LOOKUP(2^15,SEARCH(B259,'2021'!$B$2:$B$1494,1),'2021'!$A$2:$A$1494)),"NO","SI")</f>
        <v>NO</v>
      </c>
      <c r="F259" s="7" t="str">
        <f>IF(ISERROR(LOOKUP(2^15,SEARCH(B259,'2020'!$B$2:$B$1278,1),'2020'!$A$2:$A$1278)),"NO","SI")</f>
        <v>NO</v>
      </c>
      <c r="G259" s="7" t="str">
        <f>IF(ISERROR(LOOKUP(2^15,SEARCH(B259,'2019'!$B$2:$B$1108,1),'2019'!$A$2:$A$1108)),"NO","SI")</f>
        <v>NO</v>
      </c>
      <c r="H259" s="7" t="str">
        <f>IF(ISERROR(LOOKUP(2^15,SEARCH(B259,'2018'!$B$1:$B$1047,1),'2018'!$A$1:$A$1047)),"NO","SI")</f>
        <v>NO</v>
      </c>
      <c r="I259" s="8" t="str">
        <f>IF(ISERROR(LOOKUP(2^15,SEARCH(B259,'ALERTA SANITARIA'!$B$2:$B$269,1),'2018'!$A$1:$A$1047)),"NO","SI")</f>
        <v>SI</v>
      </c>
      <c r="J259" s="6" t="str">
        <f t="shared" si="2"/>
        <v>COFEPRIS</v>
      </c>
      <c r="K259" s="6" t="str">
        <f t="array" ref="K259">IFERROR(INDEX(Anterior!$C$1:$D$323,MATCH(B259,Anterior!$B$2:$B$323,0)+1,2),0)</f>
        <v>COFEPRIS</v>
      </c>
      <c r="L259" s="6" t="str">
        <f t="shared" si="3"/>
        <v>coinciden</v>
      </c>
      <c r="M259" s="2"/>
    </row>
    <row r="260" spans="1:17" ht="15.75" customHeight="1" x14ac:dyDescent="0.25">
      <c r="A260" s="6" t="s">
        <v>547</v>
      </c>
      <c r="B260" s="6" t="s">
        <v>548</v>
      </c>
      <c r="C260" s="7" t="str">
        <f>IF(ISERROR(LOOKUP(2^15,SEARCH(B260,'2023'!$B$3:$B$1734,1),'2023'!$A$3:$A$1734)),"NO","SI")</f>
        <v>NO</v>
      </c>
      <c r="D260" s="7" t="str">
        <f>IF(ISERROR(LOOKUP(2^15,SEARCH(B260,'2022'!$B$2:$B$1591,1),'2022'!$A$2:$A$1591)),"NO","SI")</f>
        <v>NO</v>
      </c>
      <c r="E260" s="7" t="str">
        <f>IF(ISERROR(LOOKUP(2^15,SEARCH(B260,'2021'!$B$2:$B$1494,1),'2021'!$A$2:$A$1494)),"NO","SI")</f>
        <v>NO</v>
      </c>
      <c r="F260" s="7" t="str">
        <f>IF(ISERROR(LOOKUP(2^15,SEARCH(B260,'2020'!$B$2:$B$1278,1),'2020'!$A$2:$A$1278)),"NO","SI")</f>
        <v>NO</v>
      </c>
      <c r="G260" s="7" t="str">
        <f>IF(ISERROR(LOOKUP(2^15,SEARCH(B260,'2019'!$B$2:$B$1108,1),'2019'!$A$2:$A$1108)),"NO","SI")</f>
        <v>NO</v>
      </c>
      <c r="H260" s="7" t="str">
        <f>IF(ISERROR(LOOKUP(2^15,SEARCH(B260,'2018'!$B$1:$B$1047,1),'2018'!$A$1:$A$1047)),"NO","SI")</f>
        <v>NO</v>
      </c>
      <c r="I260" s="8" t="str">
        <f>IF(ISERROR(LOOKUP(2^15,SEARCH(B260,'ALERTA SANITARIA'!$B$2:$B$269,1),'2018'!$A$1:$A$1047)),"NO","SI")</f>
        <v>SI</v>
      </c>
      <c r="J260" s="6" t="str">
        <f t="shared" si="2"/>
        <v>COFEPRIS</v>
      </c>
      <c r="K260" s="6" t="str">
        <f t="array" ref="K260">IFERROR(INDEX(Anterior!$C$1:$D$323,MATCH(B260,Anterior!$B$2:$B$323,0)+1,2),0)</f>
        <v>COFEPRIS</v>
      </c>
      <c r="L260" s="6" t="str">
        <f t="shared" si="3"/>
        <v>coinciden</v>
      </c>
      <c r="M260" s="2"/>
    </row>
    <row r="261" spans="1:17" ht="15.75" customHeight="1" x14ac:dyDescent="0.25">
      <c r="A261" s="6" t="s">
        <v>549</v>
      </c>
      <c r="B261" s="6" t="s">
        <v>550</v>
      </c>
      <c r="C261" s="7" t="s">
        <v>14</v>
      </c>
      <c r="D261" s="7" t="s">
        <v>14</v>
      </c>
      <c r="E261" s="7" t="s">
        <v>14</v>
      </c>
      <c r="F261" s="7" t="s">
        <v>14</v>
      </c>
      <c r="G261" s="7" t="s">
        <v>14</v>
      </c>
      <c r="H261" s="7" t="s">
        <v>14</v>
      </c>
      <c r="I261" s="8" t="str">
        <f>IF(ISERROR(LOOKUP(2^15,SEARCH(B261,'ALERTA SANITARIA'!$B$2:$B$269,1),'2018'!$A$1:$A$1047)),"NO","SI")</f>
        <v>NO</v>
      </c>
      <c r="J261" s="6" t="str">
        <f t="shared" si="2"/>
        <v>Ninguno</v>
      </c>
      <c r="K261" s="6">
        <f t="array" ref="K261">IFERROR(INDEX(Anterior!$C$1:$D$323,MATCH(B261,Anterior!$B$2:$B$323,0)+1,2),0)</f>
        <v>0</v>
      </c>
      <c r="L261" s="6" t="str">
        <f t="shared" si="3"/>
        <v>Nuevo</v>
      </c>
      <c r="M261" s="2"/>
      <c r="P261" s="6" t="s">
        <v>551</v>
      </c>
      <c r="Q261" s="6" t="s">
        <v>552</v>
      </c>
    </row>
    <row r="262" spans="1:17" ht="15.75" customHeight="1" x14ac:dyDescent="0.25">
      <c r="A262" s="6" t="s">
        <v>553</v>
      </c>
      <c r="B262" s="6" t="s">
        <v>554</v>
      </c>
      <c r="C262" s="7" t="str">
        <f>IF(ISERROR(LOOKUP(2^15,SEARCH(B262,'2023'!$B$3:$B$1734,1),'2023'!$A$3:$A$1734)),"NO","SI")</f>
        <v>NO</v>
      </c>
      <c r="D262" s="7" t="str">
        <f>IF(ISERROR(LOOKUP(2^15,SEARCH(B262,'2022'!$B$2:$B$1591,1),'2022'!$A$2:$A$1591)),"NO","SI")</f>
        <v>NO</v>
      </c>
      <c r="E262" s="7" t="str">
        <f>IF(ISERROR(LOOKUP(2^15,SEARCH(B262,'2021'!$B$2:$B$1494,1),'2021'!$A$2:$A$1494)),"NO","SI")</f>
        <v>NO</v>
      </c>
      <c r="F262" s="7" t="str">
        <f>IF(ISERROR(LOOKUP(2^15,SEARCH(B262,'2020'!$B$2:$B$1278,1),'2020'!$A$2:$A$1278)),"NO","SI")</f>
        <v>NO</v>
      </c>
      <c r="G262" s="7" t="str">
        <f>IF(ISERROR(LOOKUP(2^15,SEARCH(B262,'2019'!$B$2:$B$1108,1),'2019'!$A$2:$A$1108)),"NO","SI")</f>
        <v>NO</v>
      </c>
      <c r="H262" s="7" t="str">
        <f>IF(ISERROR(LOOKUP(2^15,SEARCH(B262,'2018'!$B$1:$B$1047,1),'2018'!$A$1:$A$1047)),"NO","SI")</f>
        <v>NO</v>
      </c>
      <c r="I262" s="8" t="str">
        <f>IF(ISERROR(LOOKUP(2^15,SEARCH(B262,'ALERTA SANITARIA'!$B$2:$B$269,1),'2018'!$A$1:$A$1047)),"NO","SI")</f>
        <v>SI</v>
      </c>
      <c r="J262" s="6" t="str">
        <f t="shared" si="2"/>
        <v>COFEPRIS</v>
      </c>
      <c r="K262" s="6" t="str">
        <f t="array" ref="K262">IFERROR(INDEX(Anterior!$C$1:$D$323,MATCH(B262,Anterior!$B$2:$B$323,0)+1,2),0)</f>
        <v>COFEPRIS</v>
      </c>
      <c r="L262" s="6" t="str">
        <f t="shared" si="3"/>
        <v>coinciden</v>
      </c>
      <c r="M262" s="2"/>
      <c r="Q262" s="6" t="s">
        <v>555</v>
      </c>
    </row>
    <row r="263" spans="1:17" ht="15.75" customHeight="1" x14ac:dyDescent="0.25">
      <c r="A263" s="6" t="s">
        <v>556</v>
      </c>
      <c r="B263" s="6" t="s">
        <v>557</v>
      </c>
      <c r="C263" s="7" t="str">
        <f>IF(ISERROR(LOOKUP(2^15,SEARCH(B263,'2023'!$B$3:$B$1734,1),'2023'!$A$3:$A$1734)),"NO","SI")</f>
        <v>NO</v>
      </c>
      <c r="D263" s="7" t="str">
        <f>IF(ISERROR(LOOKUP(2^15,SEARCH(B263,'2022'!$B$2:$B$1591,1),'2022'!$A$2:$A$1591)),"NO","SI")</f>
        <v>NO</v>
      </c>
      <c r="E263" s="7" t="str">
        <f>IF(ISERROR(LOOKUP(2^15,SEARCH(B263,'2021'!$B$2:$B$1494,1),'2021'!$A$2:$A$1494)),"NO","SI")</f>
        <v>NO</v>
      </c>
      <c r="F263" s="7" t="str">
        <f>IF(ISERROR(LOOKUP(2^15,SEARCH(B263,'2020'!$B$2:$B$1278,1),'2020'!$A$2:$A$1278)),"NO","SI")</f>
        <v>NO</v>
      </c>
      <c r="G263" s="7" t="str">
        <f>IF(ISERROR(LOOKUP(2^15,SEARCH(B263,'2019'!$B$2:$B$1108,1),'2019'!$A$2:$A$1108)),"NO","SI")</f>
        <v>NO</v>
      </c>
      <c r="H263" s="7" t="str">
        <f>IF(ISERROR(LOOKUP(2^15,SEARCH(B263,'2018'!$B$1:$B$1047,1),'2018'!$A$1:$A$1047)),"NO","SI")</f>
        <v>NO</v>
      </c>
      <c r="I263" s="8" t="str">
        <f>IF(ISERROR(LOOKUP(2^15,SEARCH(B263,'ALERTA SANITARIA'!$B$2:$B$269,1),'2018'!$A$1:$A$1047)),"NO","SI")</f>
        <v>NO</v>
      </c>
      <c r="J263" s="6" t="str">
        <f t="shared" si="2"/>
        <v>Ninguno</v>
      </c>
      <c r="K263" s="6" t="str">
        <f t="array" ref="K263">IFERROR(INDEX(Anterior!$C$1:$D$323,MATCH(B263,Anterior!$B$2:$B$323,0)+1,2),0)</f>
        <v>Ninguno</v>
      </c>
      <c r="L263" s="6" t="str">
        <f t="shared" si="3"/>
        <v>coinciden</v>
      </c>
      <c r="M263" s="2"/>
      <c r="Q263" s="6" t="s">
        <v>558</v>
      </c>
    </row>
    <row r="264" spans="1:17" ht="15.75" customHeight="1" x14ac:dyDescent="0.25">
      <c r="A264" s="6" t="s">
        <v>559</v>
      </c>
      <c r="B264" s="6" t="s">
        <v>560</v>
      </c>
      <c r="C264" s="7" t="str">
        <f>IF(ISERROR(LOOKUP(2^15,SEARCH(B264,'2023'!$B$3:$B$1734,1),'2023'!$A$3:$A$1734)),"NO","SI")</f>
        <v>NO</v>
      </c>
      <c r="D264" s="7" t="str">
        <f>IF(ISERROR(LOOKUP(2^15,SEARCH(B264,'2022'!$B$2:$B$1591,1),'2022'!$A$2:$A$1591)),"NO","SI")</f>
        <v>NO</v>
      </c>
      <c r="E264" s="7" t="str">
        <f>IF(ISERROR(LOOKUP(2^15,SEARCH(B264,'2021'!$B$2:$B$1494,1),'2021'!$A$2:$A$1494)),"NO","SI")</f>
        <v>NO</v>
      </c>
      <c r="F264" s="7" t="str">
        <f>IF(ISERROR(LOOKUP(2^15,SEARCH(B264,'2020'!$B$2:$B$1278,1),'2020'!$A$2:$A$1278)),"NO","SI")</f>
        <v>NO</v>
      </c>
      <c r="G264" s="7" t="str">
        <f>IF(ISERROR(LOOKUP(2^15,SEARCH(B264,'2019'!$B$2:$B$1108,1),'2019'!$A$2:$A$1108)),"NO","SI")</f>
        <v>NO</v>
      </c>
      <c r="H264" s="7" t="str">
        <f>IF(ISERROR(LOOKUP(2^15,SEARCH(B264,'2018'!$B$1:$B$1047,1),'2018'!$A$1:$A$1047)),"NO","SI")</f>
        <v>NO</v>
      </c>
      <c r="I264" s="8" t="str">
        <f>IF(ISERROR(LOOKUP(2^15,SEARCH(B264,'ALERTA SANITARIA'!$B$2:$B$269,1),'2018'!$A$1:$A$1047)),"NO","SI")</f>
        <v>SI</v>
      </c>
      <c r="J264" s="6" t="str">
        <f t="shared" si="2"/>
        <v>COFEPRIS</v>
      </c>
      <c r="K264" s="6" t="str">
        <f t="array" ref="K264">IFERROR(INDEX(Anterior!$C$1:$D$323,MATCH(B264,Anterior!$B$2:$B$323,0)+1,2),0)</f>
        <v>COFEPRIS</v>
      </c>
      <c r="L264" s="6" t="str">
        <f t="shared" si="3"/>
        <v>coinciden</v>
      </c>
      <c r="M264" s="2"/>
      <c r="Q264" s="6" t="s">
        <v>561</v>
      </c>
    </row>
    <row r="265" spans="1:17" ht="15.75" customHeight="1" x14ac:dyDescent="0.25">
      <c r="A265" s="6" t="s">
        <v>562</v>
      </c>
      <c r="B265" s="6" t="s">
        <v>563</v>
      </c>
      <c r="C265" s="7" t="str">
        <f>IF(ISERROR(LOOKUP(2^15,SEARCH(B265,'2023'!$B$3:$B$1734,1),'2023'!$A$3:$A$1734)),"NO","SI")</f>
        <v>NO</v>
      </c>
      <c r="D265" s="7" t="str">
        <f>IF(ISERROR(LOOKUP(2^15,SEARCH(B265,'2022'!$B$2:$B$1591,1),'2022'!$A$2:$A$1591)),"NO","SI")</f>
        <v>NO</v>
      </c>
      <c r="E265" s="7" t="str">
        <f>IF(ISERROR(LOOKUP(2^15,SEARCH(B265,'2021'!$B$2:$B$1494,1),'2021'!$A$2:$A$1494)),"NO","SI")</f>
        <v>NO</v>
      </c>
      <c r="F265" s="7" t="str">
        <f>IF(ISERROR(LOOKUP(2^15,SEARCH(B265,'2020'!$B$2:$B$1278,1),'2020'!$A$2:$A$1278)),"NO","SI")</f>
        <v>NO</v>
      </c>
      <c r="G265" s="7" t="str">
        <f>IF(ISERROR(LOOKUP(2^15,SEARCH(B265,'2019'!$B$2:$B$1108,1),'2019'!$A$2:$A$1108)),"NO","SI")</f>
        <v>NO</v>
      </c>
      <c r="H265" s="7" t="str">
        <f>IF(ISERROR(LOOKUP(2^15,SEARCH(B265,'2018'!$B$1:$B$1047,1),'2018'!$A$1:$A$1047)),"NO","SI")</f>
        <v>NO</v>
      </c>
      <c r="I265" s="8" t="str">
        <f>IF(ISERROR(LOOKUP(2^15,SEARCH(B265,'ALERTA SANITARIA'!$B$2:$B$269,1),'2018'!$A$1:$A$1047)),"NO","SI")</f>
        <v>SI</v>
      </c>
      <c r="J265" s="6" t="str">
        <f t="shared" si="2"/>
        <v>COFEPRIS</v>
      </c>
      <c r="K265" s="6" t="str">
        <f t="array" ref="K265">IFERROR(INDEX(Anterior!$C$1:$D$323,MATCH(B265,Anterior!$B$2:$B$323,0)+1,2),0)</f>
        <v>COFEPRIS</v>
      </c>
      <c r="L265" s="6" t="str">
        <f t="shared" si="3"/>
        <v>coinciden</v>
      </c>
      <c r="M265" s="2"/>
      <c r="Q265" s="6" t="s">
        <v>564</v>
      </c>
    </row>
    <row r="266" spans="1:17" ht="15.75" customHeight="1" x14ac:dyDescent="0.25">
      <c r="A266" s="6" t="s">
        <v>565</v>
      </c>
      <c r="B266" s="6" t="s">
        <v>566</v>
      </c>
      <c r="C266" s="7" t="s">
        <v>14</v>
      </c>
      <c r="D266" s="7" t="s">
        <v>14</v>
      </c>
      <c r="E266" s="7" t="s">
        <v>14</v>
      </c>
      <c r="F266" s="7" t="s">
        <v>14</v>
      </c>
      <c r="G266" s="7" t="s">
        <v>14</v>
      </c>
      <c r="H266" s="7" t="s">
        <v>14</v>
      </c>
      <c r="I266" s="8" t="str">
        <f>IF(ISERROR(LOOKUP(2^15,SEARCH(B266,'ALERTA SANITARIA'!$B$2:$B$269,1),'2018'!$A$1:$A$1047)),"NO","SI")</f>
        <v>SI</v>
      </c>
      <c r="J266" s="6" t="str">
        <f t="shared" si="2"/>
        <v>COFEPRIS</v>
      </c>
      <c r="K266" s="6" t="str">
        <f t="array" ref="K266">IFERROR(INDEX(Anterior!$C$1:$D$323,MATCH(B266,Anterior!$B$2:$B$323,0)+1,2),0)</f>
        <v>COFEPRIS</v>
      </c>
      <c r="L266" s="6" t="str">
        <f t="shared" si="3"/>
        <v>coinciden</v>
      </c>
      <c r="M266" s="2"/>
      <c r="P266" s="6" t="s">
        <v>567</v>
      </c>
      <c r="Q266" s="6" t="s">
        <v>568</v>
      </c>
    </row>
    <row r="267" spans="1:17" ht="15.75" customHeight="1" x14ac:dyDescent="0.25">
      <c r="A267" s="6" t="s">
        <v>569</v>
      </c>
      <c r="B267" s="6" t="s">
        <v>570</v>
      </c>
      <c r="C267" s="7" t="str">
        <f>IF(ISERROR(LOOKUP(2^15,SEARCH(B267,'2023'!$B$3:$B$1734,1),'2023'!$A$3:$A$1734)),"NO","SI")</f>
        <v>NO</v>
      </c>
      <c r="D267" s="7" t="str">
        <f>IF(ISERROR(LOOKUP(2^15,SEARCH(B267,'2022'!$B$2:$B$1591,1),'2022'!$A$2:$A$1591)),"NO","SI")</f>
        <v>NO</v>
      </c>
      <c r="E267" s="7" t="str">
        <f>IF(ISERROR(LOOKUP(2^15,SEARCH(B267,'2021'!$B$2:$B$1494,1),'2021'!$A$2:$A$1494)),"NO","SI")</f>
        <v>NO</v>
      </c>
      <c r="F267" s="7" t="str">
        <f>IF(ISERROR(LOOKUP(2^15,SEARCH(B267,'2020'!$B$2:$B$1278,1),'2020'!$A$2:$A$1278)),"NO","SI")</f>
        <v>NO</v>
      </c>
      <c r="G267" s="7" t="str">
        <f>IF(ISERROR(LOOKUP(2^15,SEARCH(B267,'2019'!$B$2:$B$1108,1),'2019'!$A$2:$A$1108)),"NO","SI")</f>
        <v>NO</v>
      </c>
      <c r="H267" s="7" t="str">
        <f>IF(ISERROR(LOOKUP(2^15,SEARCH(B267,'2018'!$B$1:$B$1047,1),'2018'!$A$1:$A$1047)),"NO","SI")</f>
        <v>NO</v>
      </c>
      <c r="I267" s="8" t="str">
        <f>IF(ISERROR(LOOKUP(2^15,SEARCH(B267,'ALERTA SANITARIA'!$B$2:$B$269,1),'2018'!$A$1:$A$1047)),"NO","SI")</f>
        <v>SI</v>
      </c>
      <c r="J267" s="6" t="str">
        <f t="shared" si="2"/>
        <v>COFEPRIS</v>
      </c>
      <c r="K267" s="6" t="str">
        <f t="array" ref="K267">IFERROR(INDEX(Anterior!$C$1:$D$323,MATCH(B267,Anterior!$B$2:$B$323,0)+1,2),0)</f>
        <v>COFEPRIS</v>
      </c>
      <c r="L267" s="6" t="str">
        <f t="shared" si="3"/>
        <v>coinciden</v>
      </c>
      <c r="M267" s="2"/>
    </row>
    <row r="268" spans="1:17" ht="15.75" customHeight="1" x14ac:dyDescent="0.25">
      <c r="A268" s="6" t="s">
        <v>571</v>
      </c>
      <c r="B268" s="6" t="s">
        <v>572</v>
      </c>
      <c r="C268" s="7" t="str">
        <f>IF(ISERROR(LOOKUP(2^15,SEARCH(B268,'2023'!$B$3:$B$1734,1),'2023'!$A$3:$A$1734)),"NO","SI")</f>
        <v>NO</v>
      </c>
      <c r="D268" s="7" t="str">
        <f>IF(ISERROR(LOOKUP(2^15,SEARCH(B268,'2022'!$B$2:$B$1591,1),'2022'!$A$2:$A$1591)),"NO","SI")</f>
        <v>NO</v>
      </c>
      <c r="E268" s="7" t="str">
        <f>IF(ISERROR(LOOKUP(2^15,SEARCH(B268,'2021'!$B$2:$B$1494,1),'2021'!$A$2:$A$1494)),"NO","SI")</f>
        <v>NO</v>
      </c>
      <c r="F268" s="7" t="str">
        <f>IF(ISERROR(LOOKUP(2^15,SEARCH(B268,'2020'!$B$2:$B$1278,1),'2020'!$A$2:$A$1278)),"NO","SI")</f>
        <v>NO</v>
      </c>
      <c r="G268" s="7" t="str">
        <f>IF(ISERROR(LOOKUP(2^15,SEARCH(B268,'2019'!$B$2:$B$1108,1),'2019'!$A$2:$A$1108)),"NO","SI")</f>
        <v>NO</v>
      </c>
      <c r="H268" s="7" t="str">
        <f>IF(ISERROR(LOOKUP(2^15,SEARCH(B268,'2018'!$B$1:$B$1047,1),'2018'!$A$1:$A$1047)),"NO","SI")</f>
        <v>NO</v>
      </c>
      <c r="I268" s="8" t="str">
        <f>IF(ISERROR(LOOKUP(2^15,SEARCH(B268,'ALERTA SANITARIA'!$B$2:$B$269,1),'2018'!$A$1:$A$1047)),"NO","SI")</f>
        <v>SI</v>
      </c>
      <c r="J268" s="6" t="str">
        <f t="shared" si="2"/>
        <v>COFEPRIS</v>
      </c>
      <c r="K268" s="6" t="str">
        <f t="array" ref="K268">IFERROR(INDEX(Anterior!$C$1:$D$323,MATCH(B268,Anterior!$B$2:$B$323,0)+1,2),0)</f>
        <v>COFEPRIS</v>
      </c>
      <c r="L268" s="6" t="str">
        <f t="shared" si="3"/>
        <v>coinciden</v>
      </c>
      <c r="M268" s="2"/>
    </row>
    <row r="269" spans="1:17" ht="15.75" customHeight="1" x14ac:dyDescent="0.25">
      <c r="A269" s="6" t="s">
        <v>573</v>
      </c>
      <c r="B269" s="6" t="s">
        <v>574</v>
      </c>
      <c r="C269" s="7" t="str">
        <f>IF(ISERROR(LOOKUP(2^15,SEARCH(B269,'2023'!$B$3:$B$1734,1),'2023'!$A$3:$A$1734)),"NO","SI")</f>
        <v>NO</v>
      </c>
      <c r="D269" s="7" t="str">
        <f>IF(ISERROR(LOOKUP(2^15,SEARCH(B269,'2022'!$B$2:$B$1591,1),'2022'!$A$2:$A$1591)),"NO","SI")</f>
        <v>NO</v>
      </c>
      <c r="E269" s="7" t="str">
        <f>IF(ISERROR(LOOKUP(2^15,SEARCH(B269,'2021'!$B$2:$B$1494,1),'2021'!$A$2:$A$1494)),"NO","SI")</f>
        <v>NO</v>
      </c>
      <c r="F269" s="7" t="str">
        <f>IF(ISERROR(LOOKUP(2^15,SEARCH(B269,'2020'!$B$2:$B$1278,1),'2020'!$A$2:$A$1278)),"NO","SI")</f>
        <v>NO</v>
      </c>
      <c r="G269" s="7" t="str">
        <f>IF(ISERROR(LOOKUP(2^15,SEARCH(B269,'2019'!$B$2:$B$1108,1),'2019'!$A$2:$A$1108)),"NO","SI")</f>
        <v>NO</v>
      </c>
      <c r="H269" s="7" t="str">
        <f>IF(ISERROR(LOOKUP(2^15,SEARCH(B269,'2018'!$B$1:$B$1047,1),'2018'!$A$1:$A$1047)),"NO","SI")</f>
        <v>NO</v>
      </c>
      <c r="I269" s="8" t="str">
        <f>IF(ISERROR(LOOKUP(2^15,SEARCH(B269,'ALERTA SANITARIA'!$B$2:$B$269,1),'2018'!$A$1:$A$1047)),"NO","SI")</f>
        <v>SI</v>
      </c>
      <c r="J269" s="6" t="str">
        <f t="shared" si="2"/>
        <v>COFEPRIS</v>
      </c>
      <c r="K269" s="6" t="str">
        <f t="array" ref="K269">IFERROR(INDEX(Anterior!$C$1:$D$323,MATCH(B269,Anterior!$B$2:$B$323,0)+1,2),0)</f>
        <v>COFEPRIS</v>
      </c>
      <c r="L269" s="6" t="str">
        <f t="shared" si="3"/>
        <v>coinciden</v>
      </c>
      <c r="M269" s="2"/>
    </row>
    <row r="270" spans="1:17" ht="15.75" customHeight="1" x14ac:dyDescent="0.25">
      <c r="A270" s="6" t="s">
        <v>575</v>
      </c>
      <c r="B270" s="6" t="s">
        <v>576</v>
      </c>
      <c r="C270" s="7" t="str">
        <f>IF(ISERROR(LOOKUP(2^15,SEARCH(B270,'2023'!$B$3:$B$1734,1),'2023'!$A$3:$A$1734)),"NO","SI")</f>
        <v>NO</v>
      </c>
      <c r="D270" s="7" t="str">
        <f>IF(ISERROR(LOOKUP(2^15,SEARCH(B270,'2022'!$B$2:$B$1591,1),'2022'!$A$2:$A$1591)),"NO","SI")</f>
        <v>NO</v>
      </c>
      <c r="E270" s="7" t="str">
        <f>IF(ISERROR(LOOKUP(2^15,SEARCH(B270,'2021'!$B$2:$B$1494,1),'2021'!$A$2:$A$1494)),"NO","SI")</f>
        <v>NO</v>
      </c>
      <c r="F270" s="7" t="str">
        <f>IF(ISERROR(LOOKUP(2^15,SEARCH(B270,'2020'!$B$2:$B$1278,1),'2020'!$A$2:$A$1278)),"NO","SI")</f>
        <v>NO</v>
      </c>
      <c r="G270" s="7" t="str">
        <f>IF(ISERROR(LOOKUP(2^15,SEARCH(B270,'2019'!$B$2:$B$1108,1),'2019'!$A$2:$A$1108)),"NO","SI")</f>
        <v>NO</v>
      </c>
      <c r="H270" s="7" t="str">
        <f>IF(ISERROR(LOOKUP(2^15,SEARCH(B270,'2018'!$B$1:$B$1047,1),'2018'!$A$1:$A$1047)),"NO","SI")</f>
        <v>NO</v>
      </c>
      <c r="I270" s="8" t="str">
        <f>IF(ISERROR(LOOKUP(2^15,SEARCH(B270,'ALERTA SANITARIA'!$B$2:$B$269,1),'2018'!$A$1:$A$1047)),"NO","SI")</f>
        <v>SI</v>
      </c>
      <c r="J270" s="6" t="str">
        <f t="shared" si="2"/>
        <v>COFEPRIS</v>
      </c>
      <c r="K270" s="6" t="str">
        <f t="array" ref="K270">IFERROR(INDEX(Anterior!$C$1:$D$323,MATCH(B270,Anterior!$B$2:$B$323,0)+1,2),0)</f>
        <v>COFEPRIS</v>
      </c>
      <c r="L270" s="6" t="str">
        <f t="shared" si="3"/>
        <v>coinciden</v>
      </c>
      <c r="M270" s="2"/>
    </row>
    <row r="271" spans="1:17" ht="15.75" customHeight="1" x14ac:dyDescent="0.25">
      <c r="A271" s="6" t="s">
        <v>577</v>
      </c>
      <c r="B271" s="6" t="s">
        <v>578</v>
      </c>
      <c r="C271" s="7" t="str">
        <f>IF(ISERROR(LOOKUP(2^15,SEARCH(B271,'2023'!$B$3:$B$1734,1),'2023'!$A$3:$A$1734)),"NO","SI")</f>
        <v>NO</v>
      </c>
      <c r="D271" s="7" t="str">
        <f>IF(ISERROR(LOOKUP(2^15,SEARCH(B271,'2022'!$B$2:$B$1591,1),'2022'!$A$2:$A$1591)),"NO","SI")</f>
        <v>NO</v>
      </c>
      <c r="E271" s="7" t="str">
        <f>IF(ISERROR(LOOKUP(2^15,SEARCH(B271,'2021'!$B$2:$B$1494,1),'2021'!$A$2:$A$1494)),"NO","SI")</f>
        <v>NO</v>
      </c>
      <c r="F271" s="7" t="str">
        <f>IF(ISERROR(LOOKUP(2^15,SEARCH(B271,'2020'!$B$2:$B$1278,1),'2020'!$A$2:$A$1278)),"NO","SI")</f>
        <v>NO</v>
      </c>
      <c r="G271" s="7" t="str">
        <f>IF(ISERROR(LOOKUP(2^15,SEARCH(B271,'2019'!$B$2:$B$1108,1),'2019'!$A$2:$A$1108)),"NO","SI")</f>
        <v>NO</v>
      </c>
      <c r="H271" s="7" t="str">
        <f>IF(ISERROR(LOOKUP(2^15,SEARCH(B271,'2018'!$B$1:$B$1047,1),'2018'!$A$1:$A$1047)),"NO","SI")</f>
        <v>NO</v>
      </c>
      <c r="I271" s="8" t="str">
        <f>IF(ISERROR(LOOKUP(2^15,SEARCH(B271,'ALERTA SANITARIA'!$B$2:$B$269,1),'2018'!$A$1:$A$1047)),"NO","SI")</f>
        <v>SI</v>
      </c>
      <c r="J271" s="6" t="str">
        <f t="shared" si="2"/>
        <v>COFEPRIS</v>
      </c>
      <c r="K271" s="6" t="str">
        <f t="array" ref="K271">IFERROR(INDEX(Anterior!$C$1:$D$323,MATCH(B271,Anterior!$B$2:$B$323,0)+1,2),0)</f>
        <v>COFEPRIS</v>
      </c>
      <c r="L271" s="6" t="str">
        <f t="shared" si="3"/>
        <v>coinciden</v>
      </c>
      <c r="M271" s="2"/>
    </row>
    <row r="272" spans="1:17" ht="15.75" customHeight="1" x14ac:dyDescent="0.25">
      <c r="A272" s="6" t="s">
        <v>579</v>
      </c>
      <c r="B272" s="6" t="s">
        <v>580</v>
      </c>
      <c r="C272" s="7" t="str">
        <f>IF(ISERROR(LOOKUP(2^15,SEARCH(B272,'2023'!$B$3:$B$1734,1),'2023'!$A$3:$A$1734)),"NO","SI")</f>
        <v>NO</v>
      </c>
      <c r="D272" s="7" t="str">
        <f>IF(ISERROR(LOOKUP(2^15,SEARCH(B272,'2022'!$B$2:$B$1591,1),'2022'!$A$2:$A$1591)),"NO","SI")</f>
        <v>NO</v>
      </c>
      <c r="E272" s="7" t="str">
        <f>IF(ISERROR(LOOKUP(2^15,SEARCH(B272,'2021'!$B$2:$B$1494,1),'2021'!$A$2:$A$1494)),"NO","SI")</f>
        <v>NO</v>
      </c>
      <c r="F272" s="7" t="str">
        <f>IF(ISERROR(LOOKUP(2^15,SEARCH(B272,'2020'!$B$2:$B$1278,1),'2020'!$A$2:$A$1278)),"NO","SI")</f>
        <v>NO</v>
      </c>
      <c r="G272" s="7" t="str">
        <f>IF(ISERROR(LOOKUP(2^15,SEARCH(B272,'2019'!$B$2:$B$1108,1),'2019'!$A$2:$A$1108)),"NO","SI")</f>
        <v>NO</v>
      </c>
      <c r="H272" s="7" t="str">
        <f>IF(ISERROR(LOOKUP(2^15,SEARCH(B272,'2018'!$B$1:$B$1047,1),'2018'!$A$1:$A$1047)),"NO","SI")</f>
        <v>NO</v>
      </c>
      <c r="I272" s="8" t="str">
        <f>IF(ISERROR(LOOKUP(2^15,SEARCH(B272,'ALERTA SANITARIA'!$B$2:$B$269,1),'2018'!$A$1:$A$1047)),"NO","SI")</f>
        <v>SI</v>
      </c>
      <c r="J272" s="6" t="str">
        <f t="shared" si="2"/>
        <v>COFEPRIS</v>
      </c>
      <c r="K272" s="6" t="str">
        <f t="array" ref="K272">IFERROR(INDEX(Anterior!$C$1:$D$323,MATCH(B272,Anterior!$B$2:$B$323,0)+1,2),0)</f>
        <v>COFEPRIS</v>
      </c>
      <c r="L272" s="6" t="str">
        <f t="shared" si="3"/>
        <v>coinciden</v>
      </c>
      <c r="M272" s="2"/>
    </row>
    <row r="273" spans="1:16" ht="15.75" customHeight="1" x14ac:dyDescent="0.25">
      <c r="A273" s="6" t="s">
        <v>581</v>
      </c>
      <c r="B273" s="6" t="s">
        <v>582</v>
      </c>
      <c r="C273" s="7" t="str">
        <f>IF(ISERROR(LOOKUP(2^15,SEARCH(B273,'2023'!$B$3:$B$1734,1),'2023'!$A$3:$A$1734)),"NO","SI")</f>
        <v>NO</v>
      </c>
      <c r="D273" s="7" t="str">
        <f>IF(ISERROR(LOOKUP(2^15,SEARCH(B273,'2022'!$B$2:$B$1591,1),'2022'!$A$2:$A$1591)),"NO","SI")</f>
        <v>NO</v>
      </c>
      <c r="E273" s="7" t="str">
        <f>IF(ISERROR(LOOKUP(2^15,SEARCH(B273,'2021'!$B$2:$B$1494,1),'2021'!$A$2:$A$1494)),"NO","SI")</f>
        <v>NO</v>
      </c>
      <c r="F273" s="7" t="str">
        <f>IF(ISERROR(LOOKUP(2^15,SEARCH(B273,'2020'!$B$2:$B$1278,1),'2020'!$A$2:$A$1278)),"NO","SI")</f>
        <v>NO</v>
      </c>
      <c r="G273" s="7" t="str">
        <f>IF(ISERROR(LOOKUP(2^15,SEARCH(B273,'2019'!$B$2:$B$1108,1),'2019'!$A$2:$A$1108)),"NO","SI")</f>
        <v>NO</v>
      </c>
      <c r="H273" s="7" t="str">
        <f>IF(ISERROR(LOOKUP(2^15,SEARCH(B273,'2018'!$B$1:$B$1047,1),'2018'!$A$1:$A$1047)),"NO","SI")</f>
        <v>NO</v>
      </c>
      <c r="I273" s="8" t="str">
        <f>IF(ISERROR(LOOKUP(2^15,SEARCH(B273,'ALERTA SANITARIA'!$B$2:$B$269,1),'2018'!$A$1:$A$1047)),"NO","SI")</f>
        <v>SI</v>
      </c>
      <c r="J273" s="6" t="str">
        <f t="shared" si="2"/>
        <v>COFEPRIS</v>
      </c>
      <c r="K273" s="6" t="str">
        <f t="array" ref="K273">IFERROR(INDEX(Anterior!$C$1:$D$323,MATCH(B273,Anterior!$B$2:$B$323,0)+1,2),0)</f>
        <v>COFEPRIS</v>
      </c>
      <c r="L273" s="6" t="str">
        <f t="shared" si="3"/>
        <v>coinciden</v>
      </c>
      <c r="M273" s="2"/>
    </row>
    <row r="274" spans="1:16" ht="15.75" customHeight="1" x14ac:dyDescent="0.25">
      <c r="A274" s="6" t="s">
        <v>583</v>
      </c>
      <c r="B274" s="6" t="s">
        <v>584</v>
      </c>
      <c r="C274" s="7" t="str">
        <f>IF(ISERROR(LOOKUP(2^15,SEARCH(B274,'2023'!$B$3:$B$1734,1),'2023'!$A$3:$A$1734)),"NO","SI")</f>
        <v>NO</v>
      </c>
      <c r="D274" s="7" t="str">
        <f>IF(ISERROR(LOOKUP(2^15,SEARCH(B274,'2022'!$B$2:$B$1591,1),'2022'!$A$2:$A$1591)),"NO","SI")</f>
        <v>NO</v>
      </c>
      <c r="E274" s="7" t="str">
        <f>IF(ISERROR(LOOKUP(2^15,SEARCH(B274,'2021'!$B$2:$B$1494,1),'2021'!$A$2:$A$1494)),"NO","SI")</f>
        <v>NO</v>
      </c>
      <c r="F274" s="7" t="str">
        <f>IF(ISERROR(LOOKUP(2^15,SEARCH(B274,'2020'!$B$2:$B$1278,1),'2020'!$A$2:$A$1278)),"NO","SI")</f>
        <v>NO</v>
      </c>
      <c r="G274" s="7" t="str">
        <f>IF(ISERROR(LOOKUP(2^15,SEARCH(B274,'2019'!$B$2:$B$1108,1),'2019'!$A$2:$A$1108)),"NO","SI")</f>
        <v>NO</v>
      </c>
      <c r="H274" s="7" t="str">
        <f>IF(ISERROR(LOOKUP(2^15,SEARCH(B274,'2018'!$B$1:$B$1047,1),'2018'!$A$1:$A$1047)),"NO","SI")</f>
        <v>NO</v>
      </c>
      <c r="I274" s="8" t="str">
        <f>IF(ISERROR(LOOKUP(2^15,SEARCH(B274,'ALERTA SANITARIA'!$B$2:$B$269,1),'2018'!$A$1:$A$1047)),"NO","SI")</f>
        <v>SI</v>
      </c>
      <c r="J274" s="6" t="str">
        <f t="shared" si="2"/>
        <v>COFEPRIS</v>
      </c>
      <c r="K274" s="6" t="str">
        <f t="array" ref="K274">IFERROR(INDEX(Anterior!$C$1:$D$323,MATCH(B274,Anterior!$B$2:$B$323,0)+1,2),0)</f>
        <v>COFEPRIS</v>
      </c>
      <c r="L274" s="6" t="str">
        <f t="shared" si="3"/>
        <v>coinciden</v>
      </c>
      <c r="M274" s="2"/>
    </row>
    <row r="275" spans="1:16" ht="15.75" customHeight="1" x14ac:dyDescent="0.25">
      <c r="A275" s="6" t="s">
        <v>585</v>
      </c>
      <c r="B275" s="6" t="s">
        <v>586</v>
      </c>
      <c r="C275" s="7" t="str">
        <f>IF(ISERROR(LOOKUP(2^15,SEARCH(B275,'2023'!$B$3:$B$1734,1),'2023'!$A$3:$A$1734)),"NO","SI")</f>
        <v>NO</v>
      </c>
      <c r="D275" s="7" t="str">
        <f>IF(ISERROR(LOOKUP(2^15,SEARCH(B275,'2022'!$B$2:$B$1591,1),'2022'!$A$2:$A$1591)),"NO","SI")</f>
        <v>NO</v>
      </c>
      <c r="E275" s="7" t="str">
        <f>IF(ISERROR(LOOKUP(2^15,SEARCH(B275,'2021'!$B$2:$B$1494,1),'2021'!$A$2:$A$1494)),"NO","SI")</f>
        <v>NO</v>
      </c>
      <c r="F275" s="7" t="str">
        <f>IF(ISERROR(LOOKUP(2^15,SEARCH(B275,'2020'!$B$2:$B$1278,1),'2020'!$A$2:$A$1278)),"NO","SI")</f>
        <v>NO</v>
      </c>
      <c r="G275" s="7" t="str">
        <f>IF(ISERROR(LOOKUP(2^15,SEARCH(B275,'2019'!$B$2:$B$1108,1),'2019'!$A$2:$A$1108)),"NO","SI")</f>
        <v>NO</v>
      </c>
      <c r="H275" s="7" t="str">
        <f>IF(ISERROR(LOOKUP(2^15,SEARCH(B275,'2018'!$B$1:$B$1047,1),'2018'!$A$1:$A$1047)),"NO","SI")</f>
        <v>NO</v>
      </c>
      <c r="I275" s="8" t="str">
        <f>IF(ISERROR(LOOKUP(2^15,SEARCH(B275,'ALERTA SANITARIA'!$B$2:$B$269,1),'2018'!$A$1:$A$1047)),"NO","SI")</f>
        <v>SI</v>
      </c>
      <c r="J275" s="6" t="str">
        <f t="shared" si="2"/>
        <v>COFEPRIS</v>
      </c>
      <c r="K275" s="6" t="str">
        <f t="array" ref="K275">IFERROR(INDEX(Anterior!$C$1:$D$323,MATCH(B275,Anterior!$B$2:$B$323,0)+1,2),0)</f>
        <v>COFEPRIS</v>
      </c>
      <c r="L275" s="6" t="str">
        <f t="shared" si="3"/>
        <v>coinciden</v>
      </c>
      <c r="M275" s="2"/>
    </row>
    <row r="276" spans="1:16" ht="15.75" customHeight="1" x14ac:dyDescent="0.25">
      <c r="A276" s="6" t="s">
        <v>587</v>
      </c>
      <c r="B276" s="6" t="s">
        <v>588</v>
      </c>
      <c r="C276" s="7" t="str">
        <f>IF(ISERROR(LOOKUP(2^15,SEARCH(B276,'2023'!$B$3:$B$1734,1),'2023'!$A$3:$A$1734)),"NO","SI")</f>
        <v>NO</v>
      </c>
      <c r="D276" s="7" t="str">
        <f>IF(ISERROR(LOOKUP(2^15,SEARCH(B276,'2022'!$B$2:$B$1591,1),'2022'!$A$2:$A$1591)),"NO","SI")</f>
        <v>NO</v>
      </c>
      <c r="E276" s="7" t="str">
        <f>IF(ISERROR(LOOKUP(2^15,SEARCH(B276,'2021'!$B$2:$B$1494,1),'2021'!$A$2:$A$1494)),"NO","SI")</f>
        <v>NO</v>
      </c>
      <c r="F276" s="7" t="str">
        <f>IF(ISERROR(LOOKUP(2^15,SEARCH(B276,'2020'!$B$2:$B$1278,1),'2020'!$A$2:$A$1278)),"NO","SI")</f>
        <v>NO</v>
      </c>
      <c r="G276" s="7" t="str">
        <f>IF(ISERROR(LOOKUP(2^15,SEARCH(B276,'2019'!$B$2:$B$1108,1),'2019'!$A$2:$A$1108)),"NO","SI")</f>
        <v>NO</v>
      </c>
      <c r="H276" s="7" t="str">
        <f>IF(ISERROR(LOOKUP(2^15,SEARCH(B276,'2018'!$B$1:$B$1047,1),'2018'!$A$1:$A$1047)),"NO","SI")</f>
        <v>NO</v>
      </c>
      <c r="I276" s="8" t="str">
        <f>IF(ISERROR(LOOKUP(2^15,SEARCH(B276,'ALERTA SANITARIA'!$B$2:$B$269,1),'2018'!$A$1:$A$1047)),"NO","SI")</f>
        <v>SI</v>
      </c>
      <c r="J276" s="6" t="str">
        <f t="shared" si="2"/>
        <v>COFEPRIS</v>
      </c>
      <c r="K276" s="6" t="str">
        <f t="array" ref="K276">IFERROR(INDEX(Anterior!$C$1:$D$323,MATCH(B276,Anterior!$B$2:$B$323,0)+1,2),0)</f>
        <v>COFEPRIS</v>
      </c>
      <c r="L276" s="6" t="str">
        <f t="shared" si="3"/>
        <v>coinciden</v>
      </c>
      <c r="M276" s="2"/>
    </row>
    <row r="277" spans="1:16" ht="15.75" customHeight="1" x14ac:dyDescent="0.25">
      <c r="A277" s="6" t="s">
        <v>589</v>
      </c>
      <c r="B277" s="6" t="s">
        <v>590</v>
      </c>
      <c r="C277" s="7" t="str">
        <f>IF(ISERROR(LOOKUP(2^15,SEARCH(B277,'2023'!$B$3:$B$1734,1),'2023'!$A$3:$A$1734)),"NO","SI")</f>
        <v>NO</v>
      </c>
      <c r="D277" s="7" t="str">
        <f>IF(ISERROR(LOOKUP(2^15,SEARCH(B277,'2022'!$B$2:$B$1591,1),'2022'!$A$2:$A$1591)),"NO","SI")</f>
        <v>NO</v>
      </c>
      <c r="E277" s="7" t="str">
        <f>IF(ISERROR(LOOKUP(2^15,SEARCH(B277,'2021'!$B$2:$B$1494,1),'2021'!$A$2:$A$1494)),"NO","SI")</f>
        <v>NO</v>
      </c>
      <c r="F277" s="7" t="str">
        <f>IF(ISERROR(LOOKUP(2^15,SEARCH(B277,'2020'!$B$2:$B$1278,1),'2020'!$A$2:$A$1278)),"NO","SI")</f>
        <v>NO</v>
      </c>
      <c r="G277" s="7" t="str">
        <f>IF(ISERROR(LOOKUP(2^15,SEARCH(B277,'2019'!$B$2:$B$1108,1),'2019'!$A$2:$A$1108)),"NO","SI")</f>
        <v>NO</v>
      </c>
      <c r="H277" s="7" t="str">
        <f>IF(ISERROR(LOOKUP(2^15,SEARCH(B277,'2018'!$B$1:$B$1047,1),'2018'!$A$1:$A$1047)),"NO","SI")</f>
        <v>NO</v>
      </c>
      <c r="I277" s="8" t="str">
        <f>IF(ISERROR(LOOKUP(2^15,SEARCH(B277,'ALERTA SANITARIA'!$B$2:$B$269,1),'2018'!$A$1:$A$1047)),"NO","SI")</f>
        <v>SI</v>
      </c>
      <c r="J277" s="6" t="str">
        <f t="shared" si="2"/>
        <v>COFEPRIS</v>
      </c>
      <c r="K277" s="6" t="str">
        <f t="array" ref="K277">IFERROR(INDEX(Anterior!$C$1:$D$323,MATCH(B277,Anterior!$B$2:$B$323,0)+1,2),0)</f>
        <v>COFEPRIS</v>
      </c>
      <c r="L277" s="6" t="str">
        <f t="shared" si="3"/>
        <v>coinciden</v>
      </c>
      <c r="M277" s="2"/>
    </row>
    <row r="278" spans="1:16" ht="15.75" customHeight="1" x14ac:dyDescent="0.25">
      <c r="A278" s="6" t="s">
        <v>591</v>
      </c>
      <c r="B278" s="6" t="s">
        <v>592</v>
      </c>
      <c r="C278" s="7" t="str">
        <f>IF(ISERROR(LOOKUP(2^15,SEARCH(B278,'2023'!$B$3:$B$1734,1),'2023'!$A$3:$A$1734)),"NO","SI")</f>
        <v>SI</v>
      </c>
      <c r="D278" s="7" t="str">
        <f>IF(ISERROR(LOOKUP(2^15,SEARCH(B278,'2022'!$B$2:$B$1591,1),'2022'!$A$2:$A$1591)),"NO","SI")</f>
        <v>SI</v>
      </c>
      <c r="E278" s="7" t="str">
        <f>IF(ISERROR(LOOKUP(2^15,SEARCH(B278,'2021'!$B$2:$B$1494,1),'2021'!$A$2:$A$1494)),"NO","SI")</f>
        <v>SI</v>
      </c>
      <c r="F278" s="7" t="str">
        <f>IF(ISERROR(LOOKUP(2^15,SEARCH(B278,'2020'!$B$2:$B$1278,1),'2020'!$A$2:$A$1278)),"NO","SI")</f>
        <v>SI</v>
      </c>
      <c r="G278" s="7" t="str">
        <f>IF(ISERROR(LOOKUP(2^15,SEARCH(B278,'2019'!$B$2:$B$1108,1),'2019'!$A$2:$A$1108)),"NO","SI")</f>
        <v>SI</v>
      </c>
      <c r="H278" s="7" t="str">
        <f>IF(ISERROR(LOOKUP(2^15,SEARCH(B278,'2018'!$B$1:$B$1047,1),'2018'!$A$1:$A$1047)),"NO","SI")</f>
        <v>SI</v>
      </c>
      <c r="I278" s="8" t="str">
        <f>IF(ISERROR(LOOKUP(2^15,SEARCH(B278,'ALERTA SANITARIA'!$B$2:$B$269,1),'2018'!$A$1:$A$1047)),"NO","SI")</f>
        <v>NO</v>
      </c>
      <c r="J278" s="6" t="str">
        <f t="shared" si="2"/>
        <v>DOF</v>
      </c>
      <c r="K278" s="6" t="str">
        <f t="array" ref="K278">IFERROR(INDEX(Anterior!$C$1:$D$323,MATCH(B278,Anterior!$B$2:$B$323,0)+1,2),0)</f>
        <v>DOF</v>
      </c>
      <c r="L278" s="6" t="str">
        <f t="shared" si="3"/>
        <v>coinciden</v>
      </c>
      <c r="M278" s="2"/>
    </row>
    <row r="279" spans="1:16" ht="15.75" customHeight="1" x14ac:dyDescent="0.25">
      <c r="A279" s="6" t="s">
        <v>593</v>
      </c>
      <c r="B279" s="6" t="s">
        <v>594</v>
      </c>
      <c r="C279" s="7" t="str">
        <f>IF(ISERROR(LOOKUP(2^15,SEARCH(B279,'2023'!$B$3:$B$1734,1),'2023'!$A$3:$A$1734)),"NO","SI")</f>
        <v>NO</v>
      </c>
      <c r="D279" s="7" t="str">
        <f>IF(ISERROR(LOOKUP(2^15,SEARCH(B279,'2022'!$B$2:$B$1591,1),'2022'!$A$2:$A$1591)),"NO","SI")</f>
        <v>NO</v>
      </c>
      <c r="E279" s="7" t="str">
        <f>IF(ISERROR(LOOKUP(2^15,SEARCH(B279,'2021'!$B$2:$B$1494,1),'2021'!$A$2:$A$1494)),"NO","SI")</f>
        <v>NO</v>
      </c>
      <c r="F279" s="7" t="str">
        <f>IF(ISERROR(LOOKUP(2^15,SEARCH(B279,'2020'!$B$2:$B$1278,1),'2020'!$A$2:$A$1278)),"NO","SI")</f>
        <v>NO</v>
      </c>
      <c r="G279" s="7" t="str">
        <f>IF(ISERROR(LOOKUP(2^15,SEARCH(B279,'2019'!$B$2:$B$1108,1),'2019'!$A$2:$A$1108)),"NO","SI")</f>
        <v>NO</v>
      </c>
      <c r="H279" s="7" t="str">
        <f>IF(ISERROR(LOOKUP(2^15,SEARCH(B279,'2018'!$B$1:$B$1047,1),'2018'!$A$1:$A$1047)),"NO","SI")</f>
        <v>NO</v>
      </c>
      <c r="I279" s="8" t="str">
        <f>IF(ISERROR(LOOKUP(2^15,SEARCH(B279,'ALERTA SANITARIA'!$B$2:$B$269,1),'2018'!$A$1:$A$1047)),"NO","SI")</f>
        <v>SI</v>
      </c>
      <c r="J279" s="6" t="str">
        <f t="shared" si="2"/>
        <v>COFEPRIS</v>
      </c>
      <c r="K279" s="6" t="str">
        <f t="array" ref="K279">IFERROR(INDEX(Anterior!$C$1:$D$323,MATCH(B279,Anterior!$B$2:$B$323,0)+1,2),0)</f>
        <v>COFEPRIS</v>
      </c>
      <c r="L279" s="6" t="str">
        <f t="shared" si="3"/>
        <v>coinciden</v>
      </c>
      <c r="M279" s="2"/>
    </row>
    <row r="280" spans="1:16" ht="15.75" customHeight="1" x14ac:dyDescent="0.25">
      <c r="A280" s="6" t="s">
        <v>595</v>
      </c>
      <c r="B280" s="6" t="s">
        <v>596</v>
      </c>
      <c r="C280" s="7" t="str">
        <f>IF(ISERROR(LOOKUP(2^15,SEARCH(B280,'2023'!$B$3:$B$1734,1),'2023'!$A$3:$A$1734)),"NO","SI")</f>
        <v>NO</v>
      </c>
      <c r="D280" s="7" t="str">
        <f>IF(ISERROR(LOOKUP(2^15,SEARCH(B280,'2022'!$B$2:$B$1591,1),'2022'!$A$2:$A$1591)),"NO","SI")</f>
        <v>NO</v>
      </c>
      <c r="E280" s="7" t="str">
        <f>IF(ISERROR(LOOKUP(2^15,SEARCH(B280,'2021'!$B$2:$B$1494,1),'2021'!$A$2:$A$1494)),"NO","SI")</f>
        <v>NO</v>
      </c>
      <c r="F280" s="7" t="str">
        <f>IF(ISERROR(LOOKUP(2^15,SEARCH(B280,'2020'!$B$2:$B$1278,1),'2020'!$A$2:$A$1278)),"NO","SI")</f>
        <v>NO</v>
      </c>
      <c r="G280" s="7" t="str">
        <f>IF(ISERROR(LOOKUP(2^15,SEARCH(B280,'2019'!$B$2:$B$1108,1),'2019'!$A$2:$A$1108)),"NO","SI")</f>
        <v>NO</v>
      </c>
      <c r="H280" s="7" t="str">
        <f>IF(ISERROR(LOOKUP(2^15,SEARCH(B280,'2018'!$B$1:$B$1047,1),'2018'!$A$1:$A$1047)),"NO","SI")</f>
        <v>NO</v>
      </c>
      <c r="I280" s="8" t="str">
        <f>IF(ISERROR(LOOKUP(2^15,SEARCH(B280,'ALERTA SANITARIA'!$B$2:$B$269,1),'2018'!$A$1:$A$1047)),"NO","SI")</f>
        <v>SI</v>
      </c>
      <c r="J280" s="6" t="str">
        <f t="shared" si="2"/>
        <v>COFEPRIS</v>
      </c>
      <c r="K280" s="6" t="str">
        <f t="array" ref="K280">IFERROR(INDEX(Anterior!$C$1:$D$323,MATCH(B280,Anterior!$B$2:$B$323,0)+1,2),0)</f>
        <v>COFEPRIS</v>
      </c>
      <c r="L280" s="6" t="str">
        <f t="shared" si="3"/>
        <v>coinciden</v>
      </c>
      <c r="M280" s="2"/>
    </row>
    <row r="281" spans="1:16" ht="15.75" customHeight="1" x14ac:dyDescent="0.25">
      <c r="A281" s="6" t="s">
        <v>597</v>
      </c>
      <c r="B281" s="6" t="s">
        <v>598</v>
      </c>
      <c r="C281" s="7" t="str">
        <f>IF(ISERROR(LOOKUP(2^15,SEARCH(B281,'2023'!$B$3:$B$1734,1),'2023'!$A$3:$A$1734)),"NO","SI")</f>
        <v>SI</v>
      </c>
      <c r="D281" s="7" t="str">
        <f>IF(ISERROR(LOOKUP(2^15,SEARCH(B281,'2022'!$B$2:$B$1591,1),'2022'!$A$2:$A$1591)),"NO","SI")</f>
        <v>SI</v>
      </c>
      <c r="E281" s="7" t="str">
        <f>IF(ISERROR(LOOKUP(2^15,SEARCH(B281,'2021'!$B$2:$B$1494,1),'2021'!$A$2:$A$1494)),"NO","SI")</f>
        <v>SI</v>
      </c>
      <c r="F281" s="7" t="str">
        <f>IF(ISERROR(LOOKUP(2^15,SEARCH(B281,'2020'!$B$2:$B$1278,1),'2020'!$A$2:$A$1278)),"NO","SI")</f>
        <v>SI</v>
      </c>
      <c r="G281" s="7" t="str">
        <f>IF(ISERROR(LOOKUP(2^15,SEARCH(B281,'2019'!$B$2:$B$1108,1),'2019'!$A$2:$A$1108)),"NO","SI")</f>
        <v>SI</v>
      </c>
      <c r="H281" s="7" t="str">
        <f>IF(ISERROR(LOOKUP(2^15,SEARCH(B281,'2018'!$B$1:$B$1047,1),'2018'!$A$1:$A$1047)),"NO","SI")</f>
        <v>SI</v>
      </c>
      <c r="I281" s="8" t="str">
        <f>IF(ISERROR(LOOKUP(2^15,SEARCH(B281,'ALERTA SANITARIA'!$B$2:$B$269,1),'2018'!$A$1:$A$1047)),"NO","SI")</f>
        <v>SI</v>
      </c>
      <c r="J281" s="6" t="str">
        <f t="shared" si="2"/>
        <v>AMBOS</v>
      </c>
      <c r="K281" s="6" t="str">
        <f t="array" ref="K281">IFERROR(INDEX(Anterior!$C$1:$D$323,MATCH(B281,Anterior!$B$2:$B$323,0)+1,2),0)</f>
        <v>DOF</v>
      </c>
      <c r="L281" s="6" t="str">
        <f t="shared" si="3"/>
        <v>Discrepan</v>
      </c>
      <c r="M281" s="2" t="s">
        <v>25</v>
      </c>
      <c r="N281" s="9" t="s">
        <v>599</v>
      </c>
      <c r="O281" s="9"/>
    </row>
    <row r="282" spans="1:16" ht="15.75" customHeight="1" x14ac:dyDescent="0.25">
      <c r="A282" s="6" t="s">
        <v>600</v>
      </c>
      <c r="B282" s="6" t="s">
        <v>601</v>
      </c>
      <c r="C282" s="7" t="str">
        <f>IF(ISERROR(LOOKUP(2^15,SEARCH(B282,'2023'!$B$3:$B$1734,1),'2023'!$A$3:$A$1734)),"NO","SI")</f>
        <v>NO</v>
      </c>
      <c r="D282" s="7" t="str">
        <f>IF(ISERROR(LOOKUP(2^15,SEARCH(B282,'2022'!$B$2:$B$1591,1),'2022'!$A$2:$A$1591)),"NO","SI")</f>
        <v>NO</v>
      </c>
      <c r="E282" s="7" t="str">
        <f>IF(ISERROR(LOOKUP(2^15,SEARCH(B282,'2021'!$B$2:$B$1494,1),'2021'!$A$2:$A$1494)),"NO","SI")</f>
        <v>NO</v>
      </c>
      <c r="F282" s="7" t="str">
        <f>IF(ISERROR(LOOKUP(2^15,SEARCH(B282,'2020'!$B$2:$B$1278,1),'2020'!$A$2:$A$1278)),"NO","SI")</f>
        <v>NO</v>
      </c>
      <c r="G282" s="7" t="str">
        <f>IF(ISERROR(LOOKUP(2^15,SEARCH(B282,'2019'!$B$2:$B$1108,1),'2019'!$A$2:$A$1108)),"NO","SI")</f>
        <v>NO</v>
      </c>
      <c r="H282" s="7" t="str">
        <f>IF(ISERROR(LOOKUP(2^15,SEARCH(B282,'2018'!$B$1:$B$1047,1),'2018'!$A$1:$A$1047)),"NO","SI")</f>
        <v>NO</v>
      </c>
      <c r="I282" s="8" t="str">
        <f>IF(ISERROR(LOOKUP(2^15,SEARCH(B282,'ALERTA SANITARIA'!$B$2:$B$269,1),'2018'!$A$1:$A$1047)),"NO","SI")</f>
        <v>SI</v>
      </c>
      <c r="J282" s="6" t="str">
        <f t="shared" si="2"/>
        <v>COFEPRIS</v>
      </c>
      <c r="K282" s="6">
        <f t="array" ref="K282">IFERROR(INDEX(Anterior!$C$1:$D$323,MATCH(B282,Anterior!$B$2:$B$323,0)+1,2),0)</f>
        <v>0</v>
      </c>
      <c r="L282" s="6" t="str">
        <f t="shared" si="3"/>
        <v>Nuevo</v>
      </c>
      <c r="M282" s="2"/>
    </row>
    <row r="283" spans="1:16" ht="15.75" customHeight="1" x14ac:dyDescent="0.25">
      <c r="A283" s="6" t="s">
        <v>602</v>
      </c>
      <c r="B283" s="6" t="s">
        <v>603</v>
      </c>
      <c r="C283" s="7" t="s">
        <v>14</v>
      </c>
      <c r="D283" s="7" t="s">
        <v>14</v>
      </c>
      <c r="E283" s="7" t="s">
        <v>14</v>
      </c>
      <c r="F283" s="7" t="s">
        <v>14</v>
      </c>
      <c r="G283" s="7" t="s">
        <v>14</v>
      </c>
      <c r="H283" s="7" t="s">
        <v>14</v>
      </c>
      <c r="I283" s="8" t="str">
        <f>IF(ISERROR(LOOKUP(2^15,SEARCH(B283,'ALERTA SANITARIA'!$B$2:$B$269,1),'2018'!$A$1:$A$1047)),"NO","SI")</f>
        <v>SI</v>
      </c>
      <c r="J283" s="6" t="str">
        <f t="shared" si="2"/>
        <v>COFEPRIS</v>
      </c>
      <c r="K283" s="6" t="str">
        <f t="array" ref="K283">IFERROR(INDEX(Anterior!$C$1:$D$323,MATCH(B283,Anterior!$B$2:$B$323,0)+1,2),0)</f>
        <v>COFEPRIS</v>
      </c>
      <c r="L283" s="6" t="str">
        <f t="shared" si="3"/>
        <v>coinciden</v>
      </c>
      <c r="M283" s="2"/>
    </row>
    <row r="284" spans="1:16" ht="15.75" customHeight="1" x14ac:dyDescent="0.25">
      <c r="A284" s="6" t="s">
        <v>604</v>
      </c>
      <c r="B284" s="6" t="s">
        <v>605</v>
      </c>
      <c r="C284" s="7" t="str">
        <f>IF(ISERROR(LOOKUP(2^15,SEARCH(B284,'2023'!$B$3:$B$1734,1),'2023'!$A$3:$A$1734)),"NO","SI")</f>
        <v>NO</v>
      </c>
      <c r="D284" s="7" t="str">
        <f>IF(ISERROR(LOOKUP(2^15,SEARCH(B284,'2022'!$B$2:$B$1591,1),'2022'!$A$2:$A$1591)),"NO","SI")</f>
        <v>NO</v>
      </c>
      <c r="E284" s="7" t="str">
        <f>IF(ISERROR(LOOKUP(2^15,SEARCH(B284,'2021'!$B$2:$B$1494,1),'2021'!$A$2:$A$1494)),"NO","SI")</f>
        <v>NO</v>
      </c>
      <c r="F284" s="7" t="str">
        <f>IF(ISERROR(LOOKUP(2^15,SEARCH(B284,'2020'!$B$2:$B$1278,1),'2020'!$A$2:$A$1278)),"NO","SI")</f>
        <v>NO</v>
      </c>
      <c r="G284" s="7" t="str">
        <f>IF(ISERROR(LOOKUP(2^15,SEARCH(B284,'2019'!$B$2:$B$1108,1),'2019'!$A$2:$A$1108)),"NO","SI")</f>
        <v>NO</v>
      </c>
      <c r="H284" s="7" t="str">
        <f>IF(ISERROR(LOOKUP(2^15,SEARCH(B284,'2018'!$B$1:$B$1047,1),'2018'!$A$1:$A$1047)),"NO","SI")</f>
        <v>NO</v>
      </c>
      <c r="I284" s="8" t="str">
        <f>IF(ISERROR(LOOKUP(2^15,SEARCH(B284,'ALERTA SANITARIA'!$B$2:$B$269,1),'2018'!$A$1:$A$1047)),"NO","SI")</f>
        <v>NO</v>
      </c>
      <c r="J284" s="6" t="str">
        <f t="shared" si="2"/>
        <v>Ninguno</v>
      </c>
      <c r="K284" s="6" t="str">
        <f t="array" ref="K284">IFERROR(INDEX(Anterior!$C$1:$D$323,MATCH(B284,Anterior!$B$2:$B$323,0)+1,2),0)</f>
        <v>Ninguno</v>
      </c>
      <c r="L284" s="6" t="str">
        <f t="shared" si="3"/>
        <v>coinciden</v>
      </c>
      <c r="M284" s="2"/>
    </row>
    <row r="285" spans="1:16" ht="15.75" customHeight="1" x14ac:dyDescent="0.25">
      <c r="A285" s="6" t="s">
        <v>606</v>
      </c>
      <c r="B285" s="1" t="s">
        <v>607</v>
      </c>
      <c r="C285" s="7" t="s">
        <v>14</v>
      </c>
      <c r="D285" s="7" t="s">
        <v>14</v>
      </c>
      <c r="E285" s="7" t="s">
        <v>14</v>
      </c>
      <c r="F285" s="7" t="s">
        <v>14</v>
      </c>
      <c r="G285" s="7" t="s">
        <v>14</v>
      </c>
      <c r="H285" s="7" t="s">
        <v>14</v>
      </c>
      <c r="I285" s="8" t="str">
        <f>IF(ISERROR(LOOKUP(2^15,SEARCH(B285,'ALERTA SANITARIA'!$B$2:$B$269,1),'2018'!$A$1:$A$1047)),"NO","SI")</f>
        <v>NO</v>
      </c>
      <c r="J285" s="6" t="str">
        <f t="shared" si="2"/>
        <v>Ninguno</v>
      </c>
      <c r="K285" s="6" t="str">
        <f t="array" ref="K285">IFERROR(INDEX(Anterior!$C$1:$D$323,MATCH(B285,Anterior!$B$2:$B$323,0)+1,2),0)</f>
        <v>Ninguno</v>
      </c>
      <c r="L285" s="6" t="str">
        <f t="shared" si="3"/>
        <v>coinciden</v>
      </c>
      <c r="M285" s="2"/>
    </row>
    <row r="286" spans="1:16" ht="15.75" customHeight="1" x14ac:dyDescent="0.25">
      <c r="A286" s="6" t="s">
        <v>608</v>
      </c>
      <c r="B286" s="1" t="s">
        <v>609</v>
      </c>
      <c r="C286" s="7" t="str">
        <f>IF(ISERROR(LOOKUP(2^15,SEARCH(B286,'2023'!$B$3:$B$1734,1),'2023'!$A$3:$A$1734)),"NO","SI")</f>
        <v>SI</v>
      </c>
      <c r="D286" s="7" t="str">
        <f>IF(ISERROR(LOOKUP(2^15,SEARCH(B286,'2022'!$B$2:$B$1591,1),'2022'!$A$2:$A$1591)),"NO","SI")</f>
        <v>SI</v>
      </c>
      <c r="E286" s="7" t="str">
        <f>IF(ISERROR(LOOKUP(2^15,SEARCH(B286,'2021'!$B$2:$B$1494,1),'2021'!$A$2:$A$1494)),"NO","SI")</f>
        <v>SI</v>
      </c>
      <c r="F286" s="7" t="str">
        <f>IF(ISERROR(LOOKUP(2^15,SEARCH(B286,'2020'!$B$2:$B$1278,1),'2020'!$A$2:$A$1278)),"NO","SI")</f>
        <v>SI</v>
      </c>
      <c r="G286" s="7" t="str">
        <f>IF(ISERROR(LOOKUP(2^15,SEARCH(B286,'2019'!$B$2:$B$1108,1),'2019'!$A$2:$A$1108)),"NO","SI")</f>
        <v>SI</v>
      </c>
      <c r="H286" s="7" t="str">
        <f>IF(ISERROR(LOOKUP(2^15,SEARCH(B286,'2018'!$B$1:$B$1047,1),'2018'!$A$1:$A$1047)),"NO","SI")</f>
        <v>SI</v>
      </c>
      <c r="I286" s="8" t="str">
        <f>IF(ISERROR(LOOKUP(2^15,SEARCH(B286,'ALERTA SANITARIA'!$B$2:$B$269,1),'2018'!$A$1:$A$1047)),"NO","SI")</f>
        <v>NO</v>
      </c>
      <c r="J286" s="6" t="str">
        <f t="shared" si="2"/>
        <v>DOF</v>
      </c>
      <c r="K286" s="6" t="str">
        <f t="array" ref="K286">IFERROR(INDEX(Anterior!$C$1:$D$323,MATCH(B286,Anterior!$B$2:$B$323,0)+1,2),0)</f>
        <v>DOF</v>
      </c>
      <c r="L286" s="6" t="str">
        <f t="shared" si="3"/>
        <v>coinciden</v>
      </c>
      <c r="M286" s="2"/>
    </row>
    <row r="287" spans="1:16" ht="15.75" customHeight="1" x14ac:dyDescent="0.25">
      <c r="A287" s="6" t="s">
        <v>610</v>
      </c>
      <c r="B287" s="1" t="s">
        <v>611</v>
      </c>
      <c r="C287" s="7" t="s">
        <v>14</v>
      </c>
      <c r="D287" s="7" t="s">
        <v>14</v>
      </c>
      <c r="E287" s="7" t="s">
        <v>14</v>
      </c>
      <c r="F287" s="7" t="s">
        <v>14</v>
      </c>
      <c r="G287" s="7" t="s">
        <v>14</v>
      </c>
      <c r="H287" s="7" t="s">
        <v>14</v>
      </c>
      <c r="I287" s="8" t="str">
        <f>IF(ISERROR(LOOKUP(2^15,SEARCH(B287,'ALERTA SANITARIA'!$B$2:$B$269,1),'2018'!$A$1:$A$1047)),"NO","SI")</f>
        <v>NO</v>
      </c>
      <c r="J287" s="6" t="str">
        <f t="shared" si="2"/>
        <v>Ninguno</v>
      </c>
      <c r="K287" s="6" t="str">
        <f t="array" ref="K287">IFERROR(INDEX(Anterior!$C$1:$D$323,MATCH(B287,Anterior!$B$2:$B$323,0)+1,2),0)</f>
        <v>DOF</v>
      </c>
      <c r="L287" s="6" t="str">
        <f t="shared" si="3"/>
        <v>Discrepan</v>
      </c>
      <c r="M287" s="2" t="s">
        <v>14</v>
      </c>
      <c r="P287" s="10" t="s">
        <v>612</v>
      </c>
    </row>
    <row r="288" spans="1:16" ht="15.75" customHeight="1" x14ac:dyDescent="0.25">
      <c r="A288" s="6" t="s">
        <v>613</v>
      </c>
      <c r="B288" s="1" t="s">
        <v>614</v>
      </c>
      <c r="C288" s="7" t="s">
        <v>14</v>
      </c>
      <c r="D288" s="7" t="s">
        <v>14</v>
      </c>
      <c r="E288" s="7" t="s">
        <v>14</v>
      </c>
      <c r="F288" s="7" t="s">
        <v>14</v>
      </c>
      <c r="G288" s="7" t="s">
        <v>14</v>
      </c>
      <c r="H288" s="7" t="str">
        <f>IF(ISERROR(LOOKUP(2^15,SEARCH(B288,'2018'!$B$1:$B$1047,1),'2018'!$A$1:$A$1047)),"NO","SI")</f>
        <v>NO</v>
      </c>
      <c r="I288" s="8" t="str">
        <f>IF(ISERROR(LOOKUP(2^15,SEARCH(B288,'ALERTA SANITARIA'!$B$2:$B$269,1),'2018'!$A$1:$A$1047)),"NO","SI")</f>
        <v>SI</v>
      </c>
      <c r="J288" s="6" t="str">
        <f t="shared" si="2"/>
        <v>COFEPRIS</v>
      </c>
      <c r="K288" s="6" t="str">
        <f t="array" ref="K288">IFERROR(INDEX(Anterior!$C$1:$D$323,MATCH(B288,Anterior!$B$2:$B$323,0)+1,2),0)</f>
        <v>COFEPRIS</v>
      </c>
      <c r="L288" s="6" t="str">
        <f t="shared" si="3"/>
        <v>coinciden</v>
      </c>
      <c r="M288" s="2"/>
    </row>
    <row r="289" spans="2:18" ht="15.75" customHeight="1" x14ac:dyDescent="0.25">
      <c r="B289" s="6" t="str">
        <f>"99 "</f>
        <v xml:space="preserve">99 </v>
      </c>
      <c r="C289" s="7" t="str">
        <f>IF(ISERROR(LOOKUP(2^15,SEARCH(B289,'2023'!$B$3:$B$1734,1),'2023'!$A$3:$A$1734)),"NO","SI")</f>
        <v>SI</v>
      </c>
      <c r="D289" s="7" t="str">
        <f>IF(ISERROR(LOOKUP(2^15,SEARCH(B289,'2022'!$B$2:$B$1591,1),'2022'!$A$2:$A$1591)),"NO","SI")</f>
        <v>SI</v>
      </c>
      <c r="E289" s="7" t="str">
        <f>IF(ISERROR(LOOKUP(2^15,SEARCH(B289,'2021'!$B$2:$B$1494,1),'2021'!$A$2:$A$1494)),"NO","SI")</f>
        <v>SI</v>
      </c>
      <c r="F289" s="7" t="str">
        <f>IF(ISERROR(LOOKUP(2^15,SEARCH(B289,'2020'!$B$2:$B$1278,1),'2020'!$A$2:$A$1278)),"NO","SI")</f>
        <v>SI</v>
      </c>
      <c r="G289" s="7" t="str">
        <f>IF(ISERROR(LOOKUP(2^15,SEARCH(B289,'2019'!$B$2:$B$1108,1),'2019'!$A$2:$A$1108)),"NO","SI")</f>
        <v>NO</v>
      </c>
      <c r="H289" s="7" t="str">
        <f>IF(ISERROR(LOOKUP(2^15,SEARCH(B289,'2018'!$B$1:$B$1047,1),'2018'!$A$1:$A$1047)),"NO","SI")</f>
        <v>NO</v>
      </c>
      <c r="I289" s="8" t="str">
        <f>IF(ISERROR(LOOKUP(2^15,SEARCH(B289,'ALERTA SANITARIA'!$B$2:$B$269,1),'2018'!$A$1:$A$1047)),"NO","SI")</f>
        <v>NO</v>
      </c>
      <c r="J289" s="6" t="str">
        <f t="shared" si="2"/>
        <v>DOF</v>
      </c>
      <c r="K289" s="6">
        <f t="array" ref="K289">IFERROR(INDEX(Anterior!$C$1:$D$323,MATCH(B289,Anterior!$B$2:$B$323,0)+1,2),0)</f>
        <v>0</v>
      </c>
      <c r="L289" s="6" t="str">
        <f t="shared" si="3"/>
        <v>Nuevo</v>
      </c>
      <c r="M289" s="2"/>
    </row>
    <row r="290" spans="2:18" ht="15.75" customHeight="1" x14ac:dyDescent="0.25">
      <c r="B290" s="6" t="s">
        <v>615</v>
      </c>
      <c r="C290" s="7" t="str">
        <f>IF(ISERROR(LOOKUP(2^15,SEARCH(B290,'2023'!$B$3:$B$1734,1),'2023'!$A$3:$A$1734)),"NO","SI")</f>
        <v>NO</v>
      </c>
      <c r="D290" s="7" t="str">
        <f>IF(ISERROR(LOOKUP(2^15,SEARCH(B290,'2022'!$B$2:$B$1591,1),'2022'!$A$2:$A$1591)),"NO","SI")</f>
        <v>NO</v>
      </c>
      <c r="E290" s="7" t="str">
        <f>IF(ISERROR(LOOKUP(2^15,SEARCH(B290,'2021'!$B$2:$B$1494,1),'2021'!$A$2:$A$1494)),"NO","SI")</f>
        <v>NO</v>
      </c>
      <c r="F290" s="7" t="str">
        <f>IF(ISERROR(LOOKUP(2^15,SEARCH(B290,'2020'!$B$2:$B$1278,1),'2020'!$A$2:$A$1278)),"NO","SI")</f>
        <v>NO</v>
      </c>
      <c r="G290" s="7" t="str">
        <f>IF(ISERROR(LOOKUP(2^15,SEARCH(B290,'2019'!$B$2:$B$1108,1),'2019'!$A$2:$A$1108)),"NO","SI")</f>
        <v>NO</v>
      </c>
      <c r="H290" s="7" t="str">
        <f>IF(ISERROR(LOOKUP(2^15,SEARCH(B290,'2018'!$B$1:$B$1047,1),'2018'!$A$1:$A$1047)),"NO","SI")</f>
        <v>NO</v>
      </c>
      <c r="I290" s="8" t="str">
        <f>IF(ISERROR(LOOKUP(2^15,SEARCH(B290,'ALERTA SANITARIA'!$B$2:$B$269,1),'2018'!$A$1:$A$1047)),"NO","SI")</f>
        <v>NO</v>
      </c>
      <c r="J290" s="6" t="str">
        <f t="shared" si="2"/>
        <v>Ninguno</v>
      </c>
      <c r="K290" s="6">
        <f t="array" ref="K290">IFERROR(INDEX(Anterior!$C$1:$D$323,MATCH(B290,Anterior!$B$2:$B$323,0)+1,2),0)</f>
        <v>0</v>
      </c>
      <c r="L290" s="6" t="str">
        <f t="shared" si="3"/>
        <v>Nuevo</v>
      </c>
      <c r="M290" s="2"/>
    </row>
    <row r="291" spans="2:18" ht="15.75" customHeight="1" x14ac:dyDescent="0.25">
      <c r="B291" s="6" t="s">
        <v>616</v>
      </c>
      <c r="C291" s="7" t="str">
        <f>IF(ISERROR(LOOKUP(2^15,SEARCH(B291,'2023'!$B$3:$B$1734,1),'2023'!$A$3:$A$1734)),"NO","SI")</f>
        <v>SI</v>
      </c>
      <c r="D291" s="7" t="str">
        <f>IF(ISERROR(LOOKUP(2^15,SEARCH(B291,'2022'!$B$2:$B$1591,1),'2022'!$A$2:$A$1591)),"NO","SI")</f>
        <v>SI</v>
      </c>
      <c r="E291" s="7" t="str">
        <f>IF(ISERROR(LOOKUP(2^15,SEARCH(B291,'2021'!$B$2:$B$1494,1),'2021'!$A$2:$A$1494)),"NO","SI")</f>
        <v>SI</v>
      </c>
      <c r="F291" s="7" t="str">
        <f>IF(ISERROR(LOOKUP(2^15,SEARCH(B291,'2020'!$B$2:$B$1278,1),'2020'!$A$2:$A$1278)),"NO","SI")</f>
        <v>SI</v>
      </c>
      <c r="G291" s="7" t="str">
        <f>IF(ISERROR(LOOKUP(2^15,SEARCH(B291,'2019'!$B$2:$B$1108,1),'2019'!$A$2:$A$1108)),"NO","SI")</f>
        <v>SI</v>
      </c>
      <c r="H291" s="7" t="str">
        <f>IF(ISERROR(LOOKUP(2^15,SEARCH(B291,'2018'!$B$1:$B$1047,1),'2018'!$A$1:$A$1047)),"NO","SI")</f>
        <v>SI</v>
      </c>
      <c r="I291" s="8" t="str">
        <f>IF(ISERROR(LOOKUP(2^15,SEARCH(B291,'ALERTA SANITARIA'!$B$2:$B$269,1),'2018'!$A$1:$A$1047)),"NO","SI")</f>
        <v>NO</v>
      </c>
      <c r="J291" s="6" t="str">
        <f t="shared" si="2"/>
        <v>DOF</v>
      </c>
      <c r="K291" s="6" t="str">
        <f t="array" ref="K291">IFERROR(INDEX(Anterior!$C$1:$D$323,MATCH(B291,Anterior!$B$2:$B$323,0)+1,2),0)</f>
        <v>DOF</v>
      </c>
      <c r="L291" s="6" t="str">
        <f t="shared" si="3"/>
        <v>coinciden</v>
      </c>
      <c r="M291" s="2"/>
    </row>
    <row r="292" spans="2:18" ht="15.75" customHeight="1" x14ac:dyDescent="0.25">
      <c r="B292" s="6" t="s">
        <v>617</v>
      </c>
      <c r="C292" s="7" t="str">
        <f>IF(ISERROR(LOOKUP(2^15,SEARCH(B292,'2023'!$B$3:$B$1734,1),'2023'!$A$3:$A$1734)),"NO","SI")</f>
        <v>SI</v>
      </c>
      <c r="D292" s="7" t="str">
        <f>IF(ISERROR(LOOKUP(2^15,SEARCH(B292,'2022'!$B$2:$B$1591,1),'2022'!$A$2:$A$1591)),"NO","SI")</f>
        <v>SI</v>
      </c>
      <c r="E292" s="7" t="str">
        <f>IF(ISERROR(LOOKUP(2^15,SEARCH(B292,'2021'!$B$2:$B$1494,1),'2021'!$A$2:$A$1494)),"NO","SI")</f>
        <v>SI</v>
      </c>
      <c r="F292" s="7" t="str">
        <f>IF(ISERROR(LOOKUP(2^15,SEARCH(B292,'2020'!$B$2:$B$1278,1),'2020'!$A$2:$A$1278)),"NO","SI")</f>
        <v>SI</v>
      </c>
      <c r="G292" s="7" t="str">
        <f>IF(ISERROR(LOOKUP(2^15,SEARCH(B292,'2019'!$B$2:$B$1108,1),'2019'!$A$2:$A$1108)),"NO","SI")</f>
        <v>SI</v>
      </c>
      <c r="H292" s="7" t="str">
        <f>IF(ISERROR(LOOKUP(2^15,SEARCH(B292,'2018'!$B$1:$B$1047,1),'2018'!$A$1:$A$1047)),"NO","SI")</f>
        <v>SI</v>
      </c>
      <c r="I292" s="8" t="str">
        <f>IF(ISERROR(LOOKUP(2^15,SEARCH(B292,'ALERTA SANITARIA'!$B$2:$B$269,1),'2018'!$A$1:$A$1047)),"NO","SI")</f>
        <v>NO</v>
      </c>
      <c r="J292" s="6" t="str">
        <f t="shared" si="2"/>
        <v>DOF</v>
      </c>
      <c r="K292" s="6" t="str">
        <f t="array" ref="K292">IFERROR(INDEX(Anterior!$C$1:$D$323,MATCH(B292,Anterior!$B$2:$B$323,0)+1,2),0)</f>
        <v>DOF</v>
      </c>
      <c r="L292" s="6" t="str">
        <f t="shared" si="3"/>
        <v>coinciden</v>
      </c>
      <c r="M292" s="2"/>
    </row>
    <row r="293" spans="2:18" ht="15.75" customHeight="1" x14ac:dyDescent="0.25">
      <c r="B293" s="6" t="s">
        <v>618</v>
      </c>
      <c r="C293" s="7" t="str">
        <f>IF(ISERROR(LOOKUP(2^15,SEARCH(B293,'2023'!$B$3:$B$1734,1),'2023'!$A$3:$A$1734)),"NO","SI")</f>
        <v>SI</v>
      </c>
      <c r="D293" s="7" t="str">
        <f>IF(ISERROR(LOOKUP(2^15,SEARCH(B293,'2022'!$B$2:$B$1591,1),'2022'!$A$2:$A$1591)),"NO","SI")</f>
        <v>SI</v>
      </c>
      <c r="E293" s="7" t="str">
        <f>IF(ISERROR(LOOKUP(2^15,SEARCH(B293,'2021'!$B$2:$B$1494,1),'2021'!$A$2:$A$1494)),"NO","SI")</f>
        <v>SI</v>
      </c>
      <c r="F293" s="7" t="str">
        <f>IF(ISERROR(LOOKUP(2^15,SEARCH(B293,'2020'!$B$2:$B$1278,1),'2020'!$A$2:$A$1278)),"NO","SI")</f>
        <v>SI</v>
      </c>
      <c r="G293" s="7" t="str">
        <f>IF(ISERROR(LOOKUP(2^15,SEARCH(B293,'2019'!$B$2:$B$1108,1),'2019'!$A$2:$A$1108)),"NO","SI")</f>
        <v>SI</v>
      </c>
      <c r="H293" s="7" t="str">
        <f>IF(ISERROR(LOOKUP(2^15,SEARCH(B293,'2018'!$B$1:$B$1047,1),'2018'!$A$1:$A$1047)),"NO","SI")</f>
        <v>SI</v>
      </c>
      <c r="I293" s="8" t="str">
        <f>IF(ISERROR(LOOKUP(2^15,SEARCH(B293,'ALERTA SANITARIA'!$B$2:$B$269,1),'2018'!$A$1:$A$1047)),"NO","SI")</f>
        <v>NO</v>
      </c>
      <c r="J293" s="6" t="str">
        <f t="shared" si="2"/>
        <v>DOF</v>
      </c>
      <c r="K293" s="6" t="str">
        <f t="array" ref="K293">IFERROR(INDEX(Anterior!$C$1:$D$323,MATCH(B293,Anterior!$B$2:$B$323,0)+1,2),0)</f>
        <v>Ninguno</v>
      </c>
      <c r="L293" s="6" t="str">
        <f t="shared" si="3"/>
        <v>Discrepan</v>
      </c>
      <c r="M293" s="2" t="s">
        <v>471</v>
      </c>
      <c r="N293" s="9" t="s">
        <v>619</v>
      </c>
      <c r="O293" s="9"/>
      <c r="P293" s="9"/>
      <c r="Q293" s="9"/>
      <c r="R293" s="9"/>
    </row>
    <row r="294" spans="2:18" ht="15.75" customHeight="1" x14ac:dyDescent="0.25">
      <c r="B294" s="6" t="s">
        <v>620</v>
      </c>
      <c r="C294" s="7" t="str">
        <f>IF(ISERROR(LOOKUP(2^15,SEARCH(B294,'2023'!$B$3:$B$1734,1),'2023'!$A$3:$A$1734)),"NO","SI")</f>
        <v>NO</v>
      </c>
      <c r="D294" s="7" t="str">
        <f>IF(ISERROR(LOOKUP(2^15,SEARCH(B294,'2022'!$B$2:$B$1591,1),'2022'!$A$2:$A$1591)),"NO","SI")</f>
        <v>NO</v>
      </c>
      <c r="E294" s="7" t="str">
        <f>IF(ISERROR(LOOKUP(2^15,SEARCH(B294,'2021'!$B$2:$B$1494,1),'2021'!$A$2:$A$1494)),"NO","SI")</f>
        <v>NO</v>
      </c>
      <c r="F294" s="7" t="str">
        <f>IF(ISERROR(LOOKUP(2^15,SEARCH(B294,'2020'!$B$2:$B$1278,1),'2020'!$A$2:$A$1278)),"NO","SI")</f>
        <v>NO</v>
      </c>
      <c r="G294" s="7" t="str">
        <f>IF(ISERROR(LOOKUP(2^15,SEARCH(B294,'2019'!$B$2:$B$1108,1),'2019'!$A$2:$A$1108)),"NO","SI")</f>
        <v>NO</v>
      </c>
      <c r="H294" s="7" t="str">
        <f>IF(ISERROR(LOOKUP(2^15,SEARCH(B294,'2018'!$B$1:$B$1047,1),'2018'!$A$1:$A$1047)),"NO","SI")</f>
        <v>NO</v>
      </c>
      <c r="I294" s="8" t="str">
        <f>IF(ISERROR(LOOKUP(2^15,SEARCH(B294,'ALERTA SANITARIA'!$B$2:$B$269,1),'2018'!$A$1:$A$1047)),"NO","SI")</f>
        <v>NO</v>
      </c>
      <c r="J294" s="6" t="str">
        <f t="shared" si="2"/>
        <v>Ninguno</v>
      </c>
      <c r="K294" s="6">
        <f t="array" ref="K294">IFERROR(INDEX(Anterior!$C$1:$D$323,MATCH(B294,Anterior!$B$2:$B$323,0)+1,2),0)</f>
        <v>0</v>
      </c>
      <c r="L294" s="6" t="str">
        <f t="shared" si="3"/>
        <v>Nuevo</v>
      </c>
      <c r="M294" s="2"/>
    </row>
    <row r="295" spans="2:18" ht="15.75" customHeight="1" x14ac:dyDescent="0.25">
      <c r="B295" s="6" t="s">
        <v>621</v>
      </c>
      <c r="C295" s="7" t="str">
        <f>IF(ISERROR(LOOKUP(2^15,SEARCH(B295,'2023'!$B$3:$B$1734,1),'2023'!$A$3:$A$1734)),"NO","SI")</f>
        <v>SI</v>
      </c>
      <c r="D295" s="7" t="str">
        <f>IF(ISERROR(LOOKUP(2^15,SEARCH(B295,'2022'!$B$2:$B$1591,1),'2022'!$A$2:$A$1591)),"NO","SI")</f>
        <v>SI</v>
      </c>
      <c r="E295" s="7" t="str">
        <f>IF(ISERROR(LOOKUP(2^15,SEARCH(B295,'2021'!$B$2:$B$1494,1),'2021'!$A$2:$A$1494)),"NO","SI")</f>
        <v>SI</v>
      </c>
      <c r="F295" s="7" t="str">
        <f>IF(ISERROR(LOOKUP(2^15,SEARCH(B295,'2020'!$B$2:$B$1278,1),'2020'!$A$2:$A$1278)),"NO","SI")</f>
        <v>SI</v>
      </c>
      <c r="G295" s="7" t="str">
        <f>IF(ISERROR(LOOKUP(2^15,SEARCH(B295,'2019'!$B$2:$B$1108,1),'2019'!$A$2:$A$1108)),"NO","SI")</f>
        <v>SI</v>
      </c>
      <c r="H295" s="7" t="str">
        <f>IF(ISERROR(LOOKUP(2^15,SEARCH(B295,'2018'!$B$1:$B$1047,1),'2018'!$A$1:$A$1047)),"NO","SI")</f>
        <v>SI</v>
      </c>
      <c r="I295" s="8" t="str">
        <f>IF(ISERROR(LOOKUP(2^15,SEARCH(B295,'ALERTA SANITARIA'!$B$2:$B$269,1),'2018'!$A$1:$A$1047)),"NO","SI")</f>
        <v>NO</v>
      </c>
      <c r="J295" s="6" t="str">
        <f t="shared" si="2"/>
        <v>DOF</v>
      </c>
      <c r="K295" s="6" t="str">
        <f t="array" ref="K295">IFERROR(INDEX(Anterior!$C$1:$D$323,MATCH(B295,Anterior!$B$2:$B$323,0)+1,2),0)</f>
        <v>Ninguno</v>
      </c>
      <c r="L295" s="6" t="str">
        <f t="shared" si="3"/>
        <v>Discrepan</v>
      </c>
      <c r="M295" s="2" t="s">
        <v>471</v>
      </c>
    </row>
    <row r="296" spans="2:18" ht="15.75" customHeight="1" x14ac:dyDescent="0.25">
      <c r="B296" s="6" t="s">
        <v>622</v>
      </c>
      <c r="C296" s="7" t="str">
        <f>IF(ISERROR(LOOKUP(2^15,SEARCH(B296,'2023'!$B$3:$B$1734,1),'2023'!$A$3:$A$1734)),"NO","SI")</f>
        <v>SI</v>
      </c>
      <c r="D296" s="7" t="str">
        <f>IF(ISERROR(LOOKUP(2^15,SEARCH(B296,'2022'!$B$2:$B$1591,1),'2022'!$A$2:$A$1591)),"NO","SI")</f>
        <v>SI</v>
      </c>
      <c r="E296" s="7" t="str">
        <f>IF(ISERROR(LOOKUP(2^15,SEARCH(B296,'2021'!$B$2:$B$1494,1),'2021'!$A$2:$A$1494)),"NO","SI")</f>
        <v>SI</v>
      </c>
      <c r="F296" s="7" t="str">
        <f>IF(ISERROR(LOOKUP(2^15,SEARCH(B296,'2020'!$B$2:$B$1278,1),'2020'!$A$2:$A$1278)),"NO","SI")</f>
        <v>SI</v>
      </c>
      <c r="G296" s="7" t="str">
        <f>IF(ISERROR(LOOKUP(2^15,SEARCH(B296,'2019'!$B$2:$B$1108,1),'2019'!$A$2:$A$1108)),"NO","SI")</f>
        <v>SI</v>
      </c>
      <c r="H296" s="7" t="str">
        <f>IF(ISERROR(LOOKUP(2^15,SEARCH(B296,'2018'!$B$1:$B$1047,1),'2018'!$A$1:$A$1047)),"NO","SI")</f>
        <v>SI</v>
      </c>
      <c r="I296" s="8" t="str">
        <f>IF(ISERROR(LOOKUP(2^15,SEARCH(B296,'ALERTA SANITARIA'!$B$2:$B$269,1),'2018'!$A$1:$A$1047)),"NO","SI")</f>
        <v>NO</v>
      </c>
      <c r="J296" s="6" t="str">
        <f t="shared" si="2"/>
        <v>DOF</v>
      </c>
      <c r="K296" s="6">
        <f t="array" ref="K296">IFERROR(INDEX(Anterior!$C$1:$D$323,MATCH(B296,Anterior!$B$2:$B$323,0)+1,2),0)</f>
        <v>0</v>
      </c>
      <c r="L296" s="6" t="str">
        <f t="shared" si="3"/>
        <v>Nuevo</v>
      </c>
      <c r="M296" s="2"/>
    </row>
    <row r="297" spans="2:18" ht="15.75" customHeight="1" x14ac:dyDescent="0.25">
      <c r="B297" s="6" t="s">
        <v>623</v>
      </c>
      <c r="C297" s="7" t="str">
        <f>IF(ISERROR(LOOKUP(2^15,SEARCH(B297,'2023'!$B$3:$B$1734,1),'2023'!$A$3:$A$1734)),"NO","SI")</f>
        <v>NO</v>
      </c>
      <c r="D297" s="7" t="str">
        <f>IF(ISERROR(LOOKUP(2^15,SEARCH(B297,'2022'!$B$2:$B$1591,1),'2022'!$A$2:$A$1591)),"NO","SI")</f>
        <v>NO</v>
      </c>
      <c r="E297" s="7" t="str">
        <f>IF(ISERROR(LOOKUP(2^15,SEARCH(B297,'2021'!$B$2:$B$1494,1),'2021'!$A$2:$A$1494)),"NO","SI")</f>
        <v>NO</v>
      </c>
      <c r="F297" s="7" t="str">
        <f>IF(ISERROR(LOOKUP(2^15,SEARCH(B297,'2020'!$B$2:$B$1278,1),'2020'!$A$2:$A$1278)),"NO","SI")</f>
        <v>NO</v>
      </c>
      <c r="G297" s="7" t="str">
        <f>IF(ISERROR(LOOKUP(2^15,SEARCH(B297,'2019'!$B$2:$B$1108,1),'2019'!$A$2:$A$1108)),"NO","SI")</f>
        <v>NO</v>
      </c>
      <c r="H297" s="7" t="str">
        <f>IF(ISERROR(LOOKUP(2^15,SEARCH(B297,'2018'!$B$1:$B$1047,1),'2018'!$A$1:$A$1047)),"NO","SI")</f>
        <v>NO</v>
      </c>
      <c r="I297" s="8" t="str">
        <f>IF(ISERROR(LOOKUP(2^15,SEARCH(B297,'ALERTA SANITARIA'!$B$2:$B$269,1),'2018'!$A$1:$A$1047)),"NO","SI")</f>
        <v>NO</v>
      </c>
      <c r="J297" s="6" t="str">
        <f t="shared" si="2"/>
        <v>Ninguno</v>
      </c>
      <c r="K297" s="6">
        <f t="array" ref="K297">IFERROR(INDEX(Anterior!$C$1:$D$323,MATCH(B297,Anterior!$B$2:$B$323,0)+1,2),0)</f>
        <v>0</v>
      </c>
      <c r="L297" s="6" t="str">
        <f t="shared" si="3"/>
        <v>Nuevo</v>
      </c>
      <c r="M297" s="2"/>
    </row>
    <row r="298" spans="2:18" ht="15.75" customHeight="1" x14ac:dyDescent="0.25">
      <c r="B298" s="6" t="s">
        <v>624</v>
      </c>
      <c r="C298" s="7" t="str">
        <f>IF(ISERROR(LOOKUP(2^15,SEARCH(B298,'2023'!$B$3:$B$1734,1),'2023'!$A$3:$A$1734)),"NO","SI")</f>
        <v>SI</v>
      </c>
      <c r="D298" s="7" t="str">
        <f>IF(ISERROR(LOOKUP(2^15,SEARCH(B298,'2022'!$B$2:$B$1591,1),'2022'!$A$2:$A$1591)),"NO","SI")</f>
        <v>SI</v>
      </c>
      <c r="E298" s="7" t="str">
        <f>IF(ISERROR(LOOKUP(2^15,SEARCH(B298,'2021'!$B$2:$B$1494,1),'2021'!$A$2:$A$1494)),"NO","SI")</f>
        <v>SI</v>
      </c>
      <c r="F298" s="7" t="str">
        <f>IF(ISERROR(LOOKUP(2^15,SEARCH(B298,'2020'!$B$2:$B$1278,1),'2020'!$A$2:$A$1278)),"NO","SI")</f>
        <v>SI</v>
      </c>
      <c r="G298" s="7" t="str">
        <f>IF(ISERROR(LOOKUP(2^15,SEARCH(B298,'2019'!$B$2:$B$1108,1),'2019'!$A$2:$A$1108)),"NO","SI")</f>
        <v>SI</v>
      </c>
      <c r="H298" s="7" t="str">
        <f>IF(ISERROR(LOOKUP(2^15,SEARCH(B298,'2018'!$B$1:$B$1047,1),'2018'!$A$1:$A$1047)),"NO","SI")</f>
        <v>SI</v>
      </c>
      <c r="I298" s="8" t="str">
        <f>IF(ISERROR(LOOKUP(2^15,SEARCH(B298,'ALERTA SANITARIA'!$B$2:$B$269,1),'2018'!$A$1:$A$1047)),"NO","SI")</f>
        <v>NO</v>
      </c>
      <c r="J298" s="6" t="str">
        <f t="shared" si="2"/>
        <v>DOF</v>
      </c>
      <c r="K298" s="6">
        <f t="array" ref="K298">IFERROR(INDEX(Anterior!$C$1:$D$323,MATCH(B298,Anterior!$B$2:$B$323,0)+1,2),0)</f>
        <v>0</v>
      </c>
      <c r="L298" s="6" t="str">
        <f t="shared" si="3"/>
        <v>Nuevo</v>
      </c>
      <c r="M298" s="2"/>
    </row>
    <row r="299" spans="2:18" ht="15.75" customHeight="1" x14ac:dyDescent="0.25">
      <c r="B299" s="6" t="s">
        <v>625</v>
      </c>
      <c r="C299" s="7" t="str">
        <f>IF(ISERROR(LOOKUP(2^15,SEARCH(B299,'2023'!$B$3:$B$1734,1),'2023'!$A$3:$A$1734)),"NO","SI")</f>
        <v>NO</v>
      </c>
      <c r="D299" s="7" t="str">
        <f>IF(ISERROR(LOOKUP(2^15,SEARCH(B299,'2022'!$B$2:$B$1591,1),'2022'!$A$2:$A$1591)),"NO","SI")</f>
        <v>NO</v>
      </c>
      <c r="E299" s="7" t="str">
        <f>IF(ISERROR(LOOKUP(2^15,SEARCH(B299,'2021'!$B$2:$B$1494,1),'2021'!$A$2:$A$1494)),"NO","SI")</f>
        <v>NO</v>
      </c>
      <c r="F299" s="7" t="str">
        <f>IF(ISERROR(LOOKUP(2^15,SEARCH(B299,'2020'!$B$2:$B$1278,1),'2020'!$A$2:$A$1278)),"NO","SI")</f>
        <v>NO</v>
      </c>
      <c r="G299" s="7" t="str">
        <f>IF(ISERROR(LOOKUP(2^15,SEARCH(B299,'2019'!$B$2:$B$1108,1),'2019'!$A$2:$A$1108)),"NO","SI")</f>
        <v>NO</v>
      </c>
      <c r="H299" s="7" t="str">
        <f>IF(ISERROR(LOOKUP(2^15,SEARCH(B299,'2018'!$B$1:$B$1047,1),'2018'!$A$1:$A$1047)),"NO","SI")</f>
        <v>NO</v>
      </c>
      <c r="I299" s="8" t="str">
        <f>IF(ISERROR(LOOKUP(2^15,SEARCH(B299,'ALERTA SANITARIA'!$B$2:$B$269,1),'2018'!$A$1:$A$1047)),"NO","SI")</f>
        <v>NO</v>
      </c>
      <c r="J299" s="6" t="str">
        <f t="shared" si="2"/>
        <v>Ninguno</v>
      </c>
      <c r="K299" s="6">
        <f t="array" ref="K299">IFERROR(INDEX(Anterior!$C$1:$D$323,MATCH(B299,Anterior!$B$2:$B$323,0)+1,2),0)</f>
        <v>0</v>
      </c>
      <c r="L299" s="6" t="str">
        <f t="shared" si="3"/>
        <v>Nuevo</v>
      </c>
      <c r="M299" s="2"/>
    </row>
    <row r="300" spans="2:18" ht="15.75" customHeight="1" x14ac:dyDescent="0.25">
      <c r="B300" s="6" t="s">
        <v>626</v>
      </c>
      <c r="C300" s="7" t="str">
        <f>IF(ISERROR(LOOKUP(2^15,SEARCH(B300,'2023'!$B$3:$B$1734,1),'2023'!$A$3:$A$1734)),"NO","SI")</f>
        <v>NO</v>
      </c>
      <c r="D300" s="7" t="str">
        <f>IF(ISERROR(LOOKUP(2^15,SEARCH(B300,'2022'!$B$2:$B$1591,1),'2022'!$A$2:$A$1591)),"NO","SI")</f>
        <v>NO</v>
      </c>
      <c r="E300" s="7" t="str">
        <f>IF(ISERROR(LOOKUP(2^15,SEARCH(B300,'2021'!$B$2:$B$1494,1),'2021'!$A$2:$A$1494)),"NO","SI")</f>
        <v>NO</v>
      </c>
      <c r="F300" s="7" t="str">
        <f>IF(ISERROR(LOOKUP(2^15,SEARCH(B300,'2020'!$B$2:$B$1278,1),'2020'!$A$2:$A$1278)),"NO","SI")</f>
        <v>NO</v>
      </c>
      <c r="G300" s="7" t="str">
        <f>IF(ISERROR(LOOKUP(2^15,SEARCH(B300,'2019'!$B$2:$B$1108,1),'2019'!$A$2:$A$1108)),"NO","SI")</f>
        <v>NO</v>
      </c>
      <c r="H300" s="7" t="str">
        <f>IF(ISERROR(LOOKUP(2^15,SEARCH(B300,'2018'!$B$1:$B$1047,1),'2018'!$A$1:$A$1047)),"NO","SI")</f>
        <v>NO</v>
      </c>
      <c r="I300" s="8" t="str">
        <f>IF(ISERROR(LOOKUP(2^15,SEARCH(B300,'ALERTA SANITARIA'!$B$2:$B$269,1),'2018'!$A$1:$A$1047)),"NO","SI")</f>
        <v>NO</v>
      </c>
      <c r="J300" s="6" t="str">
        <f t="shared" si="2"/>
        <v>Ninguno</v>
      </c>
      <c r="K300" s="6">
        <f t="array" ref="K300">IFERROR(INDEX(Anterior!$C$1:$D$323,MATCH(B300,Anterior!$B$2:$B$323,0)+1,2),0)</f>
        <v>0</v>
      </c>
      <c r="L300" s="6" t="str">
        <f t="shared" si="3"/>
        <v>Nuevo</v>
      </c>
      <c r="M300" s="2"/>
      <c r="P300" s="6" t="s">
        <v>627</v>
      </c>
    </row>
    <row r="301" spans="2:18" ht="15.75" customHeight="1" x14ac:dyDescent="0.25">
      <c r="B301" s="6" t="s">
        <v>628</v>
      </c>
      <c r="C301" s="7" t="str">
        <f>IF(ISERROR(LOOKUP(2^15,SEARCH(B301,'2023'!$B$3:$B$1734,1),'2023'!$A$3:$A$1734)),"NO","SI")</f>
        <v>NO</v>
      </c>
      <c r="D301" s="7" t="str">
        <f>IF(ISERROR(LOOKUP(2^15,SEARCH(B301,'2022'!$B$2:$B$1591,1),'2022'!$A$2:$A$1591)),"NO","SI")</f>
        <v>NO</v>
      </c>
      <c r="E301" s="7" t="str">
        <f>IF(ISERROR(LOOKUP(2^15,SEARCH(B301,'2021'!$B$2:$B$1494,1),'2021'!$A$2:$A$1494)),"NO","SI")</f>
        <v>NO</v>
      </c>
      <c r="F301" s="7" t="str">
        <f>IF(ISERROR(LOOKUP(2^15,SEARCH(B301,'2020'!$B$2:$B$1278,1),'2020'!$A$2:$A$1278)),"NO","SI")</f>
        <v>NO</v>
      </c>
      <c r="G301" s="7" t="str">
        <f>IF(ISERROR(LOOKUP(2^15,SEARCH(B301,'2019'!$B$2:$B$1108,1),'2019'!$A$2:$A$1108)),"NO","SI")</f>
        <v>NO</v>
      </c>
      <c r="H301" s="7" t="str">
        <f>IF(ISERROR(LOOKUP(2^15,SEARCH(B301,'2018'!$B$1:$B$1047,1),'2018'!$A$1:$A$1047)),"NO","SI")</f>
        <v>NO</v>
      </c>
      <c r="I301" s="8" t="str">
        <f>IF(ISERROR(LOOKUP(2^15,SEARCH(B301,'ALERTA SANITARIA'!$B$2:$B$269,1),'2018'!$A$1:$A$1047)),"NO","SI")</f>
        <v>NO</v>
      </c>
      <c r="J301" s="6" t="str">
        <f t="shared" si="2"/>
        <v>Ninguno</v>
      </c>
      <c r="K301" s="6">
        <f t="array" ref="K301">IFERROR(INDEX(Anterior!$C$1:$D$323,MATCH(B301,Anterior!$B$2:$B$323,0)+1,2),0)</f>
        <v>0</v>
      </c>
      <c r="L301" s="6" t="str">
        <f t="shared" si="3"/>
        <v>Nuevo</v>
      </c>
      <c r="M301" s="2"/>
    </row>
    <row r="302" spans="2:18" ht="15.75" customHeight="1" x14ac:dyDescent="0.25">
      <c r="B302" s="6" t="s">
        <v>629</v>
      </c>
      <c r="C302" s="7" t="str">
        <f>IF(ISERROR(LOOKUP(2^15,SEARCH(B302,'2023'!$B$3:$B$1734,1),'2023'!$A$3:$A$1734)),"NO","SI")</f>
        <v>NO</v>
      </c>
      <c r="D302" s="7" t="str">
        <f>IF(ISERROR(LOOKUP(2^15,SEARCH(B302,'2022'!$B$2:$B$1591,1),'2022'!$A$2:$A$1591)),"NO","SI")</f>
        <v>NO</v>
      </c>
      <c r="E302" s="7" t="str">
        <f>IF(ISERROR(LOOKUP(2^15,SEARCH(B302,'2021'!$B$2:$B$1494,1),'2021'!$A$2:$A$1494)),"NO","SI")</f>
        <v>NO</v>
      </c>
      <c r="F302" s="7" t="str">
        <f>IF(ISERROR(LOOKUP(2^15,SEARCH(B302,'2020'!$B$2:$B$1278,1),'2020'!$A$2:$A$1278)),"NO","SI")</f>
        <v>NO</v>
      </c>
      <c r="G302" s="7" t="str">
        <f>IF(ISERROR(LOOKUP(2^15,SEARCH(B302,'2019'!$B$2:$B$1108,1),'2019'!$A$2:$A$1108)),"NO","SI")</f>
        <v>NO</v>
      </c>
      <c r="H302" s="7" t="str">
        <f>IF(ISERROR(LOOKUP(2^15,SEARCH(B302,'2018'!$B$1:$B$1047,1),'2018'!$A$1:$A$1047)),"NO","SI")</f>
        <v>NO</v>
      </c>
      <c r="I302" s="8" t="str">
        <f>IF(ISERROR(LOOKUP(2^15,SEARCH(B302,'ALERTA SANITARIA'!$B$2:$B$269,1),'2018'!$A$1:$A$1047)),"NO","SI")</f>
        <v>NO</v>
      </c>
      <c r="J302" s="6" t="str">
        <f t="shared" si="2"/>
        <v>Ninguno</v>
      </c>
      <c r="K302" s="6">
        <f t="array" ref="K302">IFERROR(INDEX(Anterior!$C$1:$D$323,MATCH(B302,Anterior!$B$2:$B$323,0)+1,2),0)</f>
        <v>0</v>
      </c>
      <c r="L302" s="6" t="str">
        <f t="shared" si="3"/>
        <v>Nuevo</v>
      </c>
      <c r="M302" s="2"/>
    </row>
    <row r="303" spans="2:18" ht="15.75" customHeight="1" x14ac:dyDescent="0.25">
      <c r="B303" s="6" t="s">
        <v>630</v>
      </c>
      <c r="C303" s="7" t="str">
        <f>IF(ISERROR(LOOKUP(2^15,SEARCH(B303,'2023'!$B$3:$B$1734,1),'2023'!$A$3:$A$1734)),"NO","SI")</f>
        <v>NO</v>
      </c>
      <c r="D303" s="7" t="str">
        <f>IF(ISERROR(LOOKUP(2^15,SEARCH(B303,'2022'!$B$2:$B$1591,1),'2022'!$A$2:$A$1591)),"NO","SI")</f>
        <v>NO</v>
      </c>
      <c r="E303" s="7" t="str">
        <f>IF(ISERROR(LOOKUP(2^15,SEARCH(B303,'2021'!$B$2:$B$1494,1),'2021'!$A$2:$A$1494)),"NO","SI")</f>
        <v>NO</v>
      </c>
      <c r="F303" s="7" t="str">
        <f>IF(ISERROR(LOOKUP(2^15,SEARCH(B303,'2020'!$B$2:$B$1278,1),'2020'!$A$2:$A$1278)),"NO","SI")</f>
        <v>NO</v>
      </c>
      <c r="G303" s="7" t="str">
        <f>IF(ISERROR(LOOKUP(2^15,SEARCH(B303,'2019'!$B$2:$B$1108,1),'2019'!$A$2:$A$1108)),"NO","SI")</f>
        <v>NO</v>
      </c>
      <c r="H303" s="7" t="str">
        <f>IF(ISERROR(LOOKUP(2^15,SEARCH(B303,'2018'!$B$1:$B$1047,1),'2018'!$A$1:$A$1047)),"NO","SI")</f>
        <v>NO</v>
      </c>
      <c r="I303" s="8" t="str">
        <f>IF(ISERROR(LOOKUP(2^15,SEARCH(B303,'ALERTA SANITARIA'!$B$2:$B$269,1),'2018'!$A$1:$A$1047)),"NO","SI")</f>
        <v>NO</v>
      </c>
      <c r="J303" s="6" t="str">
        <f t="shared" si="2"/>
        <v>Ninguno</v>
      </c>
      <c r="K303" s="6">
        <f t="array" ref="K303">IFERROR(INDEX(Anterior!$C$1:$D$323,MATCH(B303,Anterior!$B$2:$B$323,0)+1,2),0)</f>
        <v>0</v>
      </c>
      <c r="L303" s="6" t="str">
        <f t="shared" si="3"/>
        <v>Nuevo</v>
      </c>
      <c r="M303" s="2"/>
    </row>
    <row r="304" spans="2:18" ht="15.75" customHeight="1" x14ac:dyDescent="0.25">
      <c r="B304" s="6" t="s">
        <v>631</v>
      </c>
      <c r="C304" s="7" t="str">
        <f>IF(ISERROR(LOOKUP(2^15,SEARCH(B304,'2023'!$B$3:$B$1734,1),'2023'!$A$3:$A$1734)),"NO","SI")</f>
        <v>NO</v>
      </c>
      <c r="D304" s="7" t="str">
        <f>IF(ISERROR(LOOKUP(2^15,SEARCH(B304,'2022'!$B$2:$B$1591,1),'2022'!$A$2:$A$1591)),"NO","SI")</f>
        <v>NO</v>
      </c>
      <c r="E304" s="7" t="str">
        <f>IF(ISERROR(LOOKUP(2^15,SEARCH(B304,'2021'!$B$2:$B$1494,1),'2021'!$A$2:$A$1494)),"NO","SI")</f>
        <v>NO</v>
      </c>
      <c r="F304" s="7" t="str">
        <f>IF(ISERROR(LOOKUP(2^15,SEARCH(B304,'2020'!$B$2:$B$1278,1),'2020'!$A$2:$A$1278)),"NO","SI")</f>
        <v>NO</v>
      </c>
      <c r="G304" s="7" t="str">
        <f>IF(ISERROR(LOOKUP(2^15,SEARCH(B304,'2019'!$B$2:$B$1108,1),'2019'!$A$2:$A$1108)),"NO","SI")</f>
        <v>NO</v>
      </c>
      <c r="H304" s="7" t="str">
        <f>IF(ISERROR(LOOKUP(2^15,SEARCH(B304,'2018'!$B$1:$B$1047,1),'2018'!$A$1:$A$1047)),"NO","SI")</f>
        <v>NO</v>
      </c>
      <c r="I304" s="8" t="str">
        <f>IF(ISERROR(LOOKUP(2^15,SEARCH(B304,'ALERTA SANITARIA'!$B$2:$B$269,1),'2018'!$A$1:$A$1047)),"NO","SI")</f>
        <v>NO</v>
      </c>
      <c r="J304" s="6" t="str">
        <f t="shared" si="2"/>
        <v>Ninguno</v>
      </c>
      <c r="K304" s="6">
        <f t="array" ref="K304">IFERROR(INDEX(Anterior!$C$1:$D$323,MATCH(B304,Anterior!$B$2:$B$323,0)+1,2),0)</f>
        <v>0</v>
      </c>
      <c r="L304" s="6" t="str">
        <f t="shared" si="3"/>
        <v>Nuevo</v>
      </c>
      <c r="M304" s="2"/>
    </row>
    <row r="305" spans="2:13" ht="15.75" customHeight="1" x14ac:dyDescent="0.25">
      <c r="B305" s="6" t="s">
        <v>632</v>
      </c>
      <c r="C305" s="7" t="str">
        <f>IF(ISERROR(LOOKUP(2^15,SEARCH(B305,'2023'!$B$3:$B$1734,1),'2023'!$A$3:$A$1734)),"NO","SI")</f>
        <v>NO</v>
      </c>
      <c r="D305" s="7" t="str">
        <f>IF(ISERROR(LOOKUP(2^15,SEARCH(B305,'2022'!$B$2:$B$1591,1),'2022'!$A$2:$A$1591)),"NO","SI")</f>
        <v>NO</v>
      </c>
      <c r="E305" s="7" t="str">
        <f>IF(ISERROR(LOOKUP(2^15,SEARCH(B305,'2021'!$B$2:$B$1494,1),'2021'!$A$2:$A$1494)),"NO","SI")</f>
        <v>NO</v>
      </c>
      <c r="F305" s="7" t="str">
        <f>IF(ISERROR(LOOKUP(2^15,SEARCH(B305,'2020'!$B$2:$B$1278,1),'2020'!$A$2:$A$1278)),"NO","SI")</f>
        <v>NO</v>
      </c>
      <c r="G305" s="7" t="str">
        <f>IF(ISERROR(LOOKUP(2^15,SEARCH(B305,'2019'!$B$2:$B$1108,1),'2019'!$A$2:$A$1108)),"NO","SI")</f>
        <v>NO</v>
      </c>
      <c r="H305" s="7" t="str">
        <f>IF(ISERROR(LOOKUP(2^15,SEARCH(B305,'2018'!$B$1:$B$1047,1),'2018'!$A$1:$A$1047)),"NO","SI")</f>
        <v>NO</v>
      </c>
      <c r="I305" s="8" t="str">
        <f>IF(ISERROR(LOOKUP(2^15,SEARCH(B305,'ALERTA SANITARIA'!$B$2:$B$269,1),'2018'!$A$1:$A$1047)),"NO","SI")</f>
        <v>NO</v>
      </c>
      <c r="J305" s="6" t="str">
        <f t="shared" si="2"/>
        <v>Ninguno</v>
      </c>
      <c r="K305" s="6">
        <f t="array" ref="K305">IFERROR(INDEX(Anterior!$C$1:$D$323,MATCH(B305,Anterior!$B$2:$B$323,0)+1,2),0)</f>
        <v>0</v>
      </c>
      <c r="L305" s="6" t="str">
        <f t="shared" si="3"/>
        <v>Nuevo</v>
      </c>
      <c r="M305" s="2"/>
    </row>
    <row r="306" spans="2:13" ht="15.75" customHeight="1" x14ac:dyDescent="0.25">
      <c r="B306" s="6" t="s">
        <v>633</v>
      </c>
      <c r="C306" s="7" t="str">
        <f>IF(ISERROR(LOOKUP(2^15,SEARCH(B306,'2023'!$B$3:$B$1734,1),'2023'!$A$3:$A$1734)),"NO","SI")</f>
        <v>NO</v>
      </c>
      <c r="D306" s="7" t="str">
        <f>IF(ISERROR(LOOKUP(2^15,SEARCH(B306,'2022'!$B$2:$B$1591,1),'2022'!$A$2:$A$1591)),"NO","SI")</f>
        <v>NO</v>
      </c>
      <c r="E306" s="7" t="str">
        <f>IF(ISERROR(LOOKUP(2^15,SEARCH(B306,'2021'!$B$2:$B$1494,1),'2021'!$A$2:$A$1494)),"NO","SI")</f>
        <v>NO</v>
      </c>
      <c r="F306" s="7" t="str">
        <f>IF(ISERROR(LOOKUP(2^15,SEARCH(B306,'2020'!$B$2:$B$1278,1),'2020'!$A$2:$A$1278)),"NO","SI")</f>
        <v>NO</v>
      </c>
      <c r="G306" s="7" t="str">
        <f>IF(ISERROR(LOOKUP(2^15,SEARCH(B306,'2019'!$B$2:$B$1108,1),'2019'!$A$2:$A$1108)),"NO","SI")</f>
        <v>NO</v>
      </c>
      <c r="H306" s="7" t="str">
        <f>IF(ISERROR(LOOKUP(2^15,SEARCH(B306,'2018'!$B$1:$B$1047,1),'2018'!$A$1:$A$1047)),"NO","SI")</f>
        <v>NO</v>
      </c>
      <c r="I306" s="8" t="str">
        <f>IF(ISERROR(LOOKUP(2^15,SEARCH(B306,'ALERTA SANITARIA'!$B$2:$B$269,1),'2018'!$A$1:$A$1047)),"NO","SI")</f>
        <v>NO</v>
      </c>
      <c r="J306" s="6" t="str">
        <f t="shared" si="2"/>
        <v>Ninguno</v>
      </c>
      <c r="K306" s="6">
        <f t="array" ref="K306">IFERROR(INDEX(Anterior!$C$1:$D$323,MATCH(B306,Anterior!$B$2:$B$323,0)+1,2),0)</f>
        <v>0</v>
      </c>
      <c r="L306" s="6" t="str">
        <f t="shared" si="3"/>
        <v>Nuevo</v>
      </c>
      <c r="M306" s="2"/>
    </row>
    <row r="307" spans="2:13" ht="15.75" customHeight="1" x14ac:dyDescent="0.25">
      <c r="B307" s="6" t="s">
        <v>634</v>
      </c>
      <c r="C307" s="7" t="str">
        <f>IF(ISERROR(LOOKUP(2^15,SEARCH(B307,'2023'!$B$3:$B$1734,1),'2023'!$A$3:$A$1734)),"NO","SI")</f>
        <v>SI</v>
      </c>
      <c r="D307" s="7" t="str">
        <f>IF(ISERROR(LOOKUP(2^15,SEARCH(B307,'2022'!$B$2:$B$1591,1),'2022'!$A$2:$A$1591)),"NO","SI")</f>
        <v>SI</v>
      </c>
      <c r="E307" s="7" t="str">
        <f>IF(ISERROR(LOOKUP(2^15,SEARCH(B307,'2021'!$B$2:$B$1494,1),'2021'!$A$2:$A$1494)),"NO","SI")</f>
        <v>SI</v>
      </c>
      <c r="F307" s="7" t="str">
        <f>IF(ISERROR(LOOKUP(2^15,SEARCH(B307,'2020'!$B$2:$B$1278,1),'2020'!$A$2:$A$1278)),"NO","SI")</f>
        <v>SI</v>
      </c>
      <c r="G307" s="7" t="str">
        <f>IF(ISERROR(LOOKUP(2^15,SEARCH(B307,'2019'!$B$2:$B$1108,1),'2019'!$A$2:$A$1108)),"NO","SI")</f>
        <v>SI</v>
      </c>
      <c r="H307" s="7" t="str">
        <f>IF(ISERROR(LOOKUP(2^15,SEARCH(B307,'2018'!$B$1:$B$1047,1),'2018'!$A$1:$A$1047)),"NO","SI")</f>
        <v>SI</v>
      </c>
      <c r="I307" s="8" t="str">
        <f>IF(ISERROR(LOOKUP(2^15,SEARCH(B307,'ALERTA SANITARIA'!$B$2:$B$269,1),'2018'!$A$1:$A$1047)),"NO","SI")</f>
        <v>SI</v>
      </c>
      <c r="J307" s="6" t="str">
        <f t="shared" si="2"/>
        <v>AMBOS</v>
      </c>
      <c r="K307" s="6">
        <f t="array" ref="K307">IFERROR(INDEX(Anterior!$C$1:$D$323,MATCH(B307,Anterior!$B$2:$B$323,0)+1,2),0)</f>
        <v>0</v>
      </c>
      <c r="L307" s="6" t="str">
        <f t="shared" si="3"/>
        <v>Nuevo</v>
      </c>
      <c r="M307" s="2"/>
    </row>
    <row r="308" spans="2:13" ht="15.75" customHeight="1" x14ac:dyDescent="0.25">
      <c r="B308" s="6" t="s">
        <v>635</v>
      </c>
      <c r="C308" s="7" t="str">
        <f>IF(ISERROR(LOOKUP(2^15,SEARCH(B308,'2023'!$B$3:$B$1734,1),'2023'!$A$3:$A$1734)),"NO","SI")</f>
        <v>NO</v>
      </c>
      <c r="D308" s="7" t="str">
        <f>IF(ISERROR(LOOKUP(2^15,SEARCH(B308,'2022'!$B$2:$B$1591,1),'2022'!$A$2:$A$1591)),"NO","SI")</f>
        <v>NO</v>
      </c>
      <c r="E308" s="7" t="str">
        <f>IF(ISERROR(LOOKUP(2^15,SEARCH(B308,'2021'!$B$2:$B$1494,1),'2021'!$A$2:$A$1494)),"NO","SI")</f>
        <v>NO</v>
      </c>
      <c r="F308" s="7" t="str">
        <f>IF(ISERROR(LOOKUP(2^15,SEARCH(B308,'2020'!$B$2:$B$1278,1),'2020'!$A$2:$A$1278)),"NO","SI")</f>
        <v>NO</v>
      </c>
      <c r="G308" s="7" t="str">
        <f>IF(ISERROR(LOOKUP(2^15,SEARCH(B308,'2019'!$B$2:$B$1108,1),'2019'!$A$2:$A$1108)),"NO","SI")</f>
        <v>NO</v>
      </c>
      <c r="H308" s="7" t="str">
        <f>IF(ISERROR(LOOKUP(2^15,SEARCH(B308,'2018'!$B$1:$B$1047,1),'2018'!$A$1:$A$1047)),"NO","SI")</f>
        <v>NO</v>
      </c>
      <c r="I308" s="8" t="str">
        <f>IF(ISERROR(LOOKUP(2^15,SEARCH(B308,'ALERTA SANITARIA'!$B$2:$B$269,1),'2018'!$A$1:$A$1047)),"NO","SI")</f>
        <v>NO</v>
      </c>
      <c r="J308" s="6" t="str">
        <f t="shared" si="2"/>
        <v>Ninguno</v>
      </c>
      <c r="K308" s="6">
        <f t="array" ref="K308">IFERROR(INDEX(Anterior!$C$1:$D$323,MATCH(B308,Anterior!$B$2:$B$323,0)+1,2),0)</f>
        <v>0</v>
      </c>
      <c r="L308" s="6" t="str">
        <f t="shared" si="3"/>
        <v>Nuevo</v>
      </c>
      <c r="M308" s="2"/>
    </row>
    <row r="309" spans="2:13" ht="15.75" customHeight="1" x14ac:dyDescent="0.25">
      <c r="B309" s="6" t="s">
        <v>636</v>
      </c>
      <c r="C309" s="7" t="str">
        <f>IF(ISERROR(LOOKUP(2^15,SEARCH(B309,'2023'!$B$3:$B$1734,1),'2023'!$A$3:$A$1734)),"NO","SI")</f>
        <v>NO</v>
      </c>
      <c r="D309" s="7" t="str">
        <f>IF(ISERROR(LOOKUP(2^15,SEARCH(B309,'2022'!$B$2:$B$1591,1),'2022'!$A$2:$A$1591)),"NO","SI")</f>
        <v>NO</v>
      </c>
      <c r="E309" s="7" t="str">
        <f>IF(ISERROR(LOOKUP(2^15,SEARCH(B309,'2021'!$B$2:$B$1494,1),'2021'!$A$2:$A$1494)),"NO","SI")</f>
        <v>NO</v>
      </c>
      <c r="F309" s="7" t="str">
        <f>IF(ISERROR(LOOKUP(2^15,SEARCH(B309,'2020'!$B$2:$B$1278,1),'2020'!$A$2:$A$1278)),"NO","SI")</f>
        <v>NO</v>
      </c>
      <c r="G309" s="7" t="str">
        <f>IF(ISERROR(LOOKUP(2^15,SEARCH(B309,'2019'!$B$2:$B$1108,1),'2019'!$A$2:$A$1108)),"NO","SI")</f>
        <v>NO</v>
      </c>
      <c r="H309" s="7" t="str">
        <f>IF(ISERROR(LOOKUP(2^15,SEARCH(B309,'2018'!$B$1:$B$1047,1),'2018'!$A$1:$A$1047)),"NO","SI")</f>
        <v>NO</v>
      </c>
      <c r="I309" s="8" t="str">
        <f>IF(ISERROR(LOOKUP(2^15,SEARCH(B309,'ALERTA SANITARIA'!$B$2:$B$269,1),'2018'!$A$1:$A$1047)),"NO","SI")</f>
        <v>NO</v>
      </c>
      <c r="J309" s="6" t="str">
        <f t="shared" si="2"/>
        <v>Ninguno</v>
      </c>
      <c r="K309" s="6">
        <f t="array" ref="K309">IFERROR(INDEX(Anterior!$C$1:$D$323,MATCH(B309,Anterior!$B$2:$B$323,0)+1,2),0)</f>
        <v>0</v>
      </c>
      <c r="L309" s="6" t="str">
        <f t="shared" si="3"/>
        <v>Nuevo</v>
      </c>
      <c r="M309" s="2"/>
    </row>
    <row r="310" spans="2:13" ht="15.75" customHeight="1" x14ac:dyDescent="0.25">
      <c r="B310" s="6" t="s">
        <v>637</v>
      </c>
      <c r="C310" s="7" t="str">
        <f>IF(ISERROR(LOOKUP(2^15,SEARCH(B310,'2023'!$B$3:$B$1734,1),'2023'!$A$3:$A$1734)),"NO","SI")</f>
        <v>NO</v>
      </c>
      <c r="D310" s="7" t="str">
        <f>IF(ISERROR(LOOKUP(2^15,SEARCH(B310,'2022'!$B$2:$B$1591,1),'2022'!$A$2:$A$1591)),"NO","SI")</f>
        <v>NO</v>
      </c>
      <c r="E310" s="7" t="str">
        <f>IF(ISERROR(LOOKUP(2^15,SEARCH(B310,'2021'!$B$2:$B$1494,1),'2021'!$A$2:$A$1494)),"NO","SI")</f>
        <v>NO</v>
      </c>
      <c r="F310" s="7" t="str">
        <f>IF(ISERROR(LOOKUP(2^15,SEARCH(B310,'2020'!$B$2:$B$1278,1),'2020'!$A$2:$A$1278)),"NO","SI")</f>
        <v>NO</v>
      </c>
      <c r="G310" s="7" t="str">
        <f>IF(ISERROR(LOOKUP(2^15,SEARCH(B310,'2019'!$B$2:$B$1108,1),'2019'!$A$2:$A$1108)),"NO","SI")</f>
        <v>NO</v>
      </c>
      <c r="H310" s="7" t="str">
        <f>IF(ISERROR(LOOKUP(2^15,SEARCH(B310,'2018'!$B$1:$B$1047,1),'2018'!$A$1:$A$1047)),"NO","SI")</f>
        <v>NO</v>
      </c>
      <c r="I310" s="8" t="str">
        <f>IF(ISERROR(LOOKUP(2^15,SEARCH(B310,'ALERTA SANITARIA'!$B$2:$B$269,1),'2018'!$A$1:$A$1047)),"NO","SI")</f>
        <v>SI</v>
      </c>
      <c r="J310" s="6" t="str">
        <f t="shared" si="2"/>
        <v>COFEPRIS</v>
      </c>
      <c r="K310" s="6" t="str">
        <f t="array" ref="K310">IFERROR(INDEX(Anterior!$C$1:$D$323,MATCH(B310,Anterior!$B$2:$B$323,0)+1,2),0)</f>
        <v>COFEPRIS</v>
      </c>
      <c r="L310" s="6" t="str">
        <f t="shared" si="3"/>
        <v>coinciden</v>
      </c>
      <c r="M310" s="2"/>
    </row>
    <row r="311" spans="2:13" ht="15.75" customHeight="1" x14ac:dyDescent="0.25">
      <c r="B311" s="6" t="s">
        <v>332</v>
      </c>
      <c r="C311" s="7" t="str">
        <f>IF(ISERROR(LOOKUP(2^15,SEARCH(B311,'2023'!$B$3:$B$1734,1),'2023'!$A$3:$A$1734)),"NO","SI")</f>
        <v>NO</v>
      </c>
      <c r="D311" s="7" t="str">
        <f>IF(ISERROR(LOOKUP(2^15,SEARCH(B311,'2022'!$B$2:$B$1591,1),'2022'!$A$2:$A$1591)),"NO","SI")</f>
        <v>NO</v>
      </c>
      <c r="E311" s="7" t="str">
        <f>IF(ISERROR(LOOKUP(2^15,SEARCH(B311,'2021'!$B$2:$B$1494,1),'2021'!$A$2:$A$1494)),"NO","SI")</f>
        <v>NO</v>
      </c>
      <c r="F311" s="7" t="str">
        <f>IF(ISERROR(LOOKUP(2^15,SEARCH(B311,'2020'!$B$2:$B$1278,1),'2020'!$A$2:$A$1278)),"NO","SI")</f>
        <v>NO</v>
      </c>
      <c r="G311" s="7" t="str">
        <f>IF(ISERROR(LOOKUP(2^15,SEARCH(B311,'2019'!$B$2:$B$1108,1),'2019'!$A$2:$A$1108)),"NO","SI")</f>
        <v>NO</v>
      </c>
      <c r="H311" s="7" t="str">
        <f>IF(ISERROR(LOOKUP(2^15,SEARCH(B311,'2018'!$B$1:$B$1047,1),'2018'!$A$1:$A$1047)),"NO","SI")</f>
        <v>NO</v>
      </c>
      <c r="I311" s="8" t="str">
        <f>IF(ISERROR(LOOKUP(2^15,SEARCH(B311,'ALERTA SANITARIA'!$B$2:$B$269,1),'2018'!$A$1:$A$1047)),"NO","SI")</f>
        <v>SI</v>
      </c>
      <c r="J311" s="6" t="str">
        <f t="shared" si="2"/>
        <v>COFEPRIS</v>
      </c>
      <c r="K311" s="6" t="str">
        <f t="array" ref="K311">IFERROR(INDEX(Anterior!$C$1:$D$323,MATCH(B311,Anterior!$B$2:$B$323,0)+1,2),0)</f>
        <v>COFEPRIS</v>
      </c>
      <c r="L311" s="6" t="str">
        <f t="shared" si="3"/>
        <v>coinciden</v>
      </c>
      <c r="M311" s="2"/>
    </row>
    <row r="312" spans="2:13" ht="15.75" customHeight="1" x14ac:dyDescent="0.25">
      <c r="B312" s="6" t="s">
        <v>638</v>
      </c>
      <c r="C312" s="7" t="str">
        <f>IF(ISERROR(LOOKUP(2^15,SEARCH(B312,'2023'!$B$3:$B$1734,1),'2023'!$A$3:$A$1734)),"NO","SI")</f>
        <v>SI</v>
      </c>
      <c r="D312" s="7" t="str">
        <f>IF(ISERROR(LOOKUP(2^15,SEARCH(B312,'2022'!$B$2:$B$1591,1),'2022'!$A$2:$A$1591)),"NO","SI")</f>
        <v>SI</v>
      </c>
      <c r="E312" s="7" t="str">
        <f>IF(ISERROR(LOOKUP(2^15,SEARCH(B312,'2021'!$B$2:$B$1494,1),'2021'!$A$2:$A$1494)),"NO","SI")</f>
        <v>SI</v>
      </c>
      <c r="F312" s="7" t="str">
        <f>IF(ISERROR(LOOKUP(2^15,SEARCH(B312,'2020'!$B$2:$B$1278,1),'2020'!$A$2:$A$1278)),"NO","SI")</f>
        <v>SI</v>
      </c>
      <c r="G312" s="7" t="str">
        <f>IF(ISERROR(LOOKUP(2^15,SEARCH(B312,'2019'!$B$2:$B$1108,1),'2019'!$A$2:$A$1108)),"NO","SI")</f>
        <v>SI</v>
      </c>
      <c r="H312" s="7" t="str">
        <f>IF(ISERROR(LOOKUP(2^15,SEARCH(B312,'2018'!$B$1:$B$1047,1),'2018'!$A$1:$A$1047)),"NO","SI")</f>
        <v>SI</v>
      </c>
      <c r="I312" s="8" t="str">
        <f>IF(ISERROR(LOOKUP(2^15,SEARCH(B312,'ALERTA SANITARIA'!$B$2:$B$269,1),'2018'!$A$1:$A$1047)),"NO","SI")</f>
        <v>NO</v>
      </c>
      <c r="J312" s="6" t="str">
        <f t="shared" si="2"/>
        <v>DOF</v>
      </c>
      <c r="K312" s="6">
        <f t="array" ref="K312">IFERROR(INDEX(Anterior!$C$1:$D$323,MATCH(B312,Anterior!$B$2:$B$323,0)+1,2),0)</f>
        <v>0</v>
      </c>
      <c r="L312" s="6" t="str">
        <f t="shared" si="3"/>
        <v>Nuevo</v>
      </c>
      <c r="M312" s="2"/>
    </row>
    <row r="313" spans="2:13" ht="15.75" customHeight="1" x14ac:dyDescent="0.25">
      <c r="B313" s="6" t="s">
        <v>639</v>
      </c>
      <c r="C313" s="7" t="s">
        <v>14</v>
      </c>
      <c r="D313" s="7" t="s">
        <v>14</v>
      </c>
      <c r="E313" s="7" t="s">
        <v>14</v>
      </c>
      <c r="F313" s="7" t="s">
        <v>14</v>
      </c>
      <c r="G313" s="7" t="s">
        <v>14</v>
      </c>
      <c r="H313" s="7" t="str">
        <f>IF(ISERROR(LOOKUP(2^15,SEARCH(B313,'2018'!$B$1:$B$1047,1),'2018'!$A$1:$A$1047)),"NO","SI")</f>
        <v>NO</v>
      </c>
      <c r="I313" s="8" t="str">
        <f>IF(ISERROR(LOOKUP(2^15,SEARCH(B313,'ALERTA SANITARIA'!$B$2:$B$269,1),'2018'!$A$1:$A$1047)),"NO","SI")</f>
        <v>SI</v>
      </c>
      <c r="J313" s="6" t="str">
        <f t="shared" si="2"/>
        <v>COFEPRIS</v>
      </c>
      <c r="K313" s="6" t="str">
        <f t="array" ref="K313">IFERROR(INDEX(Anterior!$C$1:$D$323,MATCH(B313,Anterior!$B$2:$B$323,0)+1,2),0)</f>
        <v>COFEPRIS</v>
      </c>
      <c r="L313" s="6" t="str">
        <f t="shared" si="3"/>
        <v>coinciden</v>
      </c>
      <c r="M313" s="2"/>
    </row>
    <row r="314" spans="2:13" ht="15.75" customHeight="1" x14ac:dyDescent="0.25">
      <c r="B314" s="6" t="s">
        <v>640</v>
      </c>
      <c r="C314" s="7" t="str">
        <f>IF(ISERROR(LOOKUP(2^15,SEARCH(B314,'2023'!$B$3:$B$1734,1),'2023'!$A$3:$A$1734)),"NO","SI")</f>
        <v>NO</v>
      </c>
      <c r="D314" s="7" t="str">
        <f>IF(ISERROR(LOOKUP(2^15,SEARCH(B314,'2022'!$B$2:$B$1591,1),'2022'!$A$2:$A$1591)),"NO","SI")</f>
        <v>NO</v>
      </c>
      <c r="E314" s="7" t="str">
        <f>IF(ISERROR(LOOKUP(2^15,SEARCH(B314,'2021'!$B$2:$B$1494,1),'2021'!$A$2:$A$1494)),"NO","SI")</f>
        <v>NO</v>
      </c>
      <c r="F314" s="7" t="str">
        <f>IF(ISERROR(LOOKUP(2^15,SEARCH(B314,'2020'!$B$2:$B$1278,1),'2020'!$A$2:$A$1278)),"NO","SI")</f>
        <v>NO</v>
      </c>
      <c r="G314" s="7" t="str">
        <f>IF(ISERROR(LOOKUP(2^15,SEARCH(B314,'2019'!$B$2:$B$1108,1),'2019'!$A$2:$A$1108)),"NO","SI")</f>
        <v>NO</v>
      </c>
      <c r="H314" s="7" t="str">
        <f>IF(ISERROR(LOOKUP(2^15,SEARCH(B314,'2018'!$B$1:$B$1047,1),'2018'!$A$1:$A$1047)),"NO","SI")</f>
        <v>NO</v>
      </c>
      <c r="I314" s="8" t="str">
        <f>IF(ISERROR(LOOKUP(2^15,SEARCH(B314,'ALERTA SANITARIA'!$B$2:$B$269,1),'2018'!$A$1:$A$1047)),"NO","SI")</f>
        <v>SI</v>
      </c>
      <c r="J314" s="6" t="str">
        <f t="shared" si="2"/>
        <v>COFEPRIS</v>
      </c>
      <c r="K314" s="6" t="str">
        <f t="array" ref="K314">IFERROR(INDEX(Anterior!$C$1:$D$323,MATCH(B314,Anterior!$B$2:$B$323,0)+1,2),0)</f>
        <v>COFEPRIS</v>
      </c>
      <c r="L314" s="6" t="str">
        <f t="shared" si="3"/>
        <v>coinciden</v>
      </c>
      <c r="M314" s="2"/>
    </row>
    <row r="315" spans="2:13" ht="15.75" customHeight="1" x14ac:dyDescent="0.25">
      <c r="B315" s="6" t="s">
        <v>641</v>
      </c>
      <c r="C315" s="7" t="str">
        <f>IF(ISERROR(LOOKUP(2^15,SEARCH(B315,'2023'!$B$3:$B$1734,1),'2023'!$A$3:$A$1734)),"NO","SI")</f>
        <v>NO</v>
      </c>
      <c r="D315" s="7" t="str">
        <f>IF(ISERROR(LOOKUP(2^15,SEARCH(B315,'2022'!$B$2:$B$1591,1),'2022'!$A$2:$A$1591)),"NO","SI")</f>
        <v>NO</v>
      </c>
      <c r="E315" s="7" t="str">
        <f>IF(ISERROR(LOOKUP(2^15,SEARCH(B315,'2021'!$B$2:$B$1494,1),'2021'!$A$2:$A$1494)),"NO","SI")</f>
        <v>NO</v>
      </c>
      <c r="F315" s="7" t="str">
        <f>IF(ISERROR(LOOKUP(2^15,SEARCH(B315,'2020'!$B$2:$B$1278,1),'2020'!$A$2:$A$1278)),"NO","SI")</f>
        <v>NO</v>
      </c>
      <c r="G315" s="7" t="str">
        <f>IF(ISERROR(LOOKUP(2^15,SEARCH(B315,'2019'!$B$2:$B$1108,1),'2019'!$A$2:$A$1108)),"NO","SI")</f>
        <v>NO</v>
      </c>
      <c r="H315" s="7" t="str">
        <f>IF(ISERROR(LOOKUP(2^15,SEARCH(B315,'2018'!$B$1:$B$1047,1),'2018'!$A$1:$A$1047)),"NO","SI")</f>
        <v>NO</v>
      </c>
      <c r="I315" s="8" t="str">
        <f>IF(ISERROR(LOOKUP(2^15,SEARCH(B315,'ALERTA SANITARIA'!$B$2:$B$269,1),'2018'!$A$1:$A$1047)),"NO","SI")</f>
        <v>NO</v>
      </c>
      <c r="J315" s="6" t="str">
        <f t="shared" si="2"/>
        <v>Ninguno</v>
      </c>
      <c r="K315" s="6">
        <f t="array" ref="K315">IFERROR(INDEX(Anterior!$C$1:$D$323,MATCH(B315,Anterior!$B$2:$B$323,0)+1,2),0)</f>
        <v>0</v>
      </c>
      <c r="L315" s="6" t="str">
        <f t="shared" si="3"/>
        <v>Nuevo</v>
      </c>
      <c r="M315" s="2"/>
    </row>
    <row r="316" spans="2:13" ht="15.75" customHeight="1" x14ac:dyDescent="0.25">
      <c r="B316" s="6" t="s">
        <v>642</v>
      </c>
      <c r="C316" s="7" t="str">
        <f>IF(ISERROR(LOOKUP(2^15,SEARCH(B316,'2023'!$B$3:$B$1734,1),'2023'!$A$3:$A$1734)),"NO","SI")</f>
        <v>NO</v>
      </c>
      <c r="D316" s="7" t="str">
        <f>IF(ISERROR(LOOKUP(2^15,SEARCH(B316,'2022'!$B$2:$B$1591,1),'2022'!$A$2:$A$1591)),"NO","SI")</f>
        <v>NO</v>
      </c>
      <c r="E316" s="7" t="str">
        <f>IF(ISERROR(LOOKUP(2^15,SEARCH(B316,'2021'!$B$2:$B$1494,1),'2021'!$A$2:$A$1494)),"NO","SI")</f>
        <v>NO</v>
      </c>
      <c r="F316" s="7" t="str">
        <f>IF(ISERROR(LOOKUP(2^15,SEARCH(B316,'2020'!$B$2:$B$1278,1),'2020'!$A$2:$A$1278)),"NO","SI")</f>
        <v>NO</v>
      </c>
      <c r="G316" s="7" t="str">
        <f>IF(ISERROR(LOOKUP(2^15,SEARCH(B316,'2019'!$B$2:$B$1108,1),'2019'!$A$2:$A$1108)),"NO","SI")</f>
        <v>NO</v>
      </c>
      <c r="H316" s="7" t="str">
        <f>IF(ISERROR(LOOKUP(2^15,SEARCH(B316,'2018'!$B$1:$B$1047,1),'2018'!$A$1:$A$1047)),"NO","SI")</f>
        <v>NO</v>
      </c>
      <c r="I316" s="8" t="str">
        <f>IF(ISERROR(LOOKUP(2^15,SEARCH(B316,'ALERTA SANITARIA'!$B$2:$B$269,1),'2018'!$A$1:$A$1047)),"NO","SI")</f>
        <v>NO</v>
      </c>
      <c r="J316" s="6" t="str">
        <f t="shared" si="2"/>
        <v>Ninguno</v>
      </c>
      <c r="K316" s="6">
        <f t="array" ref="K316">IFERROR(INDEX(Anterior!$C$1:$D$323,MATCH(B316,Anterior!$B$2:$B$323,0)+1,2),0)</f>
        <v>0</v>
      </c>
      <c r="L316" s="6" t="str">
        <f t="shared" si="3"/>
        <v>Nuevo</v>
      </c>
      <c r="M316" s="2"/>
    </row>
    <row r="317" spans="2:13" ht="15.75" customHeight="1" x14ac:dyDescent="0.25">
      <c r="B317" s="6" t="s">
        <v>643</v>
      </c>
      <c r="C317" s="7" t="str">
        <f>IF(ISERROR(LOOKUP(2^15,SEARCH(B317,'2023'!$B$3:$B$1734,1),'2023'!$A$3:$A$1734)),"NO","SI")</f>
        <v>SI</v>
      </c>
      <c r="D317" s="7" t="str">
        <f>IF(ISERROR(LOOKUP(2^15,SEARCH(B317,'2022'!$B$2:$B$1591,1),'2022'!$A$2:$A$1591)),"NO","SI")</f>
        <v>SI</v>
      </c>
      <c r="E317" s="7" t="str">
        <f>IF(ISERROR(LOOKUP(2^15,SEARCH(B317,'2021'!$B$2:$B$1494,1),'2021'!$A$2:$A$1494)),"NO","SI")</f>
        <v>SI</v>
      </c>
      <c r="F317" s="7" t="str">
        <f>IF(ISERROR(LOOKUP(2^15,SEARCH(B317,'2020'!$B$2:$B$1278,1),'2020'!$A$2:$A$1278)),"NO","SI")</f>
        <v>SI</v>
      </c>
      <c r="G317" s="7" t="str">
        <f>IF(ISERROR(LOOKUP(2^15,SEARCH(B317,'2019'!$B$2:$B$1108,1),'2019'!$A$2:$A$1108)),"NO","SI")</f>
        <v>SI</v>
      </c>
      <c r="H317" s="7" t="str">
        <f>IF(ISERROR(LOOKUP(2^15,SEARCH(B317,'2018'!$B$1:$B$1047,1),'2018'!$A$1:$A$1047)),"NO","SI")</f>
        <v>SI</v>
      </c>
      <c r="I317" s="8" t="str">
        <f>IF(ISERROR(LOOKUP(2^15,SEARCH(B317,'ALERTA SANITARIA'!$B$2:$B$269,1),'2018'!$A$1:$A$1047)),"NO","SI")</f>
        <v>NO</v>
      </c>
      <c r="J317" s="6" t="str">
        <f t="shared" si="2"/>
        <v>DOF</v>
      </c>
      <c r="K317" s="6">
        <f t="array" ref="K317">IFERROR(INDEX(Anterior!$C$1:$D$323,MATCH(B317,Anterior!$B$2:$B$323,0)+1,2),0)</f>
        <v>0</v>
      </c>
      <c r="L317" s="6" t="str">
        <f t="shared" si="3"/>
        <v>Nuevo</v>
      </c>
      <c r="M317" s="2"/>
    </row>
    <row r="318" spans="2:13" ht="15.75" customHeight="1" x14ac:dyDescent="0.25">
      <c r="B318" s="6" t="s">
        <v>644</v>
      </c>
      <c r="C318" s="7" t="str">
        <f>IF(ISERROR(LOOKUP(2^15,SEARCH(B318,'2023'!$B$3:$B$1734,1),'2023'!$A$3:$A$1734)),"NO","SI")</f>
        <v>SI</v>
      </c>
      <c r="D318" s="7" t="str">
        <f>IF(ISERROR(LOOKUP(2^15,SEARCH(B318,'2022'!$B$2:$B$1591,1),'2022'!$A$2:$A$1591)),"NO","SI")</f>
        <v>SI</v>
      </c>
      <c r="E318" s="7" t="str">
        <f>IF(ISERROR(LOOKUP(2^15,SEARCH(B318,'2021'!$B$2:$B$1494,1),'2021'!$A$2:$A$1494)),"NO","SI")</f>
        <v>SI</v>
      </c>
      <c r="F318" s="7" t="str">
        <f>IF(ISERROR(LOOKUP(2^15,SEARCH(B318,'2020'!$B$2:$B$1278,1),'2020'!$A$2:$A$1278)),"NO","SI")</f>
        <v>NO</v>
      </c>
      <c r="G318" s="7" t="str">
        <f>IF(ISERROR(LOOKUP(2^15,SEARCH(B318,'2019'!$B$2:$B$1108,1),'2019'!$A$2:$A$1108)),"NO","SI")</f>
        <v>NO</v>
      </c>
      <c r="H318" s="7" t="str">
        <f>IF(ISERROR(LOOKUP(2^15,SEARCH(B318,'2018'!$B$1:$B$1047,1),'2018'!$A$1:$A$1047)),"NO","SI")</f>
        <v>NO</v>
      </c>
      <c r="I318" s="8" t="str">
        <f>IF(ISERROR(LOOKUP(2^15,SEARCH(B318,'ALERTA SANITARIA'!$B$2:$B$269,1),'2018'!$A$1:$A$1047)),"NO","SI")</f>
        <v>NO</v>
      </c>
      <c r="J318" s="6" t="str">
        <f t="shared" si="2"/>
        <v>DOF</v>
      </c>
      <c r="K318" s="6">
        <f t="array" ref="K318">IFERROR(INDEX(Anterior!$C$1:$D$323,MATCH(B318,Anterior!$B$2:$B$323,0)+1,2),0)</f>
        <v>0</v>
      </c>
      <c r="L318" s="6" t="str">
        <f t="shared" si="3"/>
        <v>Nuevo</v>
      </c>
      <c r="M318" s="2"/>
    </row>
    <row r="319" spans="2:13" ht="15.75" customHeight="1" x14ac:dyDescent="0.25">
      <c r="B319" s="6" t="s">
        <v>645</v>
      </c>
      <c r="C319" s="7" t="str">
        <f>IF(ISERROR(LOOKUP(2^15,SEARCH(B319,'2023'!$B$3:$B$1734,1),'2023'!$A$3:$A$1734)),"NO","SI")</f>
        <v>NO</v>
      </c>
      <c r="D319" s="7" t="str">
        <f>IF(ISERROR(LOOKUP(2^15,SEARCH(B319,'2022'!$B$2:$B$1591,1),'2022'!$A$2:$A$1591)),"NO","SI")</f>
        <v>NO</v>
      </c>
      <c r="E319" s="7" t="str">
        <f>IF(ISERROR(LOOKUP(2^15,SEARCH(B319,'2021'!$B$2:$B$1494,1),'2021'!$A$2:$A$1494)),"NO","SI")</f>
        <v>NO</v>
      </c>
      <c r="F319" s="7" t="str">
        <f>IF(ISERROR(LOOKUP(2^15,SEARCH(B319,'2020'!$B$2:$B$1278,1),'2020'!$A$2:$A$1278)),"NO","SI")</f>
        <v>NO</v>
      </c>
      <c r="G319" s="7" t="str">
        <f>IF(ISERROR(LOOKUP(2^15,SEARCH(B319,'2019'!$B$2:$B$1108,1),'2019'!$A$2:$A$1108)),"NO","SI")</f>
        <v>NO</v>
      </c>
      <c r="H319" s="7" t="str">
        <f>IF(ISERROR(LOOKUP(2^15,SEARCH(B319,'2018'!$B$1:$B$1047,1),'2018'!$A$1:$A$1047)),"NO","SI")</f>
        <v>NO</v>
      </c>
      <c r="I319" s="8" t="str">
        <f>IF(ISERROR(LOOKUP(2^15,SEARCH(B319,'ALERTA SANITARIA'!$B$2:$B$269,1),'2018'!$A$1:$A$1047)),"NO","SI")</f>
        <v>NO</v>
      </c>
      <c r="J319" s="6" t="str">
        <f t="shared" si="2"/>
        <v>Ninguno</v>
      </c>
      <c r="K319" s="6">
        <f t="array" ref="K319">IFERROR(INDEX(Anterior!$C$1:$D$323,MATCH(B319,Anterior!$B$2:$B$323,0)+1,2),0)</f>
        <v>0</v>
      </c>
      <c r="L319" s="6" t="str">
        <f t="shared" si="3"/>
        <v>Nuevo</v>
      </c>
      <c r="M319" s="2"/>
    </row>
    <row r="320" spans="2:13" ht="15.75" customHeight="1" x14ac:dyDescent="0.25">
      <c r="B320" s="6" t="s">
        <v>646</v>
      </c>
      <c r="C320" s="7" t="str">
        <f>IF(ISERROR(LOOKUP(2^15,SEARCH(B320,'2023'!$B$3:$B$1734,1),'2023'!$A$3:$A$1734)),"NO","SI")</f>
        <v>NO</v>
      </c>
      <c r="D320" s="7" t="str">
        <f>IF(ISERROR(LOOKUP(2^15,SEARCH(B320,'2022'!$B$2:$B$1591,1),'2022'!$A$2:$A$1591)),"NO","SI")</f>
        <v>NO</v>
      </c>
      <c r="E320" s="7" t="str">
        <f>IF(ISERROR(LOOKUP(2^15,SEARCH(B320,'2021'!$B$2:$B$1494,1),'2021'!$A$2:$A$1494)),"NO","SI")</f>
        <v>NO</v>
      </c>
      <c r="F320" s="7" t="str">
        <f>IF(ISERROR(LOOKUP(2^15,SEARCH(B320,'2020'!$B$2:$B$1278,1),'2020'!$A$2:$A$1278)),"NO","SI")</f>
        <v>NO</v>
      </c>
      <c r="G320" s="7" t="str">
        <f>IF(ISERROR(LOOKUP(2^15,SEARCH(B320,'2019'!$B$2:$B$1108,1),'2019'!$A$2:$A$1108)),"NO","SI")</f>
        <v>NO</v>
      </c>
      <c r="H320" s="7" t="str">
        <f>IF(ISERROR(LOOKUP(2^15,SEARCH(B320,'2018'!$B$1:$B$1047,1),'2018'!$A$1:$A$1047)),"NO","SI")</f>
        <v>NO</v>
      </c>
      <c r="I320" s="8" t="str">
        <f>IF(ISERROR(LOOKUP(2^15,SEARCH(B320,'ALERTA SANITARIA'!$B$2:$B$269,1),'2018'!$A$1:$A$1047)),"NO","SI")</f>
        <v>NO</v>
      </c>
      <c r="J320" s="6" t="str">
        <f t="shared" si="2"/>
        <v>Ninguno</v>
      </c>
      <c r="K320" s="6">
        <f t="array" ref="K320">IFERROR(INDEX(Anterior!$C$1:$D$323,MATCH(B320,Anterior!$B$2:$B$323,0)+1,2),0)</f>
        <v>0</v>
      </c>
      <c r="L320" s="6" t="str">
        <f t="shared" si="3"/>
        <v>Nuevo</v>
      </c>
      <c r="M320" s="2"/>
    </row>
    <row r="321" spans="2:13" ht="15.75" customHeight="1" x14ac:dyDescent="0.25">
      <c r="B321" s="6" t="s">
        <v>647</v>
      </c>
      <c r="C321" s="7" t="str">
        <f>IF(ISERROR(LOOKUP(2^15,SEARCH(B321,'2023'!$B$3:$B$1734,1),'2023'!$A$3:$A$1734)),"NO","SI")</f>
        <v>SI</v>
      </c>
      <c r="D321" s="7" t="str">
        <f>IF(ISERROR(LOOKUP(2^15,SEARCH(B321,'2022'!$B$2:$B$1591,1),'2022'!$A$2:$A$1591)),"NO","SI")</f>
        <v>SI</v>
      </c>
      <c r="E321" s="7" t="str">
        <f>IF(ISERROR(LOOKUP(2^15,SEARCH(B321,'2021'!$B$2:$B$1494,1),'2021'!$A$2:$A$1494)),"NO","SI")</f>
        <v>SI</v>
      </c>
      <c r="F321" s="7" t="str">
        <f>IF(ISERROR(LOOKUP(2^15,SEARCH(B321,'2020'!$B$2:$B$1278,1),'2020'!$A$2:$A$1278)),"NO","SI")</f>
        <v>SI</v>
      </c>
      <c r="G321" s="7" t="str">
        <f>IF(ISERROR(LOOKUP(2^15,SEARCH(B321,'2019'!$B$2:$B$1108,1),'2019'!$A$2:$A$1108)),"NO","SI")</f>
        <v>SI</v>
      </c>
      <c r="H321" s="7" t="str">
        <f>IF(ISERROR(LOOKUP(2^15,SEARCH(B321,'2018'!$B$1:$B$1047,1),'2018'!$A$1:$A$1047)),"NO","SI")</f>
        <v>SI</v>
      </c>
      <c r="I321" s="8" t="str">
        <f>IF(ISERROR(LOOKUP(2^15,SEARCH(B321,'ALERTA SANITARIA'!$B$2:$B$269,1),'2018'!$A$1:$A$1047)),"NO","SI")</f>
        <v>NO</v>
      </c>
      <c r="J321" s="6" t="str">
        <f t="shared" si="2"/>
        <v>DOF</v>
      </c>
      <c r="K321" s="6">
        <f t="array" ref="K321">IFERROR(INDEX(Anterior!$C$1:$D$323,MATCH(B321,Anterior!$B$2:$B$323,0)+1,2),0)</f>
        <v>0</v>
      </c>
      <c r="L321" s="6" t="str">
        <f t="shared" si="3"/>
        <v>Nuevo</v>
      </c>
      <c r="M321" s="2"/>
    </row>
    <row r="322" spans="2:13" ht="15.75" customHeight="1" x14ac:dyDescent="0.25">
      <c r="B322" s="6" t="s">
        <v>648</v>
      </c>
      <c r="C322" s="7" t="str">
        <f>IF(ISERROR(LOOKUP(2^15,SEARCH(B322,'2023'!$B$3:$B$1734,1),'2023'!$A$3:$A$1734)),"NO","SI")</f>
        <v>NO</v>
      </c>
      <c r="D322" s="7" t="str">
        <f>IF(ISERROR(LOOKUP(2^15,SEARCH(B322,'2022'!$B$2:$B$1591,1),'2022'!$A$2:$A$1591)),"NO","SI")</f>
        <v>NO</v>
      </c>
      <c r="E322" s="7" t="str">
        <f>IF(ISERROR(LOOKUP(2^15,SEARCH(B322,'2021'!$B$2:$B$1494,1),'2021'!$A$2:$A$1494)),"NO","SI")</f>
        <v>NO</v>
      </c>
      <c r="F322" s="7" t="str">
        <f>IF(ISERROR(LOOKUP(2^15,SEARCH(B322,'2020'!$B$2:$B$1278,1),'2020'!$A$2:$A$1278)),"NO","SI")</f>
        <v>NO</v>
      </c>
      <c r="G322" s="7" t="str">
        <f>IF(ISERROR(LOOKUP(2^15,SEARCH(B322,'2019'!$B$2:$B$1108,1),'2019'!$A$2:$A$1108)),"NO","SI")</f>
        <v>NO</v>
      </c>
      <c r="H322" s="7" t="str">
        <f>IF(ISERROR(LOOKUP(2^15,SEARCH(B322,'2018'!$B$1:$B$1047,1),'2018'!$A$1:$A$1047)),"NO","SI")</f>
        <v>NO</v>
      </c>
      <c r="I322" s="8" t="str">
        <f>IF(ISERROR(LOOKUP(2^15,SEARCH(B322,'ALERTA SANITARIA'!$B$2:$B$269,1),'2018'!$A$1:$A$1047)),"NO","SI")</f>
        <v>NO</v>
      </c>
      <c r="J322" s="6" t="str">
        <f t="shared" si="2"/>
        <v>Ninguno</v>
      </c>
      <c r="K322" s="6" t="str">
        <f t="array" ref="K322">IFERROR(INDEX(Anterior!$C$1:$D$323,MATCH(B322,Anterior!$B$2:$B$323,0)+1,2),0)</f>
        <v>Ninguno</v>
      </c>
      <c r="L322" s="6" t="str">
        <f t="shared" si="3"/>
        <v>coinciden</v>
      </c>
      <c r="M322" s="2"/>
    </row>
    <row r="323" spans="2:13" ht="15.75" customHeight="1" x14ac:dyDescent="0.25">
      <c r="B323" s="6" t="s">
        <v>649</v>
      </c>
      <c r="C323" s="7" t="str">
        <f>IF(ISERROR(LOOKUP(2^15,SEARCH(B323,'2023'!$B$3:$B$1734,1),'2023'!$A$3:$A$1734)),"NO","SI")</f>
        <v>NO</v>
      </c>
      <c r="D323" s="7" t="str">
        <f>IF(ISERROR(LOOKUP(2^15,SEARCH(B323,'2022'!$B$2:$B$1591,1),'2022'!$A$2:$A$1591)),"NO","SI")</f>
        <v>NO</v>
      </c>
      <c r="E323" s="7" t="str">
        <f>IF(ISERROR(LOOKUP(2^15,SEARCH(B323,'2021'!$B$2:$B$1494,1),'2021'!$A$2:$A$1494)),"NO","SI")</f>
        <v>NO</v>
      </c>
      <c r="F323" s="7" t="str">
        <f>IF(ISERROR(LOOKUP(2^15,SEARCH(B323,'2020'!$B$2:$B$1278,1),'2020'!$A$2:$A$1278)),"NO","SI")</f>
        <v>NO</v>
      </c>
      <c r="G323" s="7" t="str">
        <f>IF(ISERROR(LOOKUP(2^15,SEARCH(B323,'2019'!$B$2:$B$1108,1),'2019'!$A$2:$A$1108)),"NO","SI")</f>
        <v>NO</v>
      </c>
      <c r="H323" s="7" t="str">
        <f>IF(ISERROR(LOOKUP(2^15,SEARCH(B323,'2018'!$B$1:$B$1047,1),'2018'!$A$1:$A$1047)),"NO","SI")</f>
        <v>NO</v>
      </c>
      <c r="I323" s="8" t="str">
        <f>IF(ISERROR(LOOKUP(2^15,SEARCH(B323,'ALERTA SANITARIA'!$B$2:$B$269,1),'2018'!$A$1:$A$1047)),"NO","SI")</f>
        <v>NO</v>
      </c>
      <c r="J323" s="6" t="str">
        <f t="shared" si="2"/>
        <v>Ninguno</v>
      </c>
      <c r="K323" s="6">
        <f t="array" ref="K323">IFERROR(INDEX(Anterior!$C$1:$D$323,MATCH(B323,Anterior!$B$2:$B$323,0)+1,2),0)</f>
        <v>0</v>
      </c>
      <c r="L323" s="6" t="str">
        <f t="shared" si="3"/>
        <v>Nuevo</v>
      </c>
      <c r="M323" s="2"/>
    </row>
    <row r="324" spans="2:13" ht="15.75" customHeight="1" x14ac:dyDescent="0.25">
      <c r="B324" s="1"/>
      <c r="M324" s="2"/>
    </row>
    <row r="325" spans="2:13" ht="15.75" customHeight="1" x14ac:dyDescent="0.25">
      <c r="B325" s="1"/>
      <c r="M325" s="2"/>
    </row>
    <row r="326" spans="2:13" ht="15.75" customHeight="1" x14ac:dyDescent="0.25">
      <c r="B326" s="1"/>
      <c r="M326" s="2"/>
    </row>
    <row r="327" spans="2:13" ht="15.75" customHeight="1" x14ac:dyDescent="0.25">
      <c r="B327" s="1"/>
      <c r="M327" s="2"/>
    </row>
    <row r="328" spans="2:13" ht="15.75" customHeight="1" x14ac:dyDescent="0.25">
      <c r="B328" s="1"/>
      <c r="M328" s="2"/>
    </row>
    <row r="329" spans="2:13" ht="15.75" customHeight="1" x14ac:dyDescent="0.25">
      <c r="B329" s="1"/>
      <c r="M329" s="2"/>
    </row>
    <row r="330" spans="2:13" ht="15.75" customHeight="1" x14ac:dyDescent="0.25">
      <c r="B330" s="1"/>
      <c r="M330" s="2"/>
    </row>
    <row r="331" spans="2:13" ht="15.75" customHeight="1" x14ac:dyDescent="0.25">
      <c r="B331" s="1"/>
      <c r="M331" s="2"/>
    </row>
    <row r="332" spans="2:13" ht="15.75" customHeight="1" x14ac:dyDescent="0.25">
      <c r="B332" s="1"/>
      <c r="M332" s="2"/>
    </row>
    <row r="333" spans="2:13" ht="15.75" customHeight="1" x14ac:dyDescent="0.25">
      <c r="B333" s="1"/>
      <c r="M333" s="2"/>
    </row>
    <row r="334" spans="2:13" ht="15.75" customHeight="1" x14ac:dyDescent="0.25">
      <c r="B334" s="1"/>
      <c r="M334" s="2"/>
    </row>
    <row r="335" spans="2:13" ht="15.75" customHeight="1" x14ac:dyDescent="0.25">
      <c r="B335" s="1"/>
      <c r="M335" s="2"/>
    </row>
    <row r="336" spans="2:13" ht="15.75" customHeight="1" x14ac:dyDescent="0.25">
      <c r="B336" s="1"/>
      <c r="M336" s="2"/>
    </row>
    <row r="337" spans="2:13" ht="15.75" customHeight="1" x14ac:dyDescent="0.25">
      <c r="B337" s="1"/>
      <c r="M337" s="2"/>
    </row>
    <row r="338" spans="2:13" ht="15.75" customHeight="1" x14ac:dyDescent="0.25">
      <c r="B338" s="1"/>
      <c r="M338" s="2"/>
    </row>
    <row r="339" spans="2:13" ht="15.75" customHeight="1" x14ac:dyDescent="0.25">
      <c r="B339" s="1"/>
      <c r="M339" s="2"/>
    </row>
    <row r="340" spans="2:13" ht="15.75" customHeight="1" x14ac:dyDescent="0.25">
      <c r="B340" s="1"/>
      <c r="M340" s="2"/>
    </row>
    <row r="341" spans="2:13" ht="15.75" customHeight="1" x14ac:dyDescent="0.25">
      <c r="B341" s="1"/>
      <c r="M341" s="2"/>
    </row>
    <row r="342" spans="2:13" ht="15.75" customHeight="1" x14ac:dyDescent="0.25">
      <c r="B342" s="1"/>
      <c r="M342" s="2"/>
    </row>
    <row r="343" spans="2:13" ht="15.75" customHeight="1" x14ac:dyDescent="0.25">
      <c r="B343" s="1"/>
      <c r="M343" s="2"/>
    </row>
    <row r="344" spans="2:13" ht="15.75" customHeight="1" x14ac:dyDescent="0.25">
      <c r="B344" s="1"/>
      <c r="M344" s="2"/>
    </row>
    <row r="345" spans="2:13" ht="15.75" customHeight="1" x14ac:dyDescent="0.25">
      <c r="B345" s="1"/>
      <c r="M345" s="2"/>
    </row>
    <row r="346" spans="2:13" ht="15.75" customHeight="1" x14ac:dyDescent="0.25">
      <c r="B346" s="1"/>
      <c r="M346" s="2"/>
    </row>
    <row r="347" spans="2:13" ht="15.75" customHeight="1" x14ac:dyDescent="0.25">
      <c r="B347" s="1"/>
      <c r="M347" s="2"/>
    </row>
    <row r="348" spans="2:13" ht="15.75" customHeight="1" x14ac:dyDescent="0.25">
      <c r="B348" s="1"/>
      <c r="M348" s="2"/>
    </row>
    <row r="349" spans="2:13" ht="15.75" customHeight="1" x14ac:dyDescent="0.25">
      <c r="B349" s="1"/>
      <c r="M349" s="2"/>
    </row>
    <row r="350" spans="2:13" ht="15.75" customHeight="1" x14ac:dyDescent="0.25">
      <c r="B350" s="1"/>
      <c r="M350" s="2"/>
    </row>
    <row r="351" spans="2:13" ht="15.75" customHeight="1" x14ac:dyDescent="0.25">
      <c r="B351" s="1"/>
      <c r="M351" s="2"/>
    </row>
    <row r="352" spans="2:13" ht="15.75" customHeight="1" x14ac:dyDescent="0.25">
      <c r="B352" s="1"/>
      <c r="M352" s="2"/>
    </row>
    <row r="353" spans="2:13" ht="15.75" customHeight="1" x14ac:dyDescent="0.25">
      <c r="B353" s="1"/>
      <c r="M353" s="2"/>
    </row>
    <row r="354" spans="2:13" ht="15.75" customHeight="1" x14ac:dyDescent="0.25">
      <c r="B354" s="1"/>
      <c r="M354" s="2"/>
    </row>
    <row r="355" spans="2:13" ht="15.75" customHeight="1" x14ac:dyDescent="0.25">
      <c r="B355" s="1"/>
      <c r="M355" s="2"/>
    </row>
    <row r="356" spans="2:13" ht="15.75" customHeight="1" x14ac:dyDescent="0.25">
      <c r="B356" s="1"/>
      <c r="M356" s="2"/>
    </row>
    <row r="357" spans="2:13" ht="15.75" customHeight="1" x14ac:dyDescent="0.25">
      <c r="B357" s="1"/>
      <c r="M357" s="2"/>
    </row>
    <row r="358" spans="2:13" ht="15.75" customHeight="1" x14ac:dyDescent="0.25">
      <c r="B358" s="1"/>
      <c r="M358" s="2"/>
    </row>
    <row r="359" spans="2:13" ht="15.75" customHeight="1" x14ac:dyDescent="0.25">
      <c r="B359" s="1"/>
      <c r="M359" s="2"/>
    </row>
    <row r="360" spans="2:13" ht="15.75" customHeight="1" x14ac:dyDescent="0.25">
      <c r="B360" s="1"/>
      <c r="M360" s="2"/>
    </row>
    <row r="361" spans="2:13" ht="15.75" customHeight="1" x14ac:dyDescent="0.25">
      <c r="B361" s="1"/>
      <c r="M361" s="2"/>
    </row>
    <row r="362" spans="2:13" ht="15.75" customHeight="1" x14ac:dyDescent="0.25">
      <c r="B362" s="1"/>
      <c r="M362" s="2"/>
    </row>
    <row r="363" spans="2:13" ht="15.75" customHeight="1" x14ac:dyDescent="0.25">
      <c r="B363" s="1"/>
      <c r="M363" s="2"/>
    </row>
    <row r="364" spans="2:13" ht="15.75" customHeight="1" x14ac:dyDescent="0.25">
      <c r="B364" s="1"/>
      <c r="M364" s="2"/>
    </row>
    <row r="365" spans="2:13" ht="15.75" customHeight="1" x14ac:dyDescent="0.25">
      <c r="B365" s="1"/>
      <c r="M365" s="2"/>
    </row>
    <row r="366" spans="2:13" ht="15.75" customHeight="1" x14ac:dyDescent="0.25">
      <c r="B366" s="1"/>
      <c r="M366" s="2"/>
    </row>
    <row r="367" spans="2:13" ht="15.75" customHeight="1" x14ac:dyDescent="0.25">
      <c r="B367" s="1"/>
      <c r="M367" s="2"/>
    </row>
    <row r="368" spans="2:13" ht="15.75" customHeight="1" x14ac:dyDescent="0.25">
      <c r="B368" s="1"/>
      <c r="M368" s="2"/>
    </row>
    <row r="369" spans="2:13" ht="15.75" customHeight="1" x14ac:dyDescent="0.25">
      <c r="B369" s="1"/>
      <c r="M369" s="2"/>
    </row>
    <row r="370" spans="2:13" ht="15.75" customHeight="1" x14ac:dyDescent="0.25">
      <c r="B370" s="1"/>
      <c r="M370" s="2"/>
    </row>
    <row r="371" spans="2:13" ht="15.75" customHeight="1" x14ac:dyDescent="0.25">
      <c r="B371" s="1"/>
      <c r="M371" s="2"/>
    </row>
    <row r="372" spans="2:13" ht="15.75" customHeight="1" x14ac:dyDescent="0.25">
      <c r="B372" s="1"/>
      <c r="M372" s="2"/>
    </row>
    <row r="373" spans="2:13" ht="15.75" customHeight="1" x14ac:dyDescent="0.25">
      <c r="B373" s="1"/>
      <c r="M373" s="2"/>
    </row>
    <row r="374" spans="2:13" ht="15.75" customHeight="1" x14ac:dyDescent="0.25">
      <c r="B374" s="1"/>
      <c r="M374" s="2"/>
    </row>
    <row r="375" spans="2:13" ht="15.75" customHeight="1" x14ac:dyDescent="0.25">
      <c r="B375" s="1"/>
      <c r="M375" s="2"/>
    </row>
    <row r="376" spans="2:13" ht="15.75" customHeight="1" x14ac:dyDescent="0.25">
      <c r="B376" s="1"/>
      <c r="M376" s="2"/>
    </row>
    <row r="377" spans="2:13" ht="15.75" customHeight="1" x14ac:dyDescent="0.25">
      <c r="B377" s="1"/>
      <c r="M377" s="2"/>
    </row>
    <row r="378" spans="2:13" ht="15.75" customHeight="1" x14ac:dyDescent="0.25">
      <c r="B378" s="1"/>
      <c r="M378" s="2"/>
    </row>
    <row r="379" spans="2:13" ht="15.75" customHeight="1" x14ac:dyDescent="0.25">
      <c r="B379" s="1"/>
      <c r="M379" s="2"/>
    </row>
    <row r="380" spans="2:13" ht="15.75" customHeight="1" x14ac:dyDescent="0.25">
      <c r="B380" s="1"/>
      <c r="M380" s="2"/>
    </row>
    <row r="381" spans="2:13" ht="15.75" customHeight="1" x14ac:dyDescent="0.25">
      <c r="B381" s="1"/>
      <c r="M381" s="2"/>
    </row>
    <row r="382" spans="2:13" ht="15.75" customHeight="1" x14ac:dyDescent="0.25">
      <c r="B382" s="1"/>
      <c r="M382" s="2"/>
    </row>
    <row r="383" spans="2:13" ht="15.75" customHeight="1" x14ac:dyDescent="0.25">
      <c r="B383" s="1"/>
      <c r="M383" s="2"/>
    </row>
    <row r="384" spans="2:13" ht="15.75" customHeight="1" x14ac:dyDescent="0.25">
      <c r="B384" s="1"/>
      <c r="M384" s="2"/>
    </row>
    <row r="385" spans="2:13" ht="15.75" customHeight="1" x14ac:dyDescent="0.25">
      <c r="B385" s="1"/>
      <c r="M385" s="2"/>
    </row>
    <row r="386" spans="2:13" ht="15.75" customHeight="1" x14ac:dyDescent="0.25">
      <c r="B386" s="1"/>
      <c r="M386" s="2"/>
    </row>
    <row r="387" spans="2:13" ht="15.75" customHeight="1" x14ac:dyDescent="0.25">
      <c r="B387" s="1"/>
      <c r="M387" s="2"/>
    </row>
    <row r="388" spans="2:13" ht="15.75" customHeight="1" x14ac:dyDescent="0.25">
      <c r="B388" s="1"/>
      <c r="M388" s="2"/>
    </row>
    <row r="389" spans="2:13" ht="15.75" customHeight="1" x14ac:dyDescent="0.25">
      <c r="B389" s="1"/>
      <c r="M389" s="2"/>
    </row>
    <row r="390" spans="2:13" ht="15.75" customHeight="1" x14ac:dyDescent="0.25">
      <c r="B390" s="1"/>
      <c r="M390" s="2"/>
    </row>
    <row r="391" spans="2:13" ht="15.75" customHeight="1" x14ac:dyDescent="0.25">
      <c r="B391" s="1"/>
      <c r="M391" s="2"/>
    </row>
    <row r="392" spans="2:13" ht="15.75" customHeight="1" x14ac:dyDescent="0.25">
      <c r="B392" s="1"/>
      <c r="M392" s="2"/>
    </row>
    <row r="393" spans="2:13" ht="15.75" customHeight="1" x14ac:dyDescent="0.25">
      <c r="B393" s="1"/>
      <c r="M393" s="2"/>
    </row>
    <row r="394" spans="2:13" ht="15.75" customHeight="1" x14ac:dyDescent="0.25">
      <c r="B394" s="1"/>
      <c r="M394" s="2"/>
    </row>
    <row r="395" spans="2:13" ht="15.75" customHeight="1" x14ac:dyDescent="0.25">
      <c r="B395" s="1"/>
      <c r="M395" s="2"/>
    </row>
    <row r="396" spans="2:13" ht="15.75" customHeight="1" x14ac:dyDescent="0.25">
      <c r="B396" s="1"/>
      <c r="M396" s="2"/>
    </row>
    <row r="397" spans="2:13" ht="15.75" customHeight="1" x14ac:dyDescent="0.25">
      <c r="B397" s="1"/>
      <c r="M397" s="2"/>
    </row>
    <row r="398" spans="2:13" ht="15.75" customHeight="1" x14ac:dyDescent="0.25">
      <c r="B398" s="1"/>
      <c r="M398" s="2"/>
    </row>
    <row r="399" spans="2:13" ht="15.75" customHeight="1" x14ac:dyDescent="0.25">
      <c r="B399" s="1"/>
      <c r="M399" s="2"/>
    </row>
    <row r="400" spans="2:13" ht="15.75" customHeight="1" x14ac:dyDescent="0.25">
      <c r="B400" s="1"/>
      <c r="M400" s="2"/>
    </row>
    <row r="401" spans="2:13" ht="15.75" customHeight="1" x14ac:dyDescent="0.25">
      <c r="B401" s="1"/>
      <c r="M401" s="2"/>
    </row>
    <row r="402" spans="2:13" ht="15.75" customHeight="1" x14ac:dyDescent="0.25">
      <c r="B402" s="1"/>
      <c r="M402" s="2"/>
    </row>
    <row r="403" spans="2:13" ht="15.75" customHeight="1" x14ac:dyDescent="0.25">
      <c r="B403" s="1"/>
      <c r="M403" s="2"/>
    </row>
    <row r="404" spans="2:13" ht="15.75" customHeight="1" x14ac:dyDescent="0.25">
      <c r="B404" s="1"/>
      <c r="M404" s="2"/>
    </row>
    <row r="405" spans="2:13" ht="15.75" customHeight="1" x14ac:dyDescent="0.25">
      <c r="B405" s="1"/>
      <c r="M405" s="2"/>
    </row>
    <row r="406" spans="2:13" ht="15.75" customHeight="1" x14ac:dyDescent="0.25">
      <c r="B406" s="1"/>
      <c r="M406" s="2"/>
    </row>
    <row r="407" spans="2:13" ht="15.75" customHeight="1" x14ac:dyDescent="0.25">
      <c r="B407" s="1"/>
      <c r="M407" s="2"/>
    </row>
    <row r="408" spans="2:13" ht="15.75" customHeight="1" x14ac:dyDescent="0.25">
      <c r="B408" s="1"/>
      <c r="M408" s="2"/>
    </row>
    <row r="409" spans="2:13" ht="15.75" customHeight="1" x14ac:dyDescent="0.25">
      <c r="B409" s="1"/>
      <c r="M409" s="2"/>
    </row>
    <row r="410" spans="2:13" ht="15.75" customHeight="1" x14ac:dyDescent="0.25">
      <c r="B410" s="1"/>
      <c r="M410" s="2"/>
    </row>
    <row r="411" spans="2:13" ht="15.75" customHeight="1" x14ac:dyDescent="0.25">
      <c r="B411" s="1"/>
      <c r="M411" s="2"/>
    </row>
    <row r="412" spans="2:13" ht="15.75" customHeight="1" x14ac:dyDescent="0.25">
      <c r="B412" s="1"/>
      <c r="M412" s="2"/>
    </row>
    <row r="413" spans="2:13" ht="15.75" customHeight="1" x14ac:dyDescent="0.25">
      <c r="B413" s="1"/>
      <c r="M413" s="2"/>
    </row>
    <row r="414" spans="2:13" ht="15.75" customHeight="1" x14ac:dyDescent="0.25">
      <c r="B414" s="1"/>
      <c r="M414" s="2"/>
    </row>
    <row r="415" spans="2:13" ht="15.75" customHeight="1" x14ac:dyDescent="0.25">
      <c r="B415" s="1"/>
      <c r="M415" s="2"/>
    </row>
    <row r="416" spans="2:13" ht="15.75" customHeight="1" x14ac:dyDescent="0.25">
      <c r="B416" s="1"/>
      <c r="M416" s="2"/>
    </row>
    <row r="417" spans="2:13" ht="15.75" customHeight="1" x14ac:dyDescent="0.25">
      <c r="B417" s="1"/>
      <c r="M417" s="2"/>
    </row>
    <row r="418" spans="2:13" ht="15.75" customHeight="1" x14ac:dyDescent="0.25">
      <c r="B418" s="1"/>
      <c r="M418" s="2"/>
    </row>
    <row r="419" spans="2:13" ht="15.75" customHeight="1" x14ac:dyDescent="0.25">
      <c r="B419" s="1"/>
      <c r="M419" s="2"/>
    </row>
    <row r="420" spans="2:13" ht="15.75" customHeight="1" x14ac:dyDescent="0.25">
      <c r="B420" s="1"/>
      <c r="M420" s="2"/>
    </row>
    <row r="421" spans="2:13" ht="15.75" customHeight="1" x14ac:dyDescent="0.25">
      <c r="B421" s="1"/>
      <c r="M421" s="2"/>
    </row>
    <row r="422" spans="2:13" ht="15.75" customHeight="1" x14ac:dyDescent="0.25">
      <c r="B422" s="1"/>
      <c r="M422" s="2"/>
    </row>
    <row r="423" spans="2:13" ht="15.75" customHeight="1" x14ac:dyDescent="0.25">
      <c r="B423" s="1"/>
      <c r="M423" s="2"/>
    </row>
    <row r="424" spans="2:13" ht="15.75" customHeight="1" x14ac:dyDescent="0.25">
      <c r="B424" s="1"/>
      <c r="M424" s="2"/>
    </row>
    <row r="425" spans="2:13" ht="15.75" customHeight="1" x14ac:dyDescent="0.25">
      <c r="B425" s="1"/>
      <c r="M425" s="2"/>
    </row>
    <row r="426" spans="2:13" ht="15.75" customHeight="1" x14ac:dyDescent="0.25">
      <c r="B426" s="1"/>
      <c r="M426" s="2"/>
    </row>
    <row r="427" spans="2:13" ht="15.75" customHeight="1" x14ac:dyDescent="0.25">
      <c r="B427" s="1"/>
      <c r="M427" s="2"/>
    </row>
    <row r="428" spans="2:13" ht="15.75" customHeight="1" x14ac:dyDescent="0.25">
      <c r="B428" s="1"/>
      <c r="M428" s="2"/>
    </row>
    <row r="429" spans="2:13" ht="15.75" customHeight="1" x14ac:dyDescent="0.25">
      <c r="B429" s="1"/>
      <c r="M429" s="2"/>
    </row>
    <row r="430" spans="2:13" ht="15.75" customHeight="1" x14ac:dyDescent="0.25">
      <c r="B430" s="1"/>
      <c r="M430" s="2"/>
    </row>
    <row r="431" spans="2:13" ht="15.75" customHeight="1" x14ac:dyDescent="0.25">
      <c r="B431" s="1"/>
      <c r="M431" s="2"/>
    </row>
    <row r="432" spans="2:13" ht="15.75" customHeight="1" x14ac:dyDescent="0.25">
      <c r="B432" s="1"/>
      <c r="M432" s="2"/>
    </row>
    <row r="433" spans="2:13" ht="15.75" customHeight="1" x14ac:dyDescent="0.25">
      <c r="B433" s="1"/>
      <c r="M433" s="2"/>
    </row>
    <row r="434" spans="2:13" ht="15.75" customHeight="1" x14ac:dyDescent="0.25">
      <c r="B434" s="1"/>
      <c r="M434" s="2"/>
    </row>
    <row r="435" spans="2:13" ht="15.75" customHeight="1" x14ac:dyDescent="0.25">
      <c r="B435" s="1"/>
      <c r="M435" s="2"/>
    </row>
    <row r="436" spans="2:13" ht="15.75" customHeight="1" x14ac:dyDescent="0.25">
      <c r="B436" s="1"/>
      <c r="M436" s="2"/>
    </row>
    <row r="437" spans="2:13" ht="15.75" customHeight="1" x14ac:dyDescent="0.25">
      <c r="B437" s="1"/>
      <c r="M437" s="2"/>
    </row>
    <row r="438" spans="2:13" ht="15.75" customHeight="1" x14ac:dyDescent="0.25">
      <c r="B438" s="1"/>
      <c r="M438" s="2"/>
    </row>
    <row r="439" spans="2:13" ht="15.75" customHeight="1" x14ac:dyDescent="0.25">
      <c r="B439" s="1"/>
      <c r="M439" s="2"/>
    </row>
    <row r="440" spans="2:13" ht="15.75" customHeight="1" x14ac:dyDescent="0.25">
      <c r="B440" s="1"/>
      <c r="M440" s="2"/>
    </row>
    <row r="441" spans="2:13" ht="15.75" customHeight="1" x14ac:dyDescent="0.25">
      <c r="B441" s="1"/>
      <c r="M441" s="2"/>
    </row>
    <row r="442" spans="2:13" ht="15.75" customHeight="1" x14ac:dyDescent="0.25">
      <c r="B442" s="1"/>
      <c r="M442" s="2"/>
    </row>
    <row r="443" spans="2:13" ht="15.75" customHeight="1" x14ac:dyDescent="0.25">
      <c r="B443" s="1"/>
      <c r="M443" s="2"/>
    </row>
    <row r="444" spans="2:13" ht="15.75" customHeight="1" x14ac:dyDescent="0.25">
      <c r="B444" s="1"/>
      <c r="M444" s="2"/>
    </row>
    <row r="445" spans="2:13" ht="15.75" customHeight="1" x14ac:dyDescent="0.25">
      <c r="B445" s="1"/>
      <c r="M445" s="2"/>
    </row>
    <row r="446" spans="2:13" ht="15.75" customHeight="1" x14ac:dyDescent="0.25">
      <c r="B446" s="1"/>
      <c r="M446" s="2"/>
    </row>
    <row r="447" spans="2:13" ht="15.75" customHeight="1" x14ac:dyDescent="0.25">
      <c r="B447" s="1"/>
      <c r="M447" s="2"/>
    </row>
    <row r="448" spans="2:13" ht="15.75" customHeight="1" x14ac:dyDescent="0.25">
      <c r="B448" s="1"/>
      <c r="M448" s="2"/>
    </row>
    <row r="449" spans="2:13" ht="15.75" customHeight="1" x14ac:dyDescent="0.25">
      <c r="B449" s="1"/>
      <c r="M449" s="2"/>
    </row>
    <row r="450" spans="2:13" ht="15.75" customHeight="1" x14ac:dyDescent="0.25">
      <c r="B450" s="1"/>
      <c r="M450" s="2"/>
    </row>
    <row r="451" spans="2:13" ht="15.75" customHeight="1" x14ac:dyDescent="0.25">
      <c r="B451" s="1"/>
      <c r="M451" s="2"/>
    </row>
    <row r="452" spans="2:13" ht="15.75" customHeight="1" x14ac:dyDescent="0.25">
      <c r="B452" s="1"/>
      <c r="M452" s="2"/>
    </row>
    <row r="453" spans="2:13" ht="15.75" customHeight="1" x14ac:dyDescent="0.25">
      <c r="B453" s="1"/>
      <c r="M453" s="2"/>
    </row>
    <row r="454" spans="2:13" ht="15.75" customHeight="1" x14ac:dyDescent="0.25">
      <c r="B454" s="1"/>
      <c r="M454" s="2"/>
    </row>
    <row r="455" spans="2:13" ht="15.75" customHeight="1" x14ac:dyDescent="0.25">
      <c r="B455" s="1"/>
      <c r="M455" s="2"/>
    </row>
    <row r="456" spans="2:13" ht="15.75" customHeight="1" x14ac:dyDescent="0.25">
      <c r="B456" s="1"/>
      <c r="M456" s="2"/>
    </row>
    <row r="457" spans="2:13" ht="15.75" customHeight="1" x14ac:dyDescent="0.25">
      <c r="B457" s="1"/>
      <c r="M457" s="2"/>
    </row>
    <row r="458" spans="2:13" ht="15.75" customHeight="1" x14ac:dyDescent="0.25">
      <c r="B458" s="1"/>
      <c r="M458" s="2"/>
    </row>
    <row r="459" spans="2:13" ht="15.75" customHeight="1" x14ac:dyDescent="0.25">
      <c r="B459" s="1"/>
      <c r="M459" s="2"/>
    </row>
    <row r="460" spans="2:13" ht="15.75" customHeight="1" x14ac:dyDescent="0.25">
      <c r="B460" s="1"/>
      <c r="M460" s="2"/>
    </row>
    <row r="461" spans="2:13" ht="15.75" customHeight="1" x14ac:dyDescent="0.25">
      <c r="B461" s="1"/>
      <c r="M461" s="2"/>
    </row>
    <row r="462" spans="2:13" ht="15.75" customHeight="1" x14ac:dyDescent="0.25">
      <c r="B462" s="1"/>
      <c r="M462" s="2"/>
    </row>
    <row r="463" spans="2:13" ht="15.75" customHeight="1" x14ac:dyDescent="0.25">
      <c r="B463" s="1"/>
      <c r="M463" s="2"/>
    </row>
    <row r="464" spans="2:13" ht="15.75" customHeight="1" x14ac:dyDescent="0.25">
      <c r="B464" s="1"/>
      <c r="M464" s="2"/>
    </row>
    <row r="465" spans="2:13" ht="15.75" customHeight="1" x14ac:dyDescent="0.25">
      <c r="B465" s="1"/>
      <c r="M465" s="2"/>
    </row>
    <row r="466" spans="2:13" ht="15.75" customHeight="1" x14ac:dyDescent="0.25">
      <c r="B466" s="1"/>
      <c r="M466" s="2"/>
    </row>
    <row r="467" spans="2:13" ht="15.75" customHeight="1" x14ac:dyDescent="0.25">
      <c r="B467" s="1"/>
      <c r="M467" s="2"/>
    </row>
    <row r="468" spans="2:13" ht="15.75" customHeight="1" x14ac:dyDescent="0.25">
      <c r="B468" s="1"/>
      <c r="M468" s="2"/>
    </row>
    <row r="469" spans="2:13" ht="15.75" customHeight="1" x14ac:dyDescent="0.25">
      <c r="B469" s="1"/>
      <c r="M469" s="2"/>
    </row>
    <row r="470" spans="2:13" ht="15.75" customHeight="1" x14ac:dyDescent="0.25">
      <c r="B470" s="1"/>
      <c r="M470" s="2"/>
    </row>
    <row r="471" spans="2:13" ht="15.75" customHeight="1" x14ac:dyDescent="0.25">
      <c r="B471" s="1"/>
      <c r="M471" s="2"/>
    </row>
    <row r="472" spans="2:13" ht="15.75" customHeight="1" x14ac:dyDescent="0.25">
      <c r="B472" s="1"/>
      <c r="M472" s="2"/>
    </row>
    <row r="473" spans="2:13" ht="15.75" customHeight="1" x14ac:dyDescent="0.25">
      <c r="B473" s="1"/>
      <c r="M473" s="2"/>
    </row>
    <row r="474" spans="2:13" ht="15.75" customHeight="1" x14ac:dyDescent="0.25">
      <c r="B474" s="1"/>
      <c r="M474" s="2"/>
    </row>
    <row r="475" spans="2:13" ht="15.75" customHeight="1" x14ac:dyDescent="0.25">
      <c r="B475" s="1"/>
      <c r="M475" s="2"/>
    </row>
    <row r="476" spans="2:13" ht="15.75" customHeight="1" x14ac:dyDescent="0.25">
      <c r="B476" s="1"/>
      <c r="M476" s="2"/>
    </row>
    <row r="477" spans="2:13" ht="15.75" customHeight="1" x14ac:dyDescent="0.25">
      <c r="B477" s="1"/>
      <c r="M477" s="2"/>
    </row>
    <row r="478" spans="2:13" ht="15.75" customHeight="1" x14ac:dyDescent="0.25">
      <c r="B478" s="1"/>
      <c r="M478" s="2"/>
    </row>
    <row r="479" spans="2:13" ht="15.75" customHeight="1" x14ac:dyDescent="0.25">
      <c r="B479" s="1"/>
      <c r="M479" s="2"/>
    </row>
    <row r="480" spans="2:13" ht="15.75" customHeight="1" x14ac:dyDescent="0.25">
      <c r="B480" s="1"/>
      <c r="M480" s="2"/>
    </row>
    <row r="481" spans="2:13" ht="15.75" customHeight="1" x14ac:dyDescent="0.25">
      <c r="B481" s="1"/>
      <c r="M481" s="2"/>
    </row>
    <row r="482" spans="2:13" ht="15.75" customHeight="1" x14ac:dyDescent="0.25">
      <c r="B482" s="1"/>
      <c r="M482" s="2"/>
    </row>
    <row r="483" spans="2:13" ht="15.75" customHeight="1" x14ac:dyDescent="0.25">
      <c r="B483" s="1"/>
      <c r="M483" s="2"/>
    </row>
    <row r="484" spans="2:13" ht="15.75" customHeight="1" x14ac:dyDescent="0.25">
      <c r="B484" s="1"/>
      <c r="M484" s="2"/>
    </row>
    <row r="485" spans="2:13" ht="15.75" customHeight="1" x14ac:dyDescent="0.25">
      <c r="B485" s="1"/>
      <c r="M485" s="2"/>
    </row>
    <row r="486" spans="2:13" ht="15.75" customHeight="1" x14ac:dyDescent="0.25">
      <c r="B486" s="1"/>
      <c r="M486" s="2"/>
    </row>
    <row r="487" spans="2:13" ht="15.75" customHeight="1" x14ac:dyDescent="0.25">
      <c r="B487" s="1"/>
      <c r="M487" s="2"/>
    </row>
    <row r="488" spans="2:13" ht="15.75" customHeight="1" x14ac:dyDescent="0.25">
      <c r="B488" s="1"/>
      <c r="M488" s="2"/>
    </row>
    <row r="489" spans="2:13" ht="15.75" customHeight="1" x14ac:dyDescent="0.25">
      <c r="B489" s="1"/>
      <c r="M489" s="2"/>
    </row>
    <row r="490" spans="2:13" ht="15.75" customHeight="1" x14ac:dyDescent="0.25">
      <c r="B490" s="1"/>
      <c r="M490" s="2"/>
    </row>
    <row r="491" spans="2:13" ht="15.75" customHeight="1" x14ac:dyDescent="0.25">
      <c r="B491" s="1"/>
      <c r="M491" s="2"/>
    </row>
    <row r="492" spans="2:13" ht="15.75" customHeight="1" x14ac:dyDescent="0.25">
      <c r="B492" s="1"/>
      <c r="M492" s="2"/>
    </row>
    <row r="493" spans="2:13" ht="15.75" customHeight="1" x14ac:dyDescent="0.25">
      <c r="B493" s="1"/>
      <c r="M493" s="2"/>
    </row>
    <row r="494" spans="2:13" ht="15.75" customHeight="1" x14ac:dyDescent="0.25">
      <c r="B494" s="1"/>
      <c r="M494" s="2"/>
    </row>
    <row r="495" spans="2:13" ht="15.75" customHeight="1" x14ac:dyDescent="0.25">
      <c r="B495" s="1"/>
      <c r="M495" s="2"/>
    </row>
    <row r="496" spans="2:13" ht="15.75" customHeight="1" x14ac:dyDescent="0.25">
      <c r="B496" s="1"/>
      <c r="M496" s="2"/>
    </row>
    <row r="497" spans="2:13" ht="15.75" customHeight="1" x14ac:dyDescent="0.25">
      <c r="B497" s="1"/>
      <c r="M497" s="2"/>
    </row>
    <row r="498" spans="2:13" ht="15.75" customHeight="1" x14ac:dyDescent="0.25">
      <c r="B498" s="1"/>
      <c r="M498" s="2"/>
    </row>
    <row r="499" spans="2:13" ht="15.75" customHeight="1" x14ac:dyDescent="0.25">
      <c r="B499" s="1"/>
      <c r="M499" s="2"/>
    </row>
    <row r="500" spans="2:13" ht="15.75" customHeight="1" x14ac:dyDescent="0.25">
      <c r="B500" s="1"/>
      <c r="M500" s="2"/>
    </row>
    <row r="501" spans="2:13" ht="15.75" customHeight="1" x14ac:dyDescent="0.25">
      <c r="B501" s="1"/>
      <c r="M501" s="2"/>
    </row>
    <row r="502" spans="2:13" ht="15.75" customHeight="1" x14ac:dyDescent="0.25">
      <c r="B502" s="1"/>
      <c r="M502" s="2"/>
    </row>
    <row r="503" spans="2:13" ht="15.75" customHeight="1" x14ac:dyDescent="0.25">
      <c r="B503" s="1"/>
      <c r="M503" s="2"/>
    </row>
    <row r="504" spans="2:13" ht="15.75" customHeight="1" x14ac:dyDescent="0.25">
      <c r="B504" s="1"/>
      <c r="M504" s="2"/>
    </row>
    <row r="505" spans="2:13" ht="15.75" customHeight="1" x14ac:dyDescent="0.25">
      <c r="B505" s="1"/>
      <c r="M505" s="2"/>
    </row>
    <row r="506" spans="2:13" ht="15.75" customHeight="1" x14ac:dyDescent="0.25">
      <c r="B506" s="1"/>
      <c r="M506" s="2"/>
    </row>
    <row r="507" spans="2:13" ht="15.75" customHeight="1" x14ac:dyDescent="0.25">
      <c r="B507" s="1"/>
      <c r="M507" s="2"/>
    </row>
    <row r="508" spans="2:13" ht="15.75" customHeight="1" x14ac:dyDescent="0.25">
      <c r="B508" s="1"/>
      <c r="M508" s="2"/>
    </row>
    <row r="509" spans="2:13" ht="15.75" customHeight="1" x14ac:dyDescent="0.25">
      <c r="B509" s="1"/>
      <c r="M509" s="2"/>
    </row>
    <row r="510" spans="2:13" ht="15.75" customHeight="1" x14ac:dyDescent="0.25">
      <c r="B510" s="1"/>
      <c r="M510" s="2"/>
    </row>
    <row r="511" spans="2:13" ht="15.75" customHeight="1" x14ac:dyDescent="0.25">
      <c r="B511" s="1"/>
      <c r="M511" s="2"/>
    </row>
    <row r="512" spans="2:13" ht="15.75" customHeight="1" x14ac:dyDescent="0.25">
      <c r="B512" s="1"/>
      <c r="M512" s="2"/>
    </row>
    <row r="513" spans="2:13" ht="15.75" customHeight="1" x14ac:dyDescent="0.25">
      <c r="B513" s="1"/>
      <c r="M513" s="2"/>
    </row>
    <row r="514" spans="2:13" ht="15.75" customHeight="1" x14ac:dyDescent="0.25">
      <c r="B514" s="1"/>
      <c r="M514" s="2"/>
    </row>
    <row r="515" spans="2:13" ht="15.75" customHeight="1" x14ac:dyDescent="0.25">
      <c r="B515" s="1"/>
      <c r="M515" s="2"/>
    </row>
    <row r="516" spans="2:13" ht="15.75" customHeight="1" x14ac:dyDescent="0.25">
      <c r="B516" s="1"/>
      <c r="M516" s="2"/>
    </row>
    <row r="517" spans="2:13" ht="15.75" customHeight="1" x14ac:dyDescent="0.25">
      <c r="B517" s="1"/>
      <c r="M517" s="2"/>
    </row>
    <row r="518" spans="2:13" ht="15.75" customHeight="1" x14ac:dyDescent="0.25">
      <c r="B518" s="1"/>
      <c r="M518" s="2"/>
    </row>
    <row r="519" spans="2:13" ht="15.75" customHeight="1" x14ac:dyDescent="0.25">
      <c r="B519" s="1"/>
      <c r="M519" s="2"/>
    </row>
    <row r="520" spans="2:13" ht="15.75" customHeight="1" x14ac:dyDescent="0.25">
      <c r="B520" s="1"/>
      <c r="M520" s="2"/>
    </row>
    <row r="521" spans="2:13" ht="15.75" customHeight="1" x14ac:dyDescent="0.25">
      <c r="B521" s="1"/>
      <c r="M521" s="2"/>
    </row>
    <row r="522" spans="2:13" ht="15.75" customHeight="1" x14ac:dyDescent="0.25">
      <c r="B522" s="1"/>
      <c r="M522" s="2"/>
    </row>
    <row r="523" spans="2:13" ht="15.75" customHeight="1" x14ac:dyDescent="0.25">
      <c r="B523" s="1"/>
      <c r="M523" s="2"/>
    </row>
    <row r="524" spans="2:13" ht="15.75" customHeight="1" x14ac:dyDescent="0.25">
      <c r="B524" s="1"/>
      <c r="M524" s="2"/>
    </row>
    <row r="525" spans="2:13" ht="15.75" customHeight="1" x14ac:dyDescent="0.25">
      <c r="B525" s="1"/>
      <c r="M525" s="2"/>
    </row>
    <row r="526" spans="2:13" ht="15.75" customHeight="1" x14ac:dyDescent="0.25">
      <c r="B526" s="1"/>
      <c r="M526" s="2"/>
    </row>
    <row r="527" spans="2:13" ht="15.75" customHeight="1" x14ac:dyDescent="0.25">
      <c r="B527" s="1"/>
      <c r="M527" s="2"/>
    </row>
    <row r="528" spans="2:13" ht="15.75" customHeight="1" x14ac:dyDescent="0.25">
      <c r="B528" s="1"/>
      <c r="M528" s="2"/>
    </row>
    <row r="529" spans="2:13" ht="15.75" customHeight="1" x14ac:dyDescent="0.25">
      <c r="B529" s="1"/>
      <c r="M529" s="2"/>
    </row>
    <row r="530" spans="2:13" ht="15.75" customHeight="1" x14ac:dyDescent="0.25">
      <c r="B530" s="1"/>
      <c r="M530" s="2"/>
    </row>
    <row r="531" spans="2:13" ht="15.75" customHeight="1" x14ac:dyDescent="0.25">
      <c r="B531" s="1"/>
      <c r="M531" s="2"/>
    </row>
    <row r="532" spans="2:13" ht="15.75" customHeight="1" x14ac:dyDescent="0.25">
      <c r="B532" s="1"/>
      <c r="M532" s="2"/>
    </row>
    <row r="533" spans="2:13" ht="15.75" customHeight="1" x14ac:dyDescent="0.25">
      <c r="B533" s="1"/>
      <c r="M533" s="2"/>
    </row>
    <row r="534" spans="2:13" ht="15.75" customHeight="1" x14ac:dyDescent="0.25">
      <c r="B534" s="1"/>
      <c r="M534" s="2"/>
    </row>
    <row r="535" spans="2:13" ht="15.75" customHeight="1" x14ac:dyDescent="0.25">
      <c r="B535" s="1"/>
      <c r="M535" s="2"/>
    </row>
    <row r="536" spans="2:13" ht="15.75" customHeight="1" x14ac:dyDescent="0.25">
      <c r="B536" s="1"/>
      <c r="M536" s="2"/>
    </row>
    <row r="537" spans="2:13" ht="15.75" customHeight="1" x14ac:dyDescent="0.25">
      <c r="B537" s="1"/>
      <c r="M537" s="2"/>
    </row>
    <row r="538" spans="2:13" ht="15.75" customHeight="1" x14ac:dyDescent="0.25">
      <c r="B538" s="1"/>
      <c r="M538" s="2"/>
    </row>
    <row r="539" spans="2:13" ht="15.75" customHeight="1" x14ac:dyDescent="0.25">
      <c r="B539" s="1"/>
      <c r="M539" s="2"/>
    </row>
    <row r="540" spans="2:13" ht="15.75" customHeight="1" x14ac:dyDescent="0.25">
      <c r="B540" s="1"/>
      <c r="M540" s="2"/>
    </row>
    <row r="541" spans="2:13" ht="15.75" customHeight="1" x14ac:dyDescent="0.25">
      <c r="B541" s="1"/>
      <c r="M541" s="2"/>
    </row>
    <row r="542" spans="2:13" ht="15.75" customHeight="1" x14ac:dyDescent="0.25">
      <c r="B542" s="1"/>
      <c r="M542" s="2"/>
    </row>
    <row r="543" spans="2:13" ht="15.75" customHeight="1" x14ac:dyDescent="0.25">
      <c r="B543" s="1"/>
      <c r="M543" s="2"/>
    </row>
    <row r="544" spans="2:13" ht="15.75" customHeight="1" x14ac:dyDescent="0.25">
      <c r="B544" s="1"/>
      <c r="M544" s="2"/>
    </row>
    <row r="545" spans="2:13" ht="15.75" customHeight="1" x14ac:dyDescent="0.25">
      <c r="B545" s="1"/>
      <c r="M545" s="2"/>
    </row>
    <row r="546" spans="2:13" ht="15.75" customHeight="1" x14ac:dyDescent="0.25">
      <c r="B546" s="1"/>
      <c r="M546" s="2"/>
    </row>
    <row r="547" spans="2:13" ht="15.75" customHeight="1" x14ac:dyDescent="0.25">
      <c r="B547" s="1"/>
      <c r="M547" s="2"/>
    </row>
    <row r="548" spans="2:13" ht="15.75" customHeight="1" x14ac:dyDescent="0.25">
      <c r="B548" s="1"/>
      <c r="M548" s="2"/>
    </row>
    <row r="549" spans="2:13" ht="15.75" customHeight="1" x14ac:dyDescent="0.25">
      <c r="B549" s="1"/>
      <c r="M549" s="2"/>
    </row>
    <row r="550" spans="2:13" ht="15.75" customHeight="1" x14ac:dyDescent="0.25">
      <c r="B550" s="1"/>
      <c r="M550" s="2"/>
    </row>
    <row r="551" spans="2:13" ht="15.75" customHeight="1" x14ac:dyDescent="0.25">
      <c r="B551" s="1"/>
      <c r="M551" s="2"/>
    </row>
    <row r="552" spans="2:13" ht="15.75" customHeight="1" x14ac:dyDescent="0.25">
      <c r="B552" s="1"/>
      <c r="M552" s="2"/>
    </row>
    <row r="553" spans="2:13" ht="15.75" customHeight="1" x14ac:dyDescent="0.25">
      <c r="B553" s="1"/>
      <c r="M553" s="2"/>
    </row>
    <row r="554" spans="2:13" ht="15.75" customHeight="1" x14ac:dyDescent="0.25">
      <c r="B554" s="1"/>
      <c r="M554" s="2"/>
    </row>
    <row r="555" spans="2:13" ht="15.75" customHeight="1" x14ac:dyDescent="0.25">
      <c r="B555" s="1"/>
      <c r="M555" s="2"/>
    </row>
    <row r="556" spans="2:13" ht="15.75" customHeight="1" x14ac:dyDescent="0.25">
      <c r="B556" s="1"/>
      <c r="M556" s="2"/>
    </row>
    <row r="557" spans="2:13" ht="15.75" customHeight="1" x14ac:dyDescent="0.25">
      <c r="B557" s="1"/>
      <c r="M557" s="2"/>
    </row>
    <row r="558" spans="2:13" ht="15.75" customHeight="1" x14ac:dyDescent="0.25">
      <c r="B558" s="1"/>
      <c r="M558" s="2"/>
    </row>
    <row r="559" spans="2:13" ht="15.75" customHeight="1" x14ac:dyDescent="0.25">
      <c r="B559" s="1"/>
      <c r="M559" s="2"/>
    </row>
    <row r="560" spans="2:13" ht="15.75" customHeight="1" x14ac:dyDescent="0.25">
      <c r="B560" s="1"/>
      <c r="M560" s="2"/>
    </row>
    <row r="561" spans="2:13" ht="15.75" customHeight="1" x14ac:dyDescent="0.25">
      <c r="B561" s="1"/>
      <c r="M561" s="2"/>
    </row>
    <row r="562" spans="2:13" ht="15.75" customHeight="1" x14ac:dyDescent="0.25">
      <c r="B562" s="1"/>
      <c r="M562" s="2"/>
    </row>
    <row r="563" spans="2:13" ht="15.75" customHeight="1" x14ac:dyDescent="0.25">
      <c r="B563" s="1"/>
      <c r="M563" s="2"/>
    </row>
    <row r="564" spans="2:13" ht="15.75" customHeight="1" x14ac:dyDescent="0.25">
      <c r="B564" s="1"/>
      <c r="M564" s="2"/>
    </row>
    <row r="565" spans="2:13" ht="15.75" customHeight="1" x14ac:dyDescent="0.25">
      <c r="B565" s="1"/>
      <c r="M565" s="2"/>
    </row>
    <row r="566" spans="2:13" ht="15.75" customHeight="1" x14ac:dyDescent="0.25">
      <c r="B566" s="1"/>
      <c r="M566" s="2"/>
    </row>
    <row r="567" spans="2:13" ht="15.75" customHeight="1" x14ac:dyDescent="0.25">
      <c r="B567" s="1"/>
      <c r="M567" s="2"/>
    </row>
    <row r="568" spans="2:13" ht="15.75" customHeight="1" x14ac:dyDescent="0.25">
      <c r="B568" s="1"/>
      <c r="M568" s="2"/>
    </row>
    <row r="569" spans="2:13" ht="15.75" customHeight="1" x14ac:dyDescent="0.25">
      <c r="B569" s="1"/>
      <c r="M569" s="2"/>
    </row>
    <row r="570" spans="2:13" ht="15.75" customHeight="1" x14ac:dyDescent="0.25">
      <c r="B570" s="1"/>
      <c r="M570" s="2"/>
    </row>
    <row r="571" spans="2:13" ht="15.75" customHeight="1" x14ac:dyDescent="0.25">
      <c r="B571" s="1"/>
      <c r="M571" s="2"/>
    </row>
    <row r="572" spans="2:13" ht="15.75" customHeight="1" x14ac:dyDescent="0.25">
      <c r="B572" s="1"/>
      <c r="M572" s="2"/>
    </row>
    <row r="573" spans="2:13" ht="15.75" customHeight="1" x14ac:dyDescent="0.25">
      <c r="B573" s="1"/>
      <c r="M573" s="2"/>
    </row>
    <row r="574" spans="2:13" ht="15.75" customHeight="1" x14ac:dyDescent="0.25">
      <c r="B574" s="1"/>
      <c r="M574" s="2"/>
    </row>
    <row r="575" spans="2:13" ht="15.75" customHeight="1" x14ac:dyDescent="0.25">
      <c r="B575" s="1"/>
      <c r="M575" s="2"/>
    </row>
    <row r="576" spans="2:13" ht="15.75" customHeight="1" x14ac:dyDescent="0.25">
      <c r="B576" s="1"/>
      <c r="M576" s="2"/>
    </row>
    <row r="577" spans="2:13" ht="15.75" customHeight="1" x14ac:dyDescent="0.25">
      <c r="B577" s="1"/>
      <c r="M577" s="2"/>
    </row>
    <row r="578" spans="2:13" ht="15.75" customHeight="1" x14ac:dyDescent="0.25">
      <c r="B578" s="1"/>
      <c r="M578" s="2"/>
    </row>
    <row r="579" spans="2:13" ht="15.75" customHeight="1" x14ac:dyDescent="0.25">
      <c r="B579" s="1"/>
      <c r="M579" s="2"/>
    </row>
    <row r="580" spans="2:13" ht="15.75" customHeight="1" x14ac:dyDescent="0.25">
      <c r="B580" s="1"/>
      <c r="M580" s="2"/>
    </row>
    <row r="581" spans="2:13" ht="15.75" customHeight="1" x14ac:dyDescent="0.25">
      <c r="B581" s="1"/>
      <c r="M581" s="2"/>
    </row>
    <row r="582" spans="2:13" ht="15.75" customHeight="1" x14ac:dyDescent="0.25">
      <c r="B582" s="1"/>
      <c r="M582" s="2"/>
    </row>
    <row r="583" spans="2:13" ht="15.75" customHeight="1" x14ac:dyDescent="0.25">
      <c r="B583" s="1"/>
      <c r="M583" s="2"/>
    </row>
    <row r="584" spans="2:13" ht="15.75" customHeight="1" x14ac:dyDescent="0.25">
      <c r="B584" s="1"/>
      <c r="M584" s="2"/>
    </row>
    <row r="585" spans="2:13" ht="15.75" customHeight="1" x14ac:dyDescent="0.25">
      <c r="B585" s="1"/>
      <c r="M585" s="2"/>
    </row>
    <row r="586" spans="2:13" ht="15.75" customHeight="1" x14ac:dyDescent="0.25">
      <c r="B586" s="1"/>
      <c r="M586" s="2"/>
    </row>
    <row r="587" spans="2:13" ht="15.75" customHeight="1" x14ac:dyDescent="0.25">
      <c r="B587" s="1"/>
      <c r="M587" s="2"/>
    </row>
    <row r="588" spans="2:13" ht="15.75" customHeight="1" x14ac:dyDescent="0.25">
      <c r="B588" s="1"/>
      <c r="M588" s="2"/>
    </row>
    <row r="589" spans="2:13" ht="15.75" customHeight="1" x14ac:dyDescent="0.25">
      <c r="B589" s="1"/>
      <c r="M589" s="2"/>
    </row>
    <row r="590" spans="2:13" ht="15.75" customHeight="1" x14ac:dyDescent="0.25">
      <c r="B590" s="1"/>
      <c r="M590" s="2"/>
    </row>
    <row r="591" spans="2:13" ht="15.75" customHeight="1" x14ac:dyDescent="0.25">
      <c r="B591" s="1"/>
      <c r="M591" s="2"/>
    </row>
    <row r="592" spans="2:13" ht="15.75" customHeight="1" x14ac:dyDescent="0.25">
      <c r="B592" s="1"/>
      <c r="M592" s="2"/>
    </row>
    <row r="593" spans="2:13" ht="15.75" customHeight="1" x14ac:dyDescent="0.25">
      <c r="B593" s="1"/>
      <c r="M593" s="2"/>
    </row>
    <row r="594" spans="2:13" ht="15.75" customHeight="1" x14ac:dyDescent="0.25">
      <c r="B594" s="1"/>
      <c r="M594" s="2"/>
    </row>
    <row r="595" spans="2:13" ht="15.75" customHeight="1" x14ac:dyDescent="0.25">
      <c r="B595" s="1"/>
      <c r="M595" s="2"/>
    </row>
    <row r="596" spans="2:13" ht="15.75" customHeight="1" x14ac:dyDescent="0.25">
      <c r="B596" s="1"/>
      <c r="M596" s="2"/>
    </row>
    <row r="597" spans="2:13" ht="15.75" customHeight="1" x14ac:dyDescent="0.25">
      <c r="B597" s="1"/>
      <c r="M597" s="2"/>
    </row>
    <row r="598" spans="2:13" ht="15.75" customHeight="1" x14ac:dyDescent="0.25">
      <c r="B598" s="1"/>
      <c r="M598" s="2"/>
    </row>
    <row r="599" spans="2:13" ht="15.75" customHeight="1" x14ac:dyDescent="0.25">
      <c r="B599" s="1"/>
      <c r="M599" s="2"/>
    </row>
    <row r="600" spans="2:13" ht="15.75" customHeight="1" x14ac:dyDescent="0.25">
      <c r="B600" s="1"/>
      <c r="M600" s="2"/>
    </row>
    <row r="601" spans="2:13" ht="15.75" customHeight="1" x14ac:dyDescent="0.25">
      <c r="B601" s="1"/>
      <c r="M601" s="2"/>
    </row>
    <row r="602" spans="2:13" ht="15.75" customHeight="1" x14ac:dyDescent="0.25">
      <c r="B602" s="1"/>
      <c r="M602" s="2"/>
    </row>
    <row r="603" spans="2:13" ht="15.75" customHeight="1" x14ac:dyDescent="0.25">
      <c r="B603" s="1"/>
      <c r="M603" s="2"/>
    </row>
    <row r="604" spans="2:13" ht="15.75" customHeight="1" x14ac:dyDescent="0.25">
      <c r="B604" s="1"/>
      <c r="M604" s="2"/>
    </row>
    <row r="605" spans="2:13" ht="15.75" customHeight="1" x14ac:dyDescent="0.25">
      <c r="B605" s="1"/>
      <c r="M605" s="2"/>
    </row>
    <row r="606" spans="2:13" ht="15.75" customHeight="1" x14ac:dyDescent="0.25">
      <c r="B606" s="1"/>
      <c r="M606" s="2"/>
    </row>
    <row r="607" spans="2:13" ht="15.75" customHeight="1" x14ac:dyDescent="0.25">
      <c r="B607" s="1"/>
      <c r="M607" s="2"/>
    </row>
    <row r="608" spans="2:13" ht="15.75" customHeight="1" x14ac:dyDescent="0.25">
      <c r="B608" s="1"/>
      <c r="M608" s="2"/>
    </row>
    <row r="609" spans="2:13" ht="15.75" customHeight="1" x14ac:dyDescent="0.25">
      <c r="B609" s="1"/>
      <c r="M609" s="2"/>
    </row>
    <row r="610" spans="2:13" ht="15.75" customHeight="1" x14ac:dyDescent="0.25">
      <c r="B610" s="1"/>
      <c r="M610" s="2"/>
    </row>
    <row r="611" spans="2:13" ht="15.75" customHeight="1" x14ac:dyDescent="0.25">
      <c r="B611" s="1"/>
      <c r="M611" s="2"/>
    </row>
    <row r="612" spans="2:13" ht="15.75" customHeight="1" x14ac:dyDescent="0.25">
      <c r="B612" s="1"/>
      <c r="M612" s="2"/>
    </row>
    <row r="613" spans="2:13" ht="15.75" customHeight="1" x14ac:dyDescent="0.25">
      <c r="B613" s="1"/>
      <c r="M613" s="2"/>
    </row>
    <row r="614" spans="2:13" ht="15.75" customHeight="1" x14ac:dyDescent="0.25">
      <c r="B614" s="1"/>
      <c r="M614" s="2"/>
    </row>
    <row r="615" spans="2:13" ht="15.75" customHeight="1" x14ac:dyDescent="0.25">
      <c r="B615" s="1"/>
      <c r="M615" s="2"/>
    </row>
    <row r="616" spans="2:13" ht="15.75" customHeight="1" x14ac:dyDescent="0.25">
      <c r="B616" s="1"/>
      <c r="M616" s="2"/>
    </row>
    <row r="617" spans="2:13" ht="15.75" customHeight="1" x14ac:dyDescent="0.25">
      <c r="B617" s="1"/>
      <c r="M617" s="2"/>
    </row>
    <row r="618" spans="2:13" ht="15.75" customHeight="1" x14ac:dyDescent="0.25">
      <c r="B618" s="1"/>
      <c r="M618" s="2"/>
    </row>
    <row r="619" spans="2:13" ht="15.75" customHeight="1" x14ac:dyDescent="0.25">
      <c r="B619" s="1"/>
      <c r="M619" s="2"/>
    </row>
    <row r="620" spans="2:13" ht="15.75" customHeight="1" x14ac:dyDescent="0.25">
      <c r="B620" s="1"/>
      <c r="M620" s="2"/>
    </row>
    <row r="621" spans="2:13" ht="15.75" customHeight="1" x14ac:dyDescent="0.25">
      <c r="B621" s="1"/>
      <c r="M621" s="2"/>
    </row>
    <row r="622" spans="2:13" ht="15.75" customHeight="1" x14ac:dyDescent="0.25">
      <c r="B622" s="1"/>
      <c r="M622" s="2"/>
    </row>
    <row r="623" spans="2:13" ht="15.75" customHeight="1" x14ac:dyDescent="0.25">
      <c r="B623" s="1"/>
      <c r="M623" s="2"/>
    </row>
    <row r="624" spans="2:13" ht="15.75" customHeight="1" x14ac:dyDescent="0.25">
      <c r="B624" s="1"/>
      <c r="M624" s="2"/>
    </row>
    <row r="625" spans="2:13" ht="15.75" customHeight="1" x14ac:dyDescent="0.25">
      <c r="B625" s="1"/>
      <c r="M625" s="2"/>
    </row>
    <row r="626" spans="2:13" ht="15.75" customHeight="1" x14ac:dyDescent="0.25">
      <c r="B626" s="1"/>
      <c r="M626" s="2"/>
    </row>
    <row r="627" spans="2:13" ht="15.75" customHeight="1" x14ac:dyDescent="0.25">
      <c r="B627" s="1"/>
      <c r="M627" s="2"/>
    </row>
    <row r="628" spans="2:13" ht="15.75" customHeight="1" x14ac:dyDescent="0.25">
      <c r="B628" s="1"/>
      <c r="M628" s="2"/>
    </row>
    <row r="629" spans="2:13" ht="15.75" customHeight="1" x14ac:dyDescent="0.25">
      <c r="B629" s="1"/>
      <c r="M629" s="2"/>
    </row>
    <row r="630" spans="2:13" ht="15.75" customHeight="1" x14ac:dyDescent="0.25">
      <c r="B630" s="1"/>
      <c r="M630" s="2"/>
    </row>
    <row r="631" spans="2:13" ht="15.75" customHeight="1" x14ac:dyDescent="0.25">
      <c r="B631" s="1"/>
      <c r="M631" s="2"/>
    </row>
    <row r="632" spans="2:13" ht="15.75" customHeight="1" x14ac:dyDescent="0.25">
      <c r="B632" s="1"/>
      <c r="M632" s="2"/>
    </row>
    <row r="633" spans="2:13" ht="15.75" customHeight="1" x14ac:dyDescent="0.25">
      <c r="B633" s="1"/>
      <c r="M633" s="2"/>
    </row>
    <row r="634" spans="2:13" ht="15.75" customHeight="1" x14ac:dyDescent="0.25">
      <c r="B634" s="1"/>
      <c r="M634" s="2"/>
    </row>
    <row r="635" spans="2:13" ht="15.75" customHeight="1" x14ac:dyDescent="0.25">
      <c r="B635" s="1"/>
      <c r="M635" s="2"/>
    </row>
    <row r="636" spans="2:13" ht="15.75" customHeight="1" x14ac:dyDescent="0.25">
      <c r="B636" s="1"/>
      <c r="M636" s="2"/>
    </row>
    <row r="637" spans="2:13" ht="15.75" customHeight="1" x14ac:dyDescent="0.25">
      <c r="B637" s="1"/>
      <c r="M637" s="2"/>
    </row>
    <row r="638" spans="2:13" ht="15.75" customHeight="1" x14ac:dyDescent="0.25">
      <c r="B638" s="1"/>
      <c r="M638" s="2"/>
    </row>
    <row r="639" spans="2:13" ht="15.75" customHeight="1" x14ac:dyDescent="0.25">
      <c r="B639" s="1"/>
      <c r="M639" s="2"/>
    </row>
    <row r="640" spans="2:13" ht="15.75" customHeight="1" x14ac:dyDescent="0.25">
      <c r="B640" s="1"/>
      <c r="M640" s="2"/>
    </row>
    <row r="641" spans="2:13" ht="15.75" customHeight="1" x14ac:dyDescent="0.25">
      <c r="B641" s="1"/>
      <c r="M641" s="2"/>
    </row>
    <row r="642" spans="2:13" ht="15.75" customHeight="1" x14ac:dyDescent="0.25">
      <c r="B642" s="1"/>
      <c r="M642" s="2"/>
    </row>
    <row r="643" spans="2:13" ht="15.75" customHeight="1" x14ac:dyDescent="0.25">
      <c r="B643" s="1"/>
      <c r="M643" s="2"/>
    </row>
    <row r="644" spans="2:13" ht="15.75" customHeight="1" x14ac:dyDescent="0.25">
      <c r="B644" s="1"/>
      <c r="M644" s="2"/>
    </row>
    <row r="645" spans="2:13" ht="15.75" customHeight="1" x14ac:dyDescent="0.25">
      <c r="B645" s="1"/>
      <c r="M645" s="2"/>
    </row>
    <row r="646" spans="2:13" ht="15.75" customHeight="1" x14ac:dyDescent="0.25">
      <c r="B646" s="1"/>
      <c r="M646" s="2"/>
    </row>
    <row r="647" spans="2:13" ht="15.75" customHeight="1" x14ac:dyDescent="0.25">
      <c r="B647" s="1"/>
      <c r="M647" s="2"/>
    </row>
    <row r="648" spans="2:13" ht="15.75" customHeight="1" x14ac:dyDescent="0.25">
      <c r="B648" s="1"/>
      <c r="M648" s="2"/>
    </row>
    <row r="649" spans="2:13" ht="15.75" customHeight="1" x14ac:dyDescent="0.25">
      <c r="B649" s="1"/>
      <c r="M649" s="2"/>
    </row>
    <row r="650" spans="2:13" ht="15.75" customHeight="1" x14ac:dyDescent="0.25">
      <c r="B650" s="1"/>
      <c r="M650" s="2"/>
    </row>
    <row r="651" spans="2:13" ht="15.75" customHeight="1" x14ac:dyDescent="0.25">
      <c r="B651" s="1"/>
      <c r="M651" s="2"/>
    </row>
    <row r="652" spans="2:13" ht="15.75" customHeight="1" x14ac:dyDescent="0.25">
      <c r="B652" s="1"/>
      <c r="M652" s="2"/>
    </row>
    <row r="653" spans="2:13" ht="15.75" customHeight="1" x14ac:dyDescent="0.25">
      <c r="B653" s="1"/>
      <c r="M653" s="2"/>
    </row>
    <row r="654" spans="2:13" ht="15.75" customHeight="1" x14ac:dyDescent="0.25">
      <c r="B654" s="1"/>
      <c r="M654" s="2"/>
    </row>
    <row r="655" spans="2:13" ht="15.75" customHeight="1" x14ac:dyDescent="0.25">
      <c r="B655" s="1"/>
      <c r="M655" s="2"/>
    </row>
    <row r="656" spans="2:13" ht="15.75" customHeight="1" x14ac:dyDescent="0.25">
      <c r="B656" s="1"/>
      <c r="M656" s="2"/>
    </row>
    <row r="657" spans="2:13" ht="15.75" customHeight="1" x14ac:dyDescent="0.25">
      <c r="B657" s="1"/>
      <c r="M657" s="2"/>
    </row>
    <row r="658" spans="2:13" ht="15.75" customHeight="1" x14ac:dyDescent="0.25">
      <c r="B658" s="1"/>
      <c r="M658" s="2"/>
    </row>
    <row r="659" spans="2:13" ht="15.75" customHeight="1" x14ac:dyDescent="0.25">
      <c r="B659" s="1"/>
      <c r="M659" s="2"/>
    </row>
    <row r="660" spans="2:13" ht="15.75" customHeight="1" x14ac:dyDescent="0.25">
      <c r="B660" s="1"/>
      <c r="M660" s="2"/>
    </row>
    <row r="661" spans="2:13" ht="15.75" customHeight="1" x14ac:dyDescent="0.25">
      <c r="B661" s="1"/>
      <c r="M661" s="2"/>
    </row>
    <row r="662" spans="2:13" ht="15.75" customHeight="1" x14ac:dyDescent="0.25">
      <c r="B662" s="1"/>
      <c r="M662" s="2"/>
    </row>
    <row r="663" spans="2:13" ht="15.75" customHeight="1" x14ac:dyDescent="0.25">
      <c r="B663" s="1"/>
      <c r="M663" s="2"/>
    </row>
    <row r="664" spans="2:13" ht="15.75" customHeight="1" x14ac:dyDescent="0.25">
      <c r="B664" s="1"/>
      <c r="M664" s="2"/>
    </row>
    <row r="665" spans="2:13" ht="15.75" customHeight="1" x14ac:dyDescent="0.25">
      <c r="B665" s="1"/>
      <c r="M665" s="2"/>
    </row>
    <row r="666" spans="2:13" ht="15.75" customHeight="1" x14ac:dyDescent="0.25">
      <c r="B666" s="1"/>
      <c r="M666" s="2"/>
    </row>
    <row r="667" spans="2:13" ht="15.75" customHeight="1" x14ac:dyDescent="0.25">
      <c r="B667" s="1"/>
      <c r="M667" s="2"/>
    </row>
    <row r="668" spans="2:13" ht="15.75" customHeight="1" x14ac:dyDescent="0.25">
      <c r="B668" s="1"/>
      <c r="M668" s="2"/>
    </row>
    <row r="669" spans="2:13" ht="15.75" customHeight="1" x14ac:dyDescent="0.25">
      <c r="B669" s="1"/>
      <c r="M669" s="2"/>
    </row>
    <row r="670" spans="2:13" ht="15.75" customHeight="1" x14ac:dyDescent="0.25">
      <c r="B670" s="1"/>
      <c r="M670" s="2"/>
    </row>
    <row r="671" spans="2:13" ht="15.75" customHeight="1" x14ac:dyDescent="0.25">
      <c r="B671" s="1"/>
      <c r="M671" s="2"/>
    </row>
    <row r="672" spans="2:13" ht="15.75" customHeight="1" x14ac:dyDescent="0.25">
      <c r="B672" s="1"/>
      <c r="M672" s="2"/>
    </row>
    <row r="673" spans="2:13" ht="15.75" customHeight="1" x14ac:dyDescent="0.25">
      <c r="B673" s="1"/>
      <c r="M673" s="2"/>
    </row>
    <row r="674" spans="2:13" ht="15.75" customHeight="1" x14ac:dyDescent="0.25">
      <c r="B674" s="1"/>
      <c r="M674" s="2"/>
    </row>
    <row r="675" spans="2:13" ht="15.75" customHeight="1" x14ac:dyDescent="0.25">
      <c r="B675" s="1"/>
      <c r="M675" s="2"/>
    </row>
    <row r="676" spans="2:13" ht="15.75" customHeight="1" x14ac:dyDescent="0.25">
      <c r="B676" s="1"/>
      <c r="M676" s="2"/>
    </row>
    <row r="677" spans="2:13" ht="15.75" customHeight="1" x14ac:dyDescent="0.25">
      <c r="B677" s="1"/>
      <c r="M677" s="2"/>
    </row>
    <row r="678" spans="2:13" ht="15.75" customHeight="1" x14ac:dyDescent="0.25">
      <c r="B678" s="1"/>
      <c r="M678" s="2"/>
    </row>
    <row r="679" spans="2:13" ht="15.75" customHeight="1" x14ac:dyDescent="0.25">
      <c r="B679" s="1"/>
      <c r="M679" s="2"/>
    </row>
    <row r="680" spans="2:13" ht="15.75" customHeight="1" x14ac:dyDescent="0.25">
      <c r="B680" s="1"/>
      <c r="M680" s="2"/>
    </row>
    <row r="681" spans="2:13" ht="15.75" customHeight="1" x14ac:dyDescent="0.25">
      <c r="B681" s="1"/>
      <c r="M681" s="2"/>
    </row>
    <row r="682" spans="2:13" ht="15.75" customHeight="1" x14ac:dyDescent="0.25">
      <c r="B682" s="1"/>
      <c r="M682" s="2"/>
    </row>
    <row r="683" spans="2:13" ht="15.75" customHeight="1" x14ac:dyDescent="0.25">
      <c r="B683" s="1"/>
      <c r="M683" s="2"/>
    </row>
    <row r="684" spans="2:13" ht="15.75" customHeight="1" x14ac:dyDescent="0.25">
      <c r="B684" s="1"/>
      <c r="M684" s="2"/>
    </row>
    <row r="685" spans="2:13" ht="15.75" customHeight="1" x14ac:dyDescent="0.25">
      <c r="B685" s="1"/>
      <c r="M685" s="2"/>
    </row>
    <row r="686" spans="2:13" ht="15.75" customHeight="1" x14ac:dyDescent="0.25">
      <c r="B686" s="1"/>
      <c r="M686" s="2"/>
    </row>
    <row r="687" spans="2:13" ht="15.75" customHeight="1" x14ac:dyDescent="0.25">
      <c r="B687" s="1"/>
      <c r="M687" s="2"/>
    </row>
    <row r="688" spans="2:13" ht="15.75" customHeight="1" x14ac:dyDescent="0.25">
      <c r="B688" s="1"/>
      <c r="M688" s="2"/>
    </row>
    <row r="689" spans="2:13" ht="15.75" customHeight="1" x14ac:dyDescent="0.25">
      <c r="B689" s="1"/>
      <c r="M689" s="2"/>
    </row>
    <row r="690" spans="2:13" ht="15.75" customHeight="1" x14ac:dyDescent="0.25">
      <c r="B690" s="1"/>
      <c r="M690" s="2"/>
    </row>
    <row r="691" spans="2:13" ht="15.75" customHeight="1" x14ac:dyDescent="0.25">
      <c r="B691" s="1"/>
      <c r="M691" s="2"/>
    </row>
    <row r="692" spans="2:13" ht="15.75" customHeight="1" x14ac:dyDescent="0.25">
      <c r="B692" s="1"/>
      <c r="M692" s="2"/>
    </row>
    <row r="693" spans="2:13" ht="15.75" customHeight="1" x14ac:dyDescent="0.25">
      <c r="B693" s="1"/>
      <c r="M693" s="2"/>
    </row>
    <row r="694" spans="2:13" ht="15.75" customHeight="1" x14ac:dyDescent="0.25">
      <c r="B694" s="1"/>
      <c r="M694" s="2"/>
    </row>
    <row r="695" spans="2:13" ht="15.75" customHeight="1" x14ac:dyDescent="0.25">
      <c r="B695" s="1"/>
      <c r="M695" s="2"/>
    </row>
    <row r="696" spans="2:13" ht="15.75" customHeight="1" x14ac:dyDescent="0.25">
      <c r="B696" s="1"/>
      <c r="M696" s="2"/>
    </row>
    <row r="697" spans="2:13" ht="15.75" customHeight="1" x14ac:dyDescent="0.25">
      <c r="B697" s="1"/>
      <c r="M697" s="2"/>
    </row>
    <row r="698" spans="2:13" ht="15.75" customHeight="1" x14ac:dyDescent="0.25">
      <c r="B698" s="1"/>
      <c r="M698" s="2"/>
    </row>
    <row r="699" spans="2:13" ht="15.75" customHeight="1" x14ac:dyDescent="0.25">
      <c r="B699" s="1"/>
      <c r="M699" s="2"/>
    </row>
    <row r="700" spans="2:13" ht="15.75" customHeight="1" x14ac:dyDescent="0.25">
      <c r="B700" s="1"/>
      <c r="M700" s="2"/>
    </row>
    <row r="701" spans="2:13" ht="15.75" customHeight="1" x14ac:dyDescent="0.25">
      <c r="B701" s="1"/>
      <c r="M701" s="2"/>
    </row>
    <row r="702" spans="2:13" ht="15.75" customHeight="1" x14ac:dyDescent="0.25">
      <c r="B702" s="1"/>
      <c r="M702" s="2"/>
    </row>
    <row r="703" spans="2:13" ht="15.75" customHeight="1" x14ac:dyDescent="0.25">
      <c r="B703" s="1"/>
      <c r="M703" s="2"/>
    </row>
    <row r="704" spans="2:13" ht="15.75" customHeight="1" x14ac:dyDescent="0.25">
      <c r="B704" s="1"/>
      <c r="M704" s="2"/>
    </row>
    <row r="705" spans="2:13" ht="15.75" customHeight="1" x14ac:dyDescent="0.25">
      <c r="B705" s="1"/>
      <c r="M705" s="2"/>
    </row>
    <row r="706" spans="2:13" ht="15.75" customHeight="1" x14ac:dyDescent="0.25">
      <c r="B706" s="1"/>
      <c r="M706" s="2"/>
    </row>
    <row r="707" spans="2:13" ht="15.75" customHeight="1" x14ac:dyDescent="0.25">
      <c r="B707" s="1"/>
      <c r="M707" s="2"/>
    </row>
    <row r="708" spans="2:13" ht="15.75" customHeight="1" x14ac:dyDescent="0.25">
      <c r="B708" s="1"/>
      <c r="M708" s="2"/>
    </row>
    <row r="709" spans="2:13" ht="15.75" customHeight="1" x14ac:dyDescent="0.25">
      <c r="B709" s="1"/>
      <c r="M709" s="2"/>
    </row>
    <row r="710" spans="2:13" ht="15.75" customHeight="1" x14ac:dyDescent="0.25">
      <c r="B710" s="1"/>
      <c r="M710" s="2"/>
    </row>
    <row r="711" spans="2:13" ht="15.75" customHeight="1" x14ac:dyDescent="0.25">
      <c r="B711" s="1"/>
      <c r="M711" s="2"/>
    </row>
    <row r="712" spans="2:13" ht="15.75" customHeight="1" x14ac:dyDescent="0.25">
      <c r="B712" s="1"/>
      <c r="M712" s="2"/>
    </row>
    <row r="713" spans="2:13" ht="15.75" customHeight="1" x14ac:dyDescent="0.25">
      <c r="B713" s="1"/>
      <c r="M713" s="2"/>
    </row>
    <row r="714" spans="2:13" ht="15.75" customHeight="1" x14ac:dyDescent="0.25">
      <c r="B714" s="1"/>
      <c r="M714" s="2"/>
    </row>
    <row r="715" spans="2:13" ht="15.75" customHeight="1" x14ac:dyDescent="0.25">
      <c r="B715" s="1"/>
      <c r="M715" s="2"/>
    </row>
    <row r="716" spans="2:13" ht="15.75" customHeight="1" x14ac:dyDescent="0.25">
      <c r="B716" s="1"/>
      <c r="M716" s="2"/>
    </row>
    <row r="717" spans="2:13" ht="15.75" customHeight="1" x14ac:dyDescent="0.25">
      <c r="B717" s="1"/>
      <c r="M717" s="2"/>
    </row>
    <row r="718" spans="2:13" ht="15.75" customHeight="1" x14ac:dyDescent="0.25">
      <c r="B718" s="1"/>
      <c r="M718" s="2"/>
    </row>
    <row r="719" spans="2:13" ht="15.75" customHeight="1" x14ac:dyDescent="0.25">
      <c r="B719" s="1"/>
      <c r="M719" s="2"/>
    </row>
    <row r="720" spans="2:13" ht="15.75" customHeight="1" x14ac:dyDescent="0.25">
      <c r="B720" s="1"/>
      <c r="M720" s="2"/>
    </row>
    <row r="721" spans="2:13" ht="15.75" customHeight="1" x14ac:dyDescent="0.25">
      <c r="B721" s="1"/>
      <c r="M721" s="2"/>
    </row>
    <row r="722" spans="2:13" ht="15.75" customHeight="1" x14ac:dyDescent="0.25">
      <c r="B722" s="1"/>
      <c r="M722" s="2"/>
    </row>
    <row r="723" spans="2:13" ht="15.75" customHeight="1" x14ac:dyDescent="0.25">
      <c r="B723" s="1"/>
      <c r="M723" s="2"/>
    </row>
    <row r="724" spans="2:13" ht="15.75" customHeight="1" x14ac:dyDescent="0.25">
      <c r="B724" s="1"/>
      <c r="M724" s="2"/>
    </row>
    <row r="725" spans="2:13" ht="15.75" customHeight="1" x14ac:dyDescent="0.25">
      <c r="B725" s="1"/>
      <c r="M725" s="2"/>
    </row>
    <row r="726" spans="2:13" ht="15.75" customHeight="1" x14ac:dyDescent="0.25">
      <c r="B726" s="1"/>
      <c r="M726" s="2"/>
    </row>
    <row r="727" spans="2:13" ht="15.75" customHeight="1" x14ac:dyDescent="0.25">
      <c r="B727" s="1"/>
      <c r="M727" s="2"/>
    </row>
    <row r="728" spans="2:13" ht="15.75" customHeight="1" x14ac:dyDescent="0.25">
      <c r="B728" s="1"/>
      <c r="M728" s="2"/>
    </row>
    <row r="729" spans="2:13" ht="15.75" customHeight="1" x14ac:dyDescent="0.25">
      <c r="B729" s="1"/>
      <c r="M729" s="2"/>
    </row>
    <row r="730" spans="2:13" ht="15.75" customHeight="1" x14ac:dyDescent="0.25">
      <c r="B730" s="1"/>
      <c r="M730" s="2"/>
    </row>
    <row r="731" spans="2:13" ht="15.75" customHeight="1" x14ac:dyDescent="0.25">
      <c r="B731" s="1"/>
      <c r="M731" s="2"/>
    </row>
    <row r="732" spans="2:13" ht="15.75" customHeight="1" x14ac:dyDescent="0.25">
      <c r="B732" s="1"/>
      <c r="M732" s="2"/>
    </row>
    <row r="733" spans="2:13" ht="15.75" customHeight="1" x14ac:dyDescent="0.25">
      <c r="B733" s="1"/>
      <c r="M733" s="2"/>
    </row>
    <row r="734" spans="2:13" ht="15.75" customHeight="1" x14ac:dyDescent="0.25">
      <c r="B734" s="1"/>
      <c r="M734" s="2"/>
    </row>
    <row r="735" spans="2:13" ht="15.75" customHeight="1" x14ac:dyDescent="0.25">
      <c r="B735" s="1"/>
      <c r="M735" s="2"/>
    </row>
    <row r="736" spans="2:13" ht="15.75" customHeight="1" x14ac:dyDescent="0.25">
      <c r="B736" s="1"/>
      <c r="M736" s="2"/>
    </row>
    <row r="737" spans="2:13" ht="15.75" customHeight="1" x14ac:dyDescent="0.25">
      <c r="B737" s="1"/>
      <c r="M737" s="2"/>
    </row>
    <row r="738" spans="2:13" ht="15.75" customHeight="1" x14ac:dyDescent="0.25">
      <c r="B738" s="1"/>
      <c r="M738" s="2"/>
    </row>
    <row r="739" spans="2:13" ht="15.75" customHeight="1" x14ac:dyDescent="0.25">
      <c r="B739" s="1"/>
      <c r="M739" s="2"/>
    </row>
    <row r="740" spans="2:13" ht="15.75" customHeight="1" x14ac:dyDescent="0.25">
      <c r="B740" s="1"/>
      <c r="M740" s="2"/>
    </row>
    <row r="741" spans="2:13" ht="15.75" customHeight="1" x14ac:dyDescent="0.25">
      <c r="B741" s="1"/>
      <c r="M741" s="2"/>
    </row>
    <row r="742" spans="2:13" ht="15.75" customHeight="1" x14ac:dyDescent="0.25">
      <c r="B742" s="1"/>
      <c r="M742" s="2"/>
    </row>
    <row r="743" spans="2:13" ht="15.75" customHeight="1" x14ac:dyDescent="0.25">
      <c r="B743" s="1"/>
      <c r="M743" s="2"/>
    </row>
    <row r="744" spans="2:13" ht="15.75" customHeight="1" x14ac:dyDescent="0.25">
      <c r="B744" s="1"/>
      <c r="M744" s="2"/>
    </row>
    <row r="745" spans="2:13" ht="15.75" customHeight="1" x14ac:dyDescent="0.25">
      <c r="B745" s="1"/>
      <c r="M745" s="2"/>
    </row>
    <row r="746" spans="2:13" ht="15.75" customHeight="1" x14ac:dyDescent="0.25">
      <c r="B746" s="1"/>
      <c r="M746" s="2"/>
    </row>
    <row r="747" spans="2:13" ht="15.75" customHeight="1" x14ac:dyDescent="0.25">
      <c r="B747" s="1"/>
      <c r="M747" s="2"/>
    </row>
    <row r="748" spans="2:13" ht="15.75" customHeight="1" x14ac:dyDescent="0.25">
      <c r="B748" s="1"/>
      <c r="M748" s="2"/>
    </row>
    <row r="749" spans="2:13" ht="15.75" customHeight="1" x14ac:dyDescent="0.25">
      <c r="B749" s="1"/>
      <c r="M749" s="2"/>
    </row>
    <row r="750" spans="2:13" ht="15.75" customHeight="1" x14ac:dyDescent="0.25">
      <c r="B750" s="1"/>
      <c r="M750" s="2"/>
    </row>
    <row r="751" spans="2:13" ht="15.75" customHeight="1" x14ac:dyDescent="0.25">
      <c r="B751" s="1"/>
      <c r="M751" s="2"/>
    </row>
    <row r="752" spans="2:13" ht="15.75" customHeight="1" x14ac:dyDescent="0.25">
      <c r="B752" s="1"/>
      <c r="M752" s="2"/>
    </row>
    <row r="753" spans="2:13" ht="15.75" customHeight="1" x14ac:dyDescent="0.25">
      <c r="B753" s="1"/>
      <c r="M753" s="2"/>
    </row>
    <row r="754" spans="2:13" ht="15.75" customHeight="1" x14ac:dyDescent="0.25">
      <c r="B754" s="1"/>
      <c r="M754" s="2"/>
    </row>
    <row r="755" spans="2:13" ht="15.75" customHeight="1" x14ac:dyDescent="0.25">
      <c r="B755" s="1"/>
      <c r="M755" s="2"/>
    </row>
    <row r="756" spans="2:13" ht="15.75" customHeight="1" x14ac:dyDescent="0.25">
      <c r="B756" s="1"/>
      <c r="M756" s="2"/>
    </row>
    <row r="757" spans="2:13" ht="15.75" customHeight="1" x14ac:dyDescent="0.25">
      <c r="B757" s="1"/>
      <c r="M757" s="2"/>
    </row>
    <row r="758" spans="2:13" ht="15.75" customHeight="1" x14ac:dyDescent="0.25">
      <c r="B758" s="1"/>
      <c r="M758" s="2"/>
    </row>
    <row r="759" spans="2:13" ht="15.75" customHeight="1" x14ac:dyDescent="0.25">
      <c r="B759" s="1"/>
      <c r="M759" s="2"/>
    </row>
    <row r="760" spans="2:13" ht="15.75" customHeight="1" x14ac:dyDescent="0.25">
      <c r="B760" s="1"/>
      <c r="M760" s="2"/>
    </row>
    <row r="761" spans="2:13" ht="15.75" customHeight="1" x14ac:dyDescent="0.25">
      <c r="B761" s="1"/>
      <c r="M761" s="2"/>
    </row>
    <row r="762" spans="2:13" ht="15.75" customHeight="1" x14ac:dyDescent="0.25">
      <c r="B762" s="1"/>
      <c r="M762" s="2"/>
    </row>
    <row r="763" spans="2:13" ht="15.75" customHeight="1" x14ac:dyDescent="0.25">
      <c r="B763" s="1"/>
      <c r="M763" s="2"/>
    </row>
    <row r="764" spans="2:13" ht="15.75" customHeight="1" x14ac:dyDescent="0.25">
      <c r="B764" s="1"/>
      <c r="M764" s="2"/>
    </row>
    <row r="765" spans="2:13" ht="15.75" customHeight="1" x14ac:dyDescent="0.25">
      <c r="B765" s="1"/>
      <c r="M765" s="2"/>
    </row>
    <row r="766" spans="2:13" ht="15.75" customHeight="1" x14ac:dyDescent="0.25">
      <c r="B766" s="1"/>
      <c r="M766" s="2"/>
    </row>
    <row r="767" spans="2:13" ht="15.75" customHeight="1" x14ac:dyDescent="0.25">
      <c r="B767" s="1"/>
      <c r="M767" s="2"/>
    </row>
    <row r="768" spans="2:13" ht="15.75" customHeight="1" x14ac:dyDescent="0.25">
      <c r="B768" s="1"/>
      <c r="M768" s="2"/>
    </row>
    <row r="769" spans="2:13" ht="15.75" customHeight="1" x14ac:dyDescent="0.25">
      <c r="B769" s="1"/>
      <c r="M769" s="2"/>
    </row>
    <row r="770" spans="2:13" ht="15.75" customHeight="1" x14ac:dyDescent="0.25">
      <c r="B770" s="1"/>
      <c r="M770" s="2"/>
    </row>
    <row r="771" spans="2:13" ht="15.75" customHeight="1" x14ac:dyDescent="0.25">
      <c r="B771" s="1"/>
      <c r="M771" s="2"/>
    </row>
    <row r="772" spans="2:13" ht="15.75" customHeight="1" x14ac:dyDescent="0.25">
      <c r="B772" s="1"/>
      <c r="M772" s="2"/>
    </row>
    <row r="773" spans="2:13" ht="15.75" customHeight="1" x14ac:dyDescent="0.25">
      <c r="B773" s="1"/>
      <c r="M773" s="2"/>
    </row>
    <row r="774" spans="2:13" ht="15.75" customHeight="1" x14ac:dyDescent="0.25">
      <c r="B774" s="1"/>
      <c r="M774" s="2"/>
    </row>
    <row r="775" spans="2:13" ht="15.75" customHeight="1" x14ac:dyDescent="0.25">
      <c r="B775" s="1"/>
      <c r="M775" s="2"/>
    </row>
    <row r="776" spans="2:13" ht="15.75" customHeight="1" x14ac:dyDescent="0.25">
      <c r="B776" s="1"/>
      <c r="M776" s="2"/>
    </row>
    <row r="777" spans="2:13" ht="15.75" customHeight="1" x14ac:dyDescent="0.25">
      <c r="B777" s="1"/>
      <c r="M777" s="2"/>
    </row>
    <row r="778" spans="2:13" ht="15.75" customHeight="1" x14ac:dyDescent="0.25">
      <c r="B778" s="1"/>
      <c r="M778" s="2"/>
    </row>
    <row r="779" spans="2:13" ht="15.75" customHeight="1" x14ac:dyDescent="0.25">
      <c r="B779" s="1"/>
      <c r="M779" s="2"/>
    </row>
    <row r="780" spans="2:13" ht="15.75" customHeight="1" x14ac:dyDescent="0.25">
      <c r="B780" s="1"/>
      <c r="M780" s="2"/>
    </row>
    <row r="781" spans="2:13" ht="15.75" customHeight="1" x14ac:dyDescent="0.25">
      <c r="B781" s="1"/>
      <c r="M781" s="2"/>
    </row>
    <row r="782" spans="2:13" ht="15.75" customHeight="1" x14ac:dyDescent="0.25">
      <c r="B782" s="1"/>
      <c r="M782" s="2"/>
    </row>
    <row r="783" spans="2:13" ht="15.75" customHeight="1" x14ac:dyDescent="0.25">
      <c r="B783" s="1"/>
      <c r="M783" s="2"/>
    </row>
    <row r="784" spans="2:13" ht="15.75" customHeight="1" x14ac:dyDescent="0.25">
      <c r="B784" s="1"/>
      <c r="M784" s="2"/>
    </row>
    <row r="785" spans="2:13" ht="15.75" customHeight="1" x14ac:dyDescent="0.25">
      <c r="B785" s="1"/>
      <c r="M785" s="2"/>
    </row>
    <row r="786" spans="2:13" ht="15.75" customHeight="1" x14ac:dyDescent="0.25">
      <c r="B786" s="1"/>
      <c r="M786" s="2"/>
    </row>
    <row r="787" spans="2:13" ht="15.75" customHeight="1" x14ac:dyDescent="0.25">
      <c r="B787" s="1"/>
      <c r="M787" s="2"/>
    </row>
    <row r="788" spans="2:13" ht="15.75" customHeight="1" x14ac:dyDescent="0.25">
      <c r="B788" s="1"/>
      <c r="M788" s="2"/>
    </row>
    <row r="789" spans="2:13" ht="15.75" customHeight="1" x14ac:dyDescent="0.25">
      <c r="B789" s="1"/>
      <c r="M789" s="2"/>
    </row>
    <row r="790" spans="2:13" ht="15.75" customHeight="1" x14ac:dyDescent="0.25">
      <c r="B790" s="1"/>
      <c r="M790" s="2"/>
    </row>
    <row r="791" spans="2:13" ht="15.75" customHeight="1" x14ac:dyDescent="0.25">
      <c r="B791" s="1"/>
      <c r="M791" s="2"/>
    </row>
    <row r="792" spans="2:13" ht="15.75" customHeight="1" x14ac:dyDescent="0.25">
      <c r="B792" s="1"/>
      <c r="M792" s="2"/>
    </row>
    <row r="793" spans="2:13" ht="15.75" customHeight="1" x14ac:dyDescent="0.25">
      <c r="B793" s="1"/>
      <c r="M793" s="2"/>
    </row>
    <row r="794" spans="2:13" ht="15.75" customHeight="1" x14ac:dyDescent="0.25">
      <c r="B794" s="1"/>
      <c r="M794" s="2"/>
    </row>
    <row r="795" spans="2:13" ht="15.75" customHeight="1" x14ac:dyDescent="0.25">
      <c r="B795" s="1"/>
      <c r="M795" s="2"/>
    </row>
    <row r="796" spans="2:13" ht="15.75" customHeight="1" x14ac:dyDescent="0.25">
      <c r="B796" s="1"/>
      <c r="M796" s="2"/>
    </row>
    <row r="797" spans="2:13" ht="15.75" customHeight="1" x14ac:dyDescent="0.25">
      <c r="B797" s="1"/>
      <c r="M797" s="2"/>
    </row>
    <row r="798" spans="2:13" ht="15.75" customHeight="1" x14ac:dyDescent="0.25">
      <c r="B798" s="1"/>
      <c r="M798" s="2"/>
    </row>
    <row r="799" spans="2:13" ht="15.75" customHeight="1" x14ac:dyDescent="0.25">
      <c r="B799" s="1"/>
      <c r="M799" s="2"/>
    </row>
    <row r="800" spans="2:13" ht="15.75" customHeight="1" x14ac:dyDescent="0.25">
      <c r="B800" s="1"/>
      <c r="M800" s="2"/>
    </row>
    <row r="801" spans="2:13" ht="15.75" customHeight="1" x14ac:dyDescent="0.25">
      <c r="B801" s="1"/>
      <c r="M801" s="2"/>
    </row>
    <row r="802" spans="2:13" ht="15.75" customHeight="1" x14ac:dyDescent="0.25">
      <c r="B802" s="1"/>
      <c r="M802" s="2"/>
    </row>
    <row r="803" spans="2:13" ht="15.75" customHeight="1" x14ac:dyDescent="0.25">
      <c r="B803" s="1"/>
      <c r="M803" s="2"/>
    </row>
    <row r="804" spans="2:13" ht="15.75" customHeight="1" x14ac:dyDescent="0.25">
      <c r="B804" s="1"/>
      <c r="M804" s="2"/>
    </row>
    <row r="805" spans="2:13" ht="15.75" customHeight="1" x14ac:dyDescent="0.25">
      <c r="B805" s="1"/>
      <c r="M805" s="2"/>
    </row>
    <row r="806" spans="2:13" ht="15.75" customHeight="1" x14ac:dyDescent="0.25">
      <c r="B806" s="1"/>
      <c r="M806" s="2"/>
    </row>
    <row r="807" spans="2:13" ht="15.75" customHeight="1" x14ac:dyDescent="0.25">
      <c r="B807" s="1"/>
      <c r="M807" s="2"/>
    </row>
    <row r="808" spans="2:13" ht="15.75" customHeight="1" x14ac:dyDescent="0.25">
      <c r="B808" s="1"/>
      <c r="M808" s="2"/>
    </row>
    <row r="809" spans="2:13" ht="15.75" customHeight="1" x14ac:dyDescent="0.25">
      <c r="B809" s="1"/>
      <c r="M809" s="2"/>
    </row>
    <row r="810" spans="2:13" ht="15.75" customHeight="1" x14ac:dyDescent="0.25">
      <c r="B810" s="1"/>
      <c r="M810" s="2"/>
    </row>
    <row r="811" spans="2:13" ht="15.75" customHeight="1" x14ac:dyDescent="0.25">
      <c r="B811" s="1"/>
      <c r="M811" s="2"/>
    </row>
    <row r="812" spans="2:13" ht="15.75" customHeight="1" x14ac:dyDescent="0.25">
      <c r="B812" s="1"/>
      <c r="M812" s="2"/>
    </row>
    <row r="813" spans="2:13" ht="15.75" customHeight="1" x14ac:dyDescent="0.25">
      <c r="B813" s="1"/>
      <c r="M813" s="2"/>
    </row>
    <row r="814" spans="2:13" ht="15.75" customHeight="1" x14ac:dyDescent="0.25">
      <c r="B814" s="1"/>
      <c r="M814" s="2"/>
    </row>
    <row r="815" spans="2:13" ht="15.75" customHeight="1" x14ac:dyDescent="0.25">
      <c r="B815" s="1"/>
      <c r="M815" s="2"/>
    </row>
    <row r="816" spans="2:13" ht="15.75" customHeight="1" x14ac:dyDescent="0.25">
      <c r="B816" s="1"/>
      <c r="M816" s="2"/>
    </row>
    <row r="817" spans="2:13" ht="15.75" customHeight="1" x14ac:dyDescent="0.25">
      <c r="B817" s="1"/>
      <c r="M817" s="2"/>
    </row>
    <row r="818" spans="2:13" ht="15.75" customHeight="1" x14ac:dyDescent="0.25">
      <c r="B818" s="1"/>
      <c r="M818" s="2"/>
    </row>
    <row r="819" spans="2:13" ht="15.75" customHeight="1" x14ac:dyDescent="0.25">
      <c r="B819" s="1"/>
      <c r="M819" s="2"/>
    </row>
    <row r="820" spans="2:13" ht="15.75" customHeight="1" x14ac:dyDescent="0.25">
      <c r="B820" s="1"/>
      <c r="M820" s="2"/>
    </row>
    <row r="821" spans="2:13" ht="15.75" customHeight="1" x14ac:dyDescent="0.25">
      <c r="B821" s="1"/>
      <c r="M821" s="2"/>
    </row>
    <row r="822" spans="2:13" ht="15.75" customHeight="1" x14ac:dyDescent="0.25">
      <c r="B822" s="1"/>
      <c r="M822" s="2"/>
    </row>
    <row r="823" spans="2:13" ht="15.75" customHeight="1" x14ac:dyDescent="0.25">
      <c r="B823" s="1"/>
      <c r="M823" s="2"/>
    </row>
    <row r="824" spans="2:13" ht="15.75" customHeight="1" x14ac:dyDescent="0.25">
      <c r="B824" s="1"/>
      <c r="M824" s="2"/>
    </row>
    <row r="825" spans="2:13" ht="15.75" customHeight="1" x14ac:dyDescent="0.25">
      <c r="B825" s="1"/>
      <c r="M825" s="2"/>
    </row>
    <row r="826" spans="2:13" ht="15.75" customHeight="1" x14ac:dyDescent="0.25">
      <c r="B826" s="1"/>
      <c r="M826" s="2"/>
    </row>
    <row r="827" spans="2:13" ht="15.75" customHeight="1" x14ac:dyDescent="0.25">
      <c r="B827" s="1"/>
      <c r="M827" s="2"/>
    </row>
    <row r="828" spans="2:13" ht="15.75" customHeight="1" x14ac:dyDescent="0.25">
      <c r="B828" s="1"/>
      <c r="M828" s="2"/>
    </row>
    <row r="829" spans="2:13" ht="15.75" customHeight="1" x14ac:dyDescent="0.25">
      <c r="B829" s="1"/>
      <c r="M829" s="2"/>
    </row>
    <row r="830" spans="2:13" ht="15.75" customHeight="1" x14ac:dyDescent="0.25">
      <c r="B830" s="1"/>
      <c r="M830" s="2"/>
    </row>
    <row r="831" spans="2:13" ht="15.75" customHeight="1" x14ac:dyDescent="0.25">
      <c r="B831" s="1"/>
      <c r="M831" s="2"/>
    </row>
    <row r="832" spans="2:13" ht="15.75" customHeight="1" x14ac:dyDescent="0.25">
      <c r="B832" s="1"/>
      <c r="M832" s="2"/>
    </row>
    <row r="833" spans="2:13" ht="15.75" customHeight="1" x14ac:dyDescent="0.25">
      <c r="B833" s="1"/>
      <c r="M833" s="2"/>
    </row>
    <row r="834" spans="2:13" ht="15.75" customHeight="1" x14ac:dyDescent="0.25">
      <c r="B834" s="1"/>
      <c r="M834" s="2"/>
    </row>
    <row r="835" spans="2:13" ht="15.75" customHeight="1" x14ac:dyDescent="0.25">
      <c r="B835" s="1"/>
      <c r="M835" s="2"/>
    </row>
    <row r="836" spans="2:13" ht="15.75" customHeight="1" x14ac:dyDescent="0.25">
      <c r="B836" s="1"/>
      <c r="M836" s="2"/>
    </row>
    <row r="837" spans="2:13" ht="15.75" customHeight="1" x14ac:dyDescent="0.25">
      <c r="B837" s="1"/>
      <c r="M837" s="2"/>
    </row>
    <row r="838" spans="2:13" ht="15.75" customHeight="1" x14ac:dyDescent="0.25">
      <c r="B838" s="1"/>
      <c r="M838" s="2"/>
    </row>
    <row r="839" spans="2:13" ht="15.75" customHeight="1" x14ac:dyDescent="0.25">
      <c r="B839" s="1"/>
      <c r="M839" s="2"/>
    </row>
    <row r="840" spans="2:13" ht="15.75" customHeight="1" x14ac:dyDescent="0.25">
      <c r="B840" s="1"/>
      <c r="M840" s="2"/>
    </row>
    <row r="841" spans="2:13" ht="15.75" customHeight="1" x14ac:dyDescent="0.25">
      <c r="B841" s="1"/>
      <c r="M841" s="2"/>
    </row>
    <row r="842" spans="2:13" ht="15.75" customHeight="1" x14ac:dyDescent="0.25">
      <c r="B842" s="1"/>
      <c r="M842" s="2"/>
    </row>
    <row r="843" spans="2:13" ht="15.75" customHeight="1" x14ac:dyDescent="0.25">
      <c r="B843" s="1"/>
      <c r="M843" s="2"/>
    </row>
    <row r="844" spans="2:13" ht="15.75" customHeight="1" x14ac:dyDescent="0.25">
      <c r="B844" s="1"/>
      <c r="M844" s="2"/>
    </row>
    <row r="845" spans="2:13" ht="15.75" customHeight="1" x14ac:dyDescent="0.25">
      <c r="B845" s="1"/>
      <c r="M845" s="2"/>
    </row>
    <row r="846" spans="2:13" ht="15.75" customHeight="1" x14ac:dyDescent="0.25">
      <c r="B846" s="1"/>
      <c r="M846" s="2"/>
    </row>
    <row r="847" spans="2:13" ht="15.75" customHeight="1" x14ac:dyDescent="0.25">
      <c r="B847" s="1"/>
      <c r="M847" s="2"/>
    </row>
    <row r="848" spans="2:13" ht="15.75" customHeight="1" x14ac:dyDescent="0.25">
      <c r="B848" s="1"/>
      <c r="M848" s="2"/>
    </row>
    <row r="849" spans="2:13" ht="15.75" customHeight="1" x14ac:dyDescent="0.25">
      <c r="B849" s="1"/>
      <c r="M849" s="2"/>
    </row>
    <row r="850" spans="2:13" ht="15.75" customHeight="1" x14ac:dyDescent="0.25">
      <c r="B850" s="1"/>
      <c r="M850" s="2"/>
    </row>
    <row r="851" spans="2:13" ht="15.75" customHeight="1" x14ac:dyDescent="0.25">
      <c r="B851" s="1"/>
      <c r="M851" s="2"/>
    </row>
    <row r="852" spans="2:13" ht="15.75" customHeight="1" x14ac:dyDescent="0.25">
      <c r="B852" s="1"/>
      <c r="M852" s="2"/>
    </row>
    <row r="853" spans="2:13" ht="15.75" customHeight="1" x14ac:dyDescent="0.25">
      <c r="B853" s="1"/>
      <c r="M853" s="2"/>
    </row>
    <row r="854" spans="2:13" ht="15.75" customHeight="1" x14ac:dyDescent="0.25">
      <c r="B854" s="1"/>
      <c r="M854" s="2"/>
    </row>
    <row r="855" spans="2:13" ht="15.75" customHeight="1" x14ac:dyDescent="0.25">
      <c r="B855" s="1"/>
      <c r="M855" s="2"/>
    </row>
    <row r="856" spans="2:13" ht="15.75" customHeight="1" x14ac:dyDescent="0.25">
      <c r="B856" s="1"/>
      <c r="M856" s="2"/>
    </row>
    <row r="857" spans="2:13" ht="15.75" customHeight="1" x14ac:dyDescent="0.25">
      <c r="B857" s="1"/>
      <c r="M857" s="2"/>
    </row>
    <row r="858" spans="2:13" ht="15.75" customHeight="1" x14ac:dyDescent="0.25">
      <c r="B858" s="1"/>
      <c r="M858" s="2"/>
    </row>
    <row r="859" spans="2:13" ht="15.75" customHeight="1" x14ac:dyDescent="0.25">
      <c r="B859" s="1"/>
      <c r="M859" s="2"/>
    </row>
    <row r="860" spans="2:13" ht="15.75" customHeight="1" x14ac:dyDescent="0.25">
      <c r="B860" s="1"/>
      <c r="M860" s="2"/>
    </row>
    <row r="861" spans="2:13" ht="15.75" customHeight="1" x14ac:dyDescent="0.25">
      <c r="B861" s="1"/>
      <c r="M861" s="2"/>
    </row>
    <row r="862" spans="2:13" ht="15.75" customHeight="1" x14ac:dyDescent="0.25">
      <c r="B862" s="1"/>
      <c r="M862" s="2"/>
    </row>
    <row r="863" spans="2:13" ht="15.75" customHeight="1" x14ac:dyDescent="0.25">
      <c r="B863" s="1"/>
      <c r="M863" s="2"/>
    </row>
    <row r="864" spans="2:13" ht="15.75" customHeight="1" x14ac:dyDescent="0.25">
      <c r="B864" s="1"/>
      <c r="M864" s="2"/>
    </row>
    <row r="865" spans="2:13" ht="15.75" customHeight="1" x14ac:dyDescent="0.25">
      <c r="B865" s="1"/>
      <c r="M865" s="2"/>
    </row>
    <row r="866" spans="2:13" ht="15.75" customHeight="1" x14ac:dyDescent="0.25">
      <c r="B866" s="1"/>
      <c r="M866" s="2"/>
    </row>
    <row r="867" spans="2:13" ht="15.75" customHeight="1" x14ac:dyDescent="0.25">
      <c r="B867" s="1"/>
      <c r="M867" s="2"/>
    </row>
    <row r="868" spans="2:13" ht="15.75" customHeight="1" x14ac:dyDescent="0.25">
      <c r="B868" s="1"/>
      <c r="M868" s="2"/>
    </row>
    <row r="869" spans="2:13" ht="15.75" customHeight="1" x14ac:dyDescent="0.25">
      <c r="B869" s="1"/>
      <c r="M869" s="2"/>
    </row>
    <row r="870" spans="2:13" ht="15.75" customHeight="1" x14ac:dyDescent="0.25">
      <c r="B870" s="1"/>
      <c r="M870" s="2"/>
    </row>
    <row r="871" spans="2:13" ht="15.75" customHeight="1" x14ac:dyDescent="0.25">
      <c r="B871" s="1"/>
      <c r="M871" s="2"/>
    </row>
    <row r="872" spans="2:13" ht="15.75" customHeight="1" x14ac:dyDescent="0.25">
      <c r="B872" s="1"/>
      <c r="M872" s="2"/>
    </row>
    <row r="873" spans="2:13" ht="15.75" customHeight="1" x14ac:dyDescent="0.25">
      <c r="B873" s="1"/>
      <c r="M873" s="2"/>
    </row>
    <row r="874" spans="2:13" ht="15.75" customHeight="1" x14ac:dyDescent="0.25">
      <c r="B874" s="1"/>
      <c r="M874" s="2"/>
    </row>
    <row r="875" spans="2:13" ht="15.75" customHeight="1" x14ac:dyDescent="0.25">
      <c r="B875" s="1"/>
      <c r="M875" s="2"/>
    </row>
    <row r="876" spans="2:13" ht="15.75" customHeight="1" x14ac:dyDescent="0.25">
      <c r="B876" s="1"/>
      <c r="M876" s="2"/>
    </row>
    <row r="877" spans="2:13" ht="15.75" customHeight="1" x14ac:dyDescent="0.25">
      <c r="B877" s="1"/>
      <c r="M877" s="2"/>
    </row>
    <row r="878" spans="2:13" ht="15.75" customHeight="1" x14ac:dyDescent="0.25">
      <c r="B878" s="1"/>
      <c r="M878" s="2"/>
    </row>
    <row r="879" spans="2:13" ht="15.75" customHeight="1" x14ac:dyDescent="0.25">
      <c r="B879" s="1"/>
      <c r="M879" s="2"/>
    </row>
    <row r="880" spans="2:13" ht="15.75" customHeight="1" x14ac:dyDescent="0.25">
      <c r="B880" s="1"/>
      <c r="M880" s="2"/>
    </row>
    <row r="881" spans="2:13" ht="15.75" customHeight="1" x14ac:dyDescent="0.25">
      <c r="B881" s="1"/>
      <c r="M881" s="2"/>
    </row>
    <row r="882" spans="2:13" ht="15.75" customHeight="1" x14ac:dyDescent="0.25">
      <c r="B882" s="1"/>
      <c r="M882" s="2"/>
    </row>
    <row r="883" spans="2:13" ht="15.75" customHeight="1" x14ac:dyDescent="0.25">
      <c r="B883" s="1"/>
      <c r="M883" s="2"/>
    </row>
    <row r="884" spans="2:13" ht="15.75" customHeight="1" x14ac:dyDescent="0.25">
      <c r="B884" s="1"/>
      <c r="M884" s="2"/>
    </row>
    <row r="885" spans="2:13" ht="15.75" customHeight="1" x14ac:dyDescent="0.25">
      <c r="B885" s="1"/>
      <c r="M885" s="2"/>
    </row>
    <row r="886" spans="2:13" ht="15.75" customHeight="1" x14ac:dyDescent="0.25">
      <c r="B886" s="1"/>
      <c r="M886" s="2"/>
    </row>
    <row r="887" spans="2:13" ht="15.75" customHeight="1" x14ac:dyDescent="0.25">
      <c r="B887" s="1"/>
      <c r="M887" s="2"/>
    </row>
    <row r="888" spans="2:13" ht="15.75" customHeight="1" x14ac:dyDescent="0.25">
      <c r="B888" s="1"/>
      <c r="M888" s="2"/>
    </row>
    <row r="889" spans="2:13" ht="15.75" customHeight="1" x14ac:dyDescent="0.25">
      <c r="B889" s="1"/>
      <c r="M889" s="2"/>
    </row>
    <row r="890" spans="2:13" ht="15.75" customHeight="1" x14ac:dyDescent="0.25">
      <c r="B890" s="1"/>
      <c r="M890" s="2"/>
    </row>
    <row r="891" spans="2:13" ht="15.75" customHeight="1" x14ac:dyDescent="0.25">
      <c r="B891" s="1"/>
      <c r="M891" s="2"/>
    </row>
    <row r="892" spans="2:13" ht="15.75" customHeight="1" x14ac:dyDescent="0.25">
      <c r="B892" s="1"/>
      <c r="M892" s="2"/>
    </row>
    <row r="893" spans="2:13" ht="15.75" customHeight="1" x14ac:dyDescent="0.25">
      <c r="B893" s="1"/>
      <c r="M893" s="2"/>
    </row>
    <row r="894" spans="2:13" ht="15.75" customHeight="1" x14ac:dyDescent="0.25">
      <c r="B894" s="1"/>
      <c r="M894" s="2"/>
    </row>
    <row r="895" spans="2:13" ht="15.75" customHeight="1" x14ac:dyDescent="0.25">
      <c r="B895" s="1"/>
      <c r="M895" s="2"/>
    </row>
    <row r="896" spans="2:13" ht="15.75" customHeight="1" x14ac:dyDescent="0.25">
      <c r="B896" s="1"/>
      <c r="M896" s="2"/>
    </row>
    <row r="897" spans="2:13" ht="15.75" customHeight="1" x14ac:dyDescent="0.25">
      <c r="B897" s="1"/>
      <c r="M897" s="2"/>
    </row>
    <row r="898" spans="2:13" ht="15.75" customHeight="1" x14ac:dyDescent="0.25">
      <c r="B898" s="1"/>
      <c r="M898" s="2"/>
    </row>
    <row r="899" spans="2:13" ht="15.75" customHeight="1" x14ac:dyDescent="0.25">
      <c r="B899" s="1"/>
      <c r="M899" s="2"/>
    </row>
    <row r="900" spans="2:13" ht="15.75" customHeight="1" x14ac:dyDescent="0.25">
      <c r="B900" s="1"/>
      <c r="M900" s="2"/>
    </row>
    <row r="901" spans="2:13" ht="15.75" customHeight="1" x14ac:dyDescent="0.25">
      <c r="B901" s="1"/>
      <c r="M901" s="2"/>
    </row>
    <row r="902" spans="2:13" ht="15.75" customHeight="1" x14ac:dyDescent="0.25">
      <c r="B902" s="1"/>
      <c r="M902" s="2"/>
    </row>
    <row r="903" spans="2:13" ht="15.75" customHeight="1" x14ac:dyDescent="0.25">
      <c r="B903" s="1"/>
      <c r="M903" s="2"/>
    </row>
    <row r="904" spans="2:13" ht="15.75" customHeight="1" x14ac:dyDescent="0.25">
      <c r="B904" s="1"/>
      <c r="M904" s="2"/>
    </row>
    <row r="905" spans="2:13" ht="15.75" customHeight="1" x14ac:dyDescent="0.25">
      <c r="B905" s="1"/>
      <c r="M905" s="2"/>
    </row>
    <row r="906" spans="2:13" ht="15.75" customHeight="1" x14ac:dyDescent="0.25">
      <c r="B906" s="1"/>
      <c r="M906" s="2"/>
    </row>
    <row r="907" spans="2:13" ht="15.75" customHeight="1" x14ac:dyDescent="0.25">
      <c r="B907" s="1"/>
      <c r="M907" s="2"/>
    </row>
    <row r="908" spans="2:13" ht="15.75" customHeight="1" x14ac:dyDescent="0.25">
      <c r="B908" s="1"/>
      <c r="M908" s="2"/>
    </row>
    <row r="909" spans="2:13" ht="15.75" customHeight="1" x14ac:dyDescent="0.25">
      <c r="B909" s="1"/>
      <c r="M909" s="2"/>
    </row>
    <row r="910" spans="2:13" ht="15.75" customHeight="1" x14ac:dyDescent="0.25">
      <c r="B910" s="1"/>
      <c r="M910" s="2"/>
    </row>
    <row r="911" spans="2:13" ht="15.75" customHeight="1" x14ac:dyDescent="0.25">
      <c r="B911" s="1"/>
      <c r="M911" s="2"/>
    </row>
    <row r="912" spans="2:13" ht="15.75" customHeight="1" x14ac:dyDescent="0.25">
      <c r="B912" s="1"/>
      <c r="M912" s="2"/>
    </row>
    <row r="913" spans="2:13" ht="15.75" customHeight="1" x14ac:dyDescent="0.25">
      <c r="B913" s="1"/>
      <c r="M913" s="2"/>
    </row>
    <row r="914" spans="2:13" ht="15.75" customHeight="1" x14ac:dyDescent="0.25">
      <c r="B914" s="1"/>
      <c r="M914" s="2"/>
    </row>
    <row r="915" spans="2:13" ht="15.75" customHeight="1" x14ac:dyDescent="0.25">
      <c r="B915" s="1"/>
      <c r="M915" s="2"/>
    </row>
    <row r="916" spans="2:13" ht="15.75" customHeight="1" x14ac:dyDescent="0.25">
      <c r="B916" s="1"/>
      <c r="M916" s="2"/>
    </row>
    <row r="917" spans="2:13" ht="15.75" customHeight="1" x14ac:dyDescent="0.25">
      <c r="B917" s="1"/>
      <c r="M917" s="2"/>
    </row>
    <row r="918" spans="2:13" ht="15.75" customHeight="1" x14ac:dyDescent="0.25">
      <c r="B918" s="1"/>
      <c r="M918" s="2"/>
    </row>
    <row r="919" spans="2:13" ht="15.75" customHeight="1" x14ac:dyDescent="0.25">
      <c r="B919" s="1"/>
      <c r="M919" s="2"/>
    </row>
    <row r="920" spans="2:13" ht="15.75" customHeight="1" x14ac:dyDescent="0.25">
      <c r="B920" s="1"/>
      <c r="M920" s="2"/>
    </row>
    <row r="921" spans="2:13" ht="15.75" customHeight="1" x14ac:dyDescent="0.25">
      <c r="B921" s="1"/>
      <c r="M921" s="2"/>
    </row>
    <row r="922" spans="2:13" ht="15.75" customHeight="1" x14ac:dyDescent="0.25">
      <c r="B922" s="1"/>
      <c r="M922" s="2"/>
    </row>
    <row r="923" spans="2:13" ht="15.75" customHeight="1" x14ac:dyDescent="0.25">
      <c r="B923" s="1"/>
      <c r="M923" s="2"/>
    </row>
    <row r="924" spans="2:13" ht="15.75" customHeight="1" x14ac:dyDescent="0.25">
      <c r="B924" s="1"/>
      <c r="M924" s="2"/>
    </row>
    <row r="925" spans="2:13" ht="15.75" customHeight="1" x14ac:dyDescent="0.25">
      <c r="B925" s="1"/>
      <c r="M925" s="2"/>
    </row>
    <row r="926" spans="2:13" ht="15.75" customHeight="1" x14ac:dyDescent="0.25">
      <c r="B926" s="1"/>
      <c r="M926" s="2"/>
    </row>
    <row r="927" spans="2:13" ht="15.75" customHeight="1" x14ac:dyDescent="0.25">
      <c r="B927" s="1"/>
      <c r="M927" s="2"/>
    </row>
    <row r="928" spans="2:13" ht="15.75" customHeight="1" x14ac:dyDescent="0.25">
      <c r="B928" s="1"/>
      <c r="M928" s="2"/>
    </row>
    <row r="929" spans="2:13" ht="15.75" customHeight="1" x14ac:dyDescent="0.25">
      <c r="B929" s="1"/>
      <c r="M929" s="2"/>
    </row>
    <row r="930" spans="2:13" ht="15.75" customHeight="1" x14ac:dyDescent="0.25">
      <c r="B930" s="1"/>
      <c r="M930" s="2"/>
    </row>
    <row r="931" spans="2:13" ht="15.75" customHeight="1" x14ac:dyDescent="0.25">
      <c r="B931" s="1"/>
      <c r="M931" s="2"/>
    </row>
    <row r="932" spans="2:13" ht="15.75" customHeight="1" x14ac:dyDescent="0.25">
      <c r="B932" s="1"/>
      <c r="M932" s="2"/>
    </row>
    <row r="933" spans="2:13" ht="15.75" customHeight="1" x14ac:dyDescent="0.25">
      <c r="B933" s="1"/>
      <c r="M933" s="2"/>
    </row>
    <row r="934" spans="2:13" ht="15.75" customHeight="1" x14ac:dyDescent="0.25">
      <c r="B934" s="1"/>
      <c r="M934" s="2"/>
    </row>
    <row r="935" spans="2:13" ht="15.75" customHeight="1" x14ac:dyDescent="0.25">
      <c r="B935" s="1"/>
      <c r="M935" s="2"/>
    </row>
    <row r="936" spans="2:13" ht="15.75" customHeight="1" x14ac:dyDescent="0.25">
      <c r="B936" s="1"/>
      <c r="M936" s="2"/>
    </row>
    <row r="937" spans="2:13" ht="15.75" customHeight="1" x14ac:dyDescent="0.25">
      <c r="B937" s="1"/>
      <c r="M937" s="2"/>
    </row>
    <row r="938" spans="2:13" ht="15.75" customHeight="1" x14ac:dyDescent="0.25">
      <c r="B938" s="1"/>
      <c r="M938" s="2"/>
    </row>
    <row r="939" spans="2:13" ht="15.75" customHeight="1" x14ac:dyDescent="0.25">
      <c r="B939" s="1"/>
      <c r="M939" s="2"/>
    </row>
    <row r="940" spans="2:13" ht="15.75" customHeight="1" x14ac:dyDescent="0.25">
      <c r="B940" s="1"/>
      <c r="M940" s="2"/>
    </row>
    <row r="941" spans="2:13" ht="15.75" customHeight="1" x14ac:dyDescent="0.25">
      <c r="B941" s="1"/>
      <c r="M941" s="2"/>
    </row>
    <row r="942" spans="2:13" ht="15.75" customHeight="1" x14ac:dyDescent="0.25">
      <c r="B942" s="1"/>
      <c r="M942" s="2"/>
    </row>
    <row r="943" spans="2:13" ht="15.75" customHeight="1" x14ac:dyDescent="0.25">
      <c r="B943" s="1"/>
      <c r="M943" s="2"/>
    </row>
    <row r="944" spans="2:13" ht="15.75" customHeight="1" x14ac:dyDescent="0.25">
      <c r="B944" s="1"/>
      <c r="M944" s="2"/>
    </row>
    <row r="945" spans="2:13" ht="15.75" customHeight="1" x14ac:dyDescent="0.25">
      <c r="B945" s="1"/>
      <c r="M945" s="2"/>
    </row>
    <row r="946" spans="2:13" ht="15.75" customHeight="1" x14ac:dyDescent="0.25">
      <c r="B946" s="1"/>
      <c r="M946" s="2"/>
    </row>
    <row r="947" spans="2:13" ht="15.75" customHeight="1" x14ac:dyDescent="0.25">
      <c r="B947" s="1"/>
      <c r="M947" s="2"/>
    </row>
    <row r="948" spans="2:13" ht="15.75" customHeight="1" x14ac:dyDescent="0.25">
      <c r="B948" s="1"/>
      <c r="M948" s="2"/>
    </row>
    <row r="949" spans="2:13" ht="15.75" customHeight="1" x14ac:dyDescent="0.25">
      <c r="B949" s="1"/>
      <c r="M949" s="2"/>
    </row>
    <row r="950" spans="2:13" ht="15.75" customHeight="1" x14ac:dyDescent="0.25">
      <c r="B950" s="1"/>
      <c r="M950" s="2"/>
    </row>
    <row r="951" spans="2:13" ht="15.75" customHeight="1" x14ac:dyDescent="0.25">
      <c r="B951" s="1"/>
      <c r="M951" s="2"/>
    </row>
    <row r="952" spans="2:13" ht="15.75" customHeight="1" x14ac:dyDescent="0.25">
      <c r="B952" s="1"/>
      <c r="M952" s="2"/>
    </row>
    <row r="953" spans="2:13" ht="15.75" customHeight="1" x14ac:dyDescent="0.25">
      <c r="B953" s="1"/>
      <c r="M953" s="2"/>
    </row>
    <row r="954" spans="2:13" ht="15.75" customHeight="1" x14ac:dyDescent="0.25">
      <c r="B954" s="1"/>
      <c r="M954" s="2"/>
    </row>
    <row r="955" spans="2:13" ht="15.75" customHeight="1" x14ac:dyDescent="0.25">
      <c r="B955" s="1"/>
      <c r="M955" s="2"/>
    </row>
    <row r="956" spans="2:13" ht="15.75" customHeight="1" x14ac:dyDescent="0.25">
      <c r="B956" s="1"/>
      <c r="M956" s="2"/>
    </row>
    <row r="957" spans="2:13" ht="15.75" customHeight="1" x14ac:dyDescent="0.25">
      <c r="B957" s="1"/>
      <c r="M957" s="2"/>
    </row>
    <row r="958" spans="2:13" ht="15.75" customHeight="1" x14ac:dyDescent="0.25">
      <c r="B958" s="1"/>
      <c r="M958" s="2"/>
    </row>
    <row r="959" spans="2:13" ht="15.75" customHeight="1" x14ac:dyDescent="0.25">
      <c r="B959" s="1"/>
      <c r="M959" s="2"/>
    </row>
    <row r="960" spans="2:13" ht="15.75" customHeight="1" x14ac:dyDescent="0.25">
      <c r="B960" s="1"/>
      <c r="M960" s="2"/>
    </row>
    <row r="961" spans="2:13" ht="15.75" customHeight="1" x14ac:dyDescent="0.25">
      <c r="B961" s="1"/>
      <c r="M961" s="2"/>
    </row>
    <row r="962" spans="2:13" ht="15.75" customHeight="1" x14ac:dyDescent="0.25">
      <c r="B962" s="1"/>
      <c r="M962" s="2"/>
    </row>
    <row r="963" spans="2:13" ht="15.75" customHeight="1" x14ac:dyDescent="0.25">
      <c r="B963" s="1"/>
      <c r="M963" s="2"/>
    </row>
    <row r="964" spans="2:13" ht="15.75" customHeight="1" x14ac:dyDescent="0.25">
      <c r="B964" s="1"/>
      <c r="M964" s="2"/>
    </row>
    <row r="965" spans="2:13" ht="15.75" customHeight="1" x14ac:dyDescent="0.25">
      <c r="B965" s="1"/>
      <c r="M965" s="2"/>
    </row>
    <row r="966" spans="2:13" ht="15.75" customHeight="1" x14ac:dyDescent="0.25">
      <c r="B966" s="1"/>
      <c r="M966" s="2"/>
    </row>
    <row r="967" spans="2:13" ht="15.75" customHeight="1" x14ac:dyDescent="0.25">
      <c r="B967" s="1"/>
      <c r="M967" s="2"/>
    </row>
    <row r="968" spans="2:13" ht="15.75" customHeight="1" x14ac:dyDescent="0.25">
      <c r="B968" s="1"/>
      <c r="M968" s="2"/>
    </row>
    <row r="969" spans="2:13" ht="15.75" customHeight="1" x14ac:dyDescent="0.25">
      <c r="B969" s="1"/>
      <c r="M969" s="2"/>
    </row>
    <row r="970" spans="2:13" ht="15.75" customHeight="1" x14ac:dyDescent="0.25">
      <c r="B970" s="1"/>
      <c r="M970" s="2"/>
    </row>
    <row r="971" spans="2:13" ht="15.75" customHeight="1" x14ac:dyDescent="0.25">
      <c r="B971" s="1"/>
      <c r="M971" s="2"/>
    </row>
    <row r="972" spans="2:13" ht="15.75" customHeight="1" x14ac:dyDescent="0.25">
      <c r="B972" s="1"/>
      <c r="M972" s="2"/>
    </row>
    <row r="973" spans="2:13" ht="15.75" customHeight="1" x14ac:dyDescent="0.25">
      <c r="B973" s="1"/>
      <c r="M973" s="2"/>
    </row>
    <row r="974" spans="2:13" ht="15.75" customHeight="1" x14ac:dyDescent="0.25">
      <c r="B974" s="1"/>
      <c r="M974" s="2"/>
    </row>
    <row r="975" spans="2:13" ht="15.75" customHeight="1" x14ac:dyDescent="0.25">
      <c r="B975" s="1"/>
      <c r="M975" s="2"/>
    </row>
    <row r="976" spans="2:13" ht="15.75" customHeight="1" x14ac:dyDescent="0.25">
      <c r="B976" s="1"/>
      <c r="M976" s="2"/>
    </row>
    <row r="977" spans="2:13" ht="15.75" customHeight="1" x14ac:dyDescent="0.25">
      <c r="B977" s="1"/>
      <c r="M977" s="2"/>
    </row>
    <row r="978" spans="2:13" ht="15.75" customHeight="1" x14ac:dyDescent="0.25">
      <c r="B978" s="1"/>
      <c r="M978" s="2"/>
    </row>
    <row r="979" spans="2:13" ht="15.75" customHeight="1" x14ac:dyDescent="0.25">
      <c r="B979" s="1"/>
      <c r="M979" s="2"/>
    </row>
    <row r="980" spans="2:13" ht="15.75" customHeight="1" x14ac:dyDescent="0.25">
      <c r="B980" s="1"/>
      <c r="M980" s="2"/>
    </row>
    <row r="981" spans="2:13" ht="15.75" customHeight="1" x14ac:dyDescent="0.25">
      <c r="B981" s="1"/>
      <c r="M981" s="2"/>
    </row>
    <row r="982" spans="2:13" ht="15.75" customHeight="1" x14ac:dyDescent="0.25">
      <c r="B982" s="1"/>
      <c r="M982" s="2"/>
    </row>
    <row r="983" spans="2:13" ht="15.75" customHeight="1" x14ac:dyDescent="0.25">
      <c r="B983" s="1"/>
      <c r="M983" s="2"/>
    </row>
    <row r="984" spans="2:13" ht="15.75" customHeight="1" x14ac:dyDescent="0.25">
      <c r="B984" s="1"/>
      <c r="M984" s="2"/>
    </row>
    <row r="985" spans="2:13" ht="15.75" customHeight="1" x14ac:dyDescent="0.25">
      <c r="B985" s="1"/>
      <c r="M985" s="2"/>
    </row>
    <row r="986" spans="2:13" ht="15.75" customHeight="1" x14ac:dyDescent="0.25">
      <c r="B986" s="1"/>
      <c r="M986" s="2"/>
    </row>
    <row r="987" spans="2:13" ht="15.75" customHeight="1" x14ac:dyDescent="0.25">
      <c r="B987" s="1"/>
      <c r="M987" s="2"/>
    </row>
    <row r="988" spans="2:13" ht="15.75" customHeight="1" x14ac:dyDescent="0.25">
      <c r="B988" s="1"/>
      <c r="M988" s="2"/>
    </row>
    <row r="989" spans="2:13" ht="15.75" customHeight="1" x14ac:dyDescent="0.25">
      <c r="B989" s="1"/>
      <c r="M989" s="2"/>
    </row>
    <row r="990" spans="2:13" ht="15.75" customHeight="1" x14ac:dyDescent="0.25">
      <c r="B990" s="1"/>
      <c r="M990" s="2"/>
    </row>
    <row r="991" spans="2:13" ht="15.75" customHeight="1" x14ac:dyDescent="0.25">
      <c r="B991" s="1"/>
      <c r="M991" s="2"/>
    </row>
    <row r="992" spans="2:13" ht="15.75" customHeight="1" x14ac:dyDescent="0.25">
      <c r="B992" s="1"/>
      <c r="M992" s="2"/>
    </row>
    <row r="993" spans="2:13" ht="15.75" customHeight="1" x14ac:dyDescent="0.25">
      <c r="B993" s="1"/>
      <c r="M993" s="2"/>
    </row>
    <row r="994" spans="2:13" ht="15.75" customHeight="1" x14ac:dyDescent="0.25">
      <c r="B994" s="1"/>
      <c r="M994" s="2"/>
    </row>
    <row r="995" spans="2:13" ht="15.75" customHeight="1" x14ac:dyDescent="0.25">
      <c r="B995" s="1"/>
      <c r="M995" s="2"/>
    </row>
    <row r="996" spans="2:13" ht="15.75" customHeight="1" x14ac:dyDescent="0.25">
      <c r="B996" s="1"/>
      <c r="M996" s="2"/>
    </row>
    <row r="997" spans="2:13" ht="15.75" customHeight="1" x14ac:dyDescent="0.25">
      <c r="B997" s="1"/>
      <c r="M997" s="2"/>
    </row>
    <row r="998" spans="2:13" ht="15.75" customHeight="1" x14ac:dyDescent="0.25">
      <c r="B998" s="1"/>
      <c r="M998" s="2"/>
    </row>
    <row r="999" spans="2:13" ht="15.75" customHeight="1" x14ac:dyDescent="0.25">
      <c r="B999" s="1"/>
      <c r="M999" s="2"/>
    </row>
    <row r="1000" spans="2:13" ht="15.75" customHeight="1" x14ac:dyDescent="0.25">
      <c r="B1000" s="1"/>
      <c r="M1000" s="2"/>
    </row>
  </sheetData>
  <conditionalFormatting sqref="D3:G83 H3:H180 C3:C204 D84:E89 F84:G103 E90:E103 D90:D106 E104:G106 D107:G125 E126:G180 D126:D204 E181:H206 C205:D323 E207:G214 H207:H217 F215:G217 E215:E286 F218:H286 E287:H323 D313:G313">
    <cfRule type="containsText" dxfId="8" priority="1" operator="containsText" text="SI">
      <formula>NOT(ISERROR(SEARCH(("SI"),(C3))))</formula>
    </cfRule>
    <cfRule type="containsText" dxfId="7" priority="2" operator="containsText" text="NO">
      <formula>NOT(ISERROR(SEARCH(("NO"),(C3))))</formula>
    </cfRule>
  </conditionalFormatting>
  <conditionalFormatting sqref="I3:I11 I13:I24 I26:I30 I32:I96 I98:I107 I109:I123 I125:I136 I138:I201 I203:I224 I226:I242 I244:I248 I250:I280 I282:I299 I301:I323">
    <cfRule type="containsText" dxfId="6" priority="3" operator="containsText" text="NO">
      <formula>NOT(ISERROR(SEARCH(("NO"),(I3))))</formula>
    </cfRule>
    <cfRule type="containsText" dxfId="5" priority="4" operator="containsText" text="SI">
      <formula>NOT(ISERROR(SEARCH(("SI"),(I3))))</formula>
    </cfRule>
  </conditionalFormatting>
  <conditionalFormatting sqref="L3:L323 M8:M318">
    <cfRule type="containsText" dxfId="4" priority="5" operator="containsText" text="discrepan">
      <formula>NOT(ISERROR(SEARCH(("discrepan"),(L3))))</formula>
    </cfRule>
  </conditionalFormatting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47"/>
  <sheetViews>
    <sheetView workbookViewId="0"/>
  </sheetViews>
  <sheetFormatPr defaultColWidth="14.42578125" defaultRowHeight="15" customHeight="1" x14ac:dyDescent="0.25"/>
  <cols>
    <col min="1" max="1" width="10.7109375" customWidth="1"/>
    <col min="2" max="2" width="78.28515625" customWidth="1"/>
    <col min="3" max="26" width="10.7109375" customWidth="1"/>
  </cols>
  <sheetData>
    <row r="1" spans="1:2" x14ac:dyDescent="0.25">
      <c r="A1" s="6">
        <v>55005</v>
      </c>
      <c r="B1" s="6" t="s">
        <v>650</v>
      </c>
    </row>
    <row r="2" spans="1:2" x14ac:dyDescent="0.25">
      <c r="A2" s="6">
        <v>446006</v>
      </c>
      <c r="B2" s="6" t="s">
        <v>651</v>
      </c>
    </row>
    <row r="3" spans="1:2" x14ac:dyDescent="0.25">
      <c r="A3" s="6">
        <v>446008</v>
      </c>
      <c r="B3" s="6" t="s">
        <v>652</v>
      </c>
    </row>
    <row r="4" spans="1:2" x14ac:dyDescent="0.25">
      <c r="A4" s="6">
        <v>446009</v>
      </c>
      <c r="B4" s="6" t="s">
        <v>653</v>
      </c>
    </row>
    <row r="5" spans="1:2" x14ac:dyDescent="0.25">
      <c r="A5" s="6">
        <v>446012</v>
      </c>
      <c r="B5" s="6" t="s">
        <v>654</v>
      </c>
    </row>
    <row r="6" spans="1:2" x14ac:dyDescent="0.25">
      <c r="A6" s="6">
        <v>446011</v>
      </c>
      <c r="B6" s="6" t="s">
        <v>655</v>
      </c>
    </row>
    <row r="7" spans="1:2" x14ac:dyDescent="0.25">
      <c r="A7" s="6">
        <v>446016</v>
      </c>
      <c r="B7" s="6" t="s">
        <v>656</v>
      </c>
    </row>
    <row r="8" spans="1:2" x14ac:dyDescent="0.25">
      <c r="A8" s="6">
        <v>446010</v>
      </c>
      <c r="B8" s="6" t="s">
        <v>657</v>
      </c>
    </row>
    <row r="9" spans="1:2" x14ac:dyDescent="0.25">
      <c r="A9" s="6">
        <v>446017</v>
      </c>
      <c r="B9" s="6" t="s">
        <v>658</v>
      </c>
    </row>
    <row r="10" spans="1:2" x14ac:dyDescent="0.25">
      <c r="A10" s="6">
        <v>446015</v>
      </c>
      <c r="B10" s="6" t="s">
        <v>659</v>
      </c>
    </row>
    <row r="11" spans="1:2" x14ac:dyDescent="0.25">
      <c r="A11" s="6">
        <v>446007</v>
      </c>
      <c r="B11" s="6" t="s">
        <v>660</v>
      </c>
    </row>
    <row r="12" spans="1:2" x14ac:dyDescent="0.25">
      <c r="A12" s="6">
        <v>446014</v>
      </c>
      <c r="B12" s="6" t="s">
        <v>661</v>
      </c>
    </row>
    <row r="13" spans="1:2" x14ac:dyDescent="0.25">
      <c r="A13" s="6">
        <v>446013</v>
      </c>
      <c r="B13" s="6" t="s">
        <v>662</v>
      </c>
    </row>
    <row r="14" spans="1:2" x14ac:dyDescent="0.25">
      <c r="A14" s="6">
        <v>446005</v>
      </c>
      <c r="B14" s="6" t="s">
        <v>663</v>
      </c>
    </row>
    <row r="15" spans="1:2" x14ac:dyDescent="0.25">
      <c r="A15" s="6">
        <v>446018</v>
      </c>
      <c r="B15" s="6" t="s">
        <v>664</v>
      </c>
    </row>
    <row r="16" spans="1:2" x14ac:dyDescent="0.25">
      <c r="A16" s="6">
        <v>446019</v>
      </c>
      <c r="B16" s="6" t="s">
        <v>665</v>
      </c>
    </row>
    <row r="17" spans="1:2" x14ac:dyDescent="0.25">
      <c r="A17" s="6">
        <v>101004</v>
      </c>
      <c r="B17" s="6" t="s">
        <v>24</v>
      </c>
    </row>
    <row r="18" spans="1:2" x14ac:dyDescent="0.25">
      <c r="A18" s="6">
        <v>1048</v>
      </c>
      <c r="B18" s="6" t="s">
        <v>666</v>
      </c>
    </row>
    <row r="19" spans="1:2" x14ac:dyDescent="0.25">
      <c r="A19" s="6">
        <v>101001</v>
      </c>
      <c r="B19" s="6" t="s">
        <v>667</v>
      </c>
    </row>
    <row r="20" spans="1:2" x14ac:dyDescent="0.25">
      <c r="A20" s="6">
        <v>218001</v>
      </c>
      <c r="B20" s="6" t="s">
        <v>668</v>
      </c>
    </row>
    <row r="21" spans="1:2" ht="15.75" customHeight="1" x14ac:dyDescent="0.25">
      <c r="A21" s="6">
        <v>101012</v>
      </c>
      <c r="B21" s="6" t="s">
        <v>669</v>
      </c>
    </row>
    <row r="22" spans="1:2" ht="15.75" customHeight="1" x14ac:dyDescent="0.25">
      <c r="A22" s="6">
        <v>45052</v>
      </c>
      <c r="B22" s="6" t="s">
        <v>670</v>
      </c>
    </row>
    <row r="23" spans="1:2" ht="15.75" customHeight="1" x14ac:dyDescent="0.25">
      <c r="A23" s="6">
        <v>45053</v>
      </c>
      <c r="B23" s="6" t="s">
        <v>671</v>
      </c>
    </row>
    <row r="24" spans="1:2" ht="15.75" customHeight="1" x14ac:dyDescent="0.25">
      <c r="A24" s="6">
        <v>45051</v>
      </c>
      <c r="B24" s="6" t="s">
        <v>672</v>
      </c>
    </row>
    <row r="25" spans="1:2" ht="15.75" customHeight="1" x14ac:dyDescent="0.25">
      <c r="A25" s="6">
        <v>311001</v>
      </c>
      <c r="B25" s="6" t="s">
        <v>673</v>
      </c>
    </row>
    <row r="26" spans="1:2" ht="15.75" customHeight="1" x14ac:dyDescent="0.25">
      <c r="A26" s="6">
        <v>53065</v>
      </c>
      <c r="B26" s="6" t="s">
        <v>674</v>
      </c>
    </row>
    <row r="27" spans="1:2" ht="15.75" customHeight="1" x14ac:dyDescent="0.25">
      <c r="A27" s="6">
        <v>53066</v>
      </c>
      <c r="B27" s="6" t="s">
        <v>675</v>
      </c>
    </row>
    <row r="28" spans="1:2" ht="15.75" customHeight="1" x14ac:dyDescent="0.25">
      <c r="A28" s="6">
        <v>53063</v>
      </c>
      <c r="B28" s="6" t="s">
        <v>676</v>
      </c>
    </row>
    <row r="29" spans="1:2" ht="15.75" customHeight="1" x14ac:dyDescent="0.25">
      <c r="A29" s="6">
        <v>53064</v>
      </c>
      <c r="B29" s="6" t="s">
        <v>677</v>
      </c>
    </row>
    <row r="30" spans="1:2" ht="15.75" customHeight="1" x14ac:dyDescent="0.25">
      <c r="A30" s="6">
        <v>45017</v>
      </c>
      <c r="B30" s="6" t="s">
        <v>678</v>
      </c>
    </row>
    <row r="31" spans="1:2" ht="15.75" customHeight="1" x14ac:dyDescent="0.25">
      <c r="A31" s="6">
        <v>45018</v>
      </c>
      <c r="B31" s="6" t="s">
        <v>679</v>
      </c>
    </row>
    <row r="32" spans="1:2" ht="15.75" customHeight="1" x14ac:dyDescent="0.25">
      <c r="A32" s="6">
        <v>45016</v>
      </c>
      <c r="B32" s="6" t="s">
        <v>680</v>
      </c>
    </row>
    <row r="33" spans="1:2" ht="15.75" customHeight="1" x14ac:dyDescent="0.25">
      <c r="A33" s="6">
        <v>53003</v>
      </c>
      <c r="B33" s="6" t="s">
        <v>681</v>
      </c>
    </row>
    <row r="34" spans="1:2" ht="15.75" customHeight="1" x14ac:dyDescent="0.25">
      <c r="A34" s="6">
        <v>53004</v>
      </c>
      <c r="B34" s="6" t="s">
        <v>682</v>
      </c>
    </row>
    <row r="35" spans="1:2" ht="15.75" customHeight="1" x14ac:dyDescent="0.25">
      <c r="A35" s="6">
        <v>53001</v>
      </c>
      <c r="B35" s="6" t="s">
        <v>683</v>
      </c>
    </row>
    <row r="36" spans="1:2" ht="15.75" customHeight="1" x14ac:dyDescent="0.25">
      <c r="A36" s="6">
        <v>53002</v>
      </c>
      <c r="B36" s="6" t="s">
        <v>684</v>
      </c>
    </row>
    <row r="37" spans="1:2" ht="15.75" customHeight="1" x14ac:dyDescent="0.25">
      <c r="A37" s="6">
        <v>208019</v>
      </c>
      <c r="B37" s="6" t="s">
        <v>685</v>
      </c>
    </row>
    <row r="38" spans="1:2" ht="15.75" customHeight="1" x14ac:dyDescent="0.25">
      <c r="A38" s="6">
        <v>45062</v>
      </c>
      <c r="B38" s="6" t="s">
        <v>686</v>
      </c>
    </row>
    <row r="39" spans="1:2" ht="15.75" customHeight="1" x14ac:dyDescent="0.25">
      <c r="A39" s="6">
        <v>45061</v>
      </c>
      <c r="B39" s="6" t="s">
        <v>687</v>
      </c>
    </row>
    <row r="40" spans="1:2" ht="15.75" customHeight="1" x14ac:dyDescent="0.25">
      <c r="A40" s="6">
        <v>45014</v>
      </c>
      <c r="B40" s="6" t="s">
        <v>688</v>
      </c>
    </row>
    <row r="41" spans="1:2" ht="15.75" customHeight="1" x14ac:dyDescent="0.25">
      <c r="A41" s="6">
        <v>45015</v>
      </c>
      <c r="B41" s="6" t="s">
        <v>689</v>
      </c>
    </row>
    <row r="42" spans="1:2" ht="15.75" customHeight="1" x14ac:dyDescent="0.25">
      <c r="A42" s="6">
        <v>45013</v>
      </c>
      <c r="B42" s="6" t="s">
        <v>690</v>
      </c>
    </row>
    <row r="43" spans="1:2" ht="15.75" customHeight="1" x14ac:dyDescent="0.25">
      <c r="A43" s="6">
        <v>53011</v>
      </c>
      <c r="B43" s="6" t="s">
        <v>691</v>
      </c>
    </row>
    <row r="44" spans="1:2" ht="15.75" customHeight="1" x14ac:dyDescent="0.25">
      <c r="A44" s="6">
        <v>53012</v>
      </c>
      <c r="B44" s="6" t="s">
        <v>692</v>
      </c>
    </row>
    <row r="45" spans="1:2" ht="15.75" customHeight="1" x14ac:dyDescent="0.25">
      <c r="A45" s="6">
        <v>53009</v>
      </c>
      <c r="B45" s="6" t="s">
        <v>693</v>
      </c>
    </row>
    <row r="46" spans="1:2" ht="15.75" customHeight="1" x14ac:dyDescent="0.25">
      <c r="A46" s="6">
        <v>53010</v>
      </c>
      <c r="B46" s="6" t="s">
        <v>694</v>
      </c>
    </row>
    <row r="47" spans="1:2" ht="15.75" customHeight="1" x14ac:dyDescent="0.25">
      <c r="A47" s="6">
        <v>208002</v>
      </c>
      <c r="B47" s="6" t="s">
        <v>695</v>
      </c>
    </row>
    <row r="48" spans="1:2" ht="15.75" customHeight="1" x14ac:dyDescent="0.25">
      <c r="A48" s="6">
        <v>434001</v>
      </c>
      <c r="B48" s="6" t="s">
        <v>696</v>
      </c>
    </row>
    <row r="49" spans="1:2" ht="15.75" customHeight="1" x14ac:dyDescent="0.25">
      <c r="A49" s="6">
        <v>211002</v>
      </c>
      <c r="B49" s="6" t="s">
        <v>697</v>
      </c>
    </row>
    <row r="50" spans="1:2" ht="15.75" customHeight="1" x14ac:dyDescent="0.25">
      <c r="A50" s="6">
        <v>209027</v>
      </c>
      <c r="B50" s="6" t="s">
        <v>698</v>
      </c>
    </row>
    <row r="51" spans="1:2" ht="15.75" customHeight="1" x14ac:dyDescent="0.25">
      <c r="A51" s="6">
        <v>208010</v>
      </c>
      <c r="B51" s="6" t="s">
        <v>699</v>
      </c>
    </row>
    <row r="52" spans="1:2" ht="15.75" customHeight="1" x14ac:dyDescent="0.25">
      <c r="A52" s="6">
        <v>37001</v>
      </c>
      <c r="B52" s="6" t="s">
        <v>700</v>
      </c>
    </row>
    <row r="53" spans="1:2" ht="15.75" customHeight="1" x14ac:dyDescent="0.25">
      <c r="A53" s="6">
        <v>37011</v>
      </c>
      <c r="B53" s="6" t="s">
        <v>701</v>
      </c>
    </row>
    <row r="54" spans="1:2" ht="15.75" customHeight="1" x14ac:dyDescent="0.25">
      <c r="A54" s="6">
        <v>45033</v>
      </c>
      <c r="B54" s="6" t="s">
        <v>702</v>
      </c>
    </row>
    <row r="55" spans="1:2" ht="15.75" customHeight="1" x14ac:dyDescent="0.25">
      <c r="A55" s="6">
        <v>45034</v>
      </c>
      <c r="B55" s="6" t="s">
        <v>703</v>
      </c>
    </row>
    <row r="56" spans="1:2" ht="15.75" customHeight="1" x14ac:dyDescent="0.25">
      <c r="A56" s="6">
        <v>45035</v>
      </c>
      <c r="B56" s="6" t="s">
        <v>704</v>
      </c>
    </row>
    <row r="57" spans="1:2" ht="15.75" customHeight="1" x14ac:dyDescent="0.25">
      <c r="A57" s="6">
        <v>45032</v>
      </c>
      <c r="B57" s="6" t="s">
        <v>705</v>
      </c>
    </row>
    <row r="58" spans="1:2" ht="15.75" customHeight="1" x14ac:dyDescent="0.25">
      <c r="A58" s="6">
        <v>32071</v>
      </c>
      <c r="B58" s="6" t="s">
        <v>706</v>
      </c>
    </row>
    <row r="59" spans="1:2" ht="15.75" customHeight="1" x14ac:dyDescent="0.25">
      <c r="A59" s="6">
        <v>32162</v>
      </c>
      <c r="B59" s="6" t="s">
        <v>707</v>
      </c>
    </row>
    <row r="60" spans="1:2" ht="15.75" customHeight="1" x14ac:dyDescent="0.25">
      <c r="A60" s="6">
        <v>32005</v>
      </c>
      <c r="B60" s="6" t="s">
        <v>708</v>
      </c>
    </row>
    <row r="61" spans="1:2" ht="15.75" customHeight="1" x14ac:dyDescent="0.25">
      <c r="A61" s="6">
        <v>440045</v>
      </c>
      <c r="B61" s="6" t="s">
        <v>709</v>
      </c>
    </row>
    <row r="62" spans="1:2" ht="15.75" customHeight="1" x14ac:dyDescent="0.25">
      <c r="A62" s="6">
        <v>441045</v>
      </c>
      <c r="B62" s="6" t="s">
        <v>709</v>
      </c>
    </row>
    <row r="63" spans="1:2" ht="15.75" customHeight="1" x14ac:dyDescent="0.25">
      <c r="A63" s="6">
        <v>440037</v>
      </c>
      <c r="B63" s="6" t="s">
        <v>710</v>
      </c>
    </row>
    <row r="64" spans="1:2" ht="15.75" customHeight="1" x14ac:dyDescent="0.25">
      <c r="A64" s="6">
        <v>441037</v>
      </c>
      <c r="B64" s="6" t="s">
        <v>710</v>
      </c>
    </row>
    <row r="65" spans="1:2" ht="15.75" customHeight="1" x14ac:dyDescent="0.25">
      <c r="A65" s="6">
        <v>440039</v>
      </c>
      <c r="B65" s="6" t="s">
        <v>711</v>
      </c>
    </row>
    <row r="66" spans="1:2" ht="15.75" customHeight="1" x14ac:dyDescent="0.25">
      <c r="A66" s="6">
        <v>441039</v>
      </c>
      <c r="B66" s="6" t="s">
        <v>711</v>
      </c>
    </row>
    <row r="67" spans="1:2" ht="15.75" customHeight="1" x14ac:dyDescent="0.25">
      <c r="A67" s="6">
        <v>440036</v>
      </c>
      <c r="B67" s="6" t="s">
        <v>712</v>
      </c>
    </row>
    <row r="68" spans="1:2" ht="15.75" customHeight="1" x14ac:dyDescent="0.25">
      <c r="A68" s="6">
        <v>441036</v>
      </c>
      <c r="B68" s="6" t="s">
        <v>712</v>
      </c>
    </row>
    <row r="69" spans="1:2" ht="15.75" customHeight="1" x14ac:dyDescent="0.25">
      <c r="A69" s="6">
        <v>440043</v>
      </c>
      <c r="B69" s="6" t="s">
        <v>713</v>
      </c>
    </row>
    <row r="70" spans="1:2" ht="15.75" customHeight="1" x14ac:dyDescent="0.25">
      <c r="A70" s="6">
        <v>441043</v>
      </c>
      <c r="B70" s="6" t="s">
        <v>713</v>
      </c>
    </row>
    <row r="71" spans="1:2" ht="15.75" customHeight="1" x14ac:dyDescent="0.25">
      <c r="A71" s="6">
        <v>440044</v>
      </c>
      <c r="B71" s="6" t="s">
        <v>714</v>
      </c>
    </row>
    <row r="72" spans="1:2" ht="15.75" customHeight="1" x14ac:dyDescent="0.25">
      <c r="A72" s="6">
        <v>441044</v>
      </c>
      <c r="B72" s="6" t="s">
        <v>714</v>
      </c>
    </row>
    <row r="73" spans="1:2" ht="15.75" customHeight="1" x14ac:dyDescent="0.25">
      <c r="A73" s="6">
        <v>440040</v>
      </c>
      <c r="B73" s="6" t="s">
        <v>715</v>
      </c>
    </row>
    <row r="74" spans="1:2" ht="15.75" customHeight="1" x14ac:dyDescent="0.25">
      <c r="A74" s="6">
        <v>441040</v>
      </c>
      <c r="B74" s="6" t="s">
        <v>715</v>
      </c>
    </row>
    <row r="75" spans="1:2" ht="15.75" customHeight="1" x14ac:dyDescent="0.25">
      <c r="A75" s="6">
        <v>440038</v>
      </c>
      <c r="B75" s="6" t="s">
        <v>716</v>
      </c>
    </row>
    <row r="76" spans="1:2" ht="15.75" customHeight="1" x14ac:dyDescent="0.25">
      <c r="A76" s="6">
        <v>441038</v>
      </c>
      <c r="B76" s="6" t="s">
        <v>716</v>
      </c>
    </row>
    <row r="77" spans="1:2" ht="15.75" customHeight="1" x14ac:dyDescent="0.25">
      <c r="A77" s="6">
        <v>440042</v>
      </c>
      <c r="B77" s="6" t="s">
        <v>717</v>
      </c>
    </row>
    <row r="78" spans="1:2" ht="15.75" customHeight="1" x14ac:dyDescent="0.25">
      <c r="A78" s="6">
        <v>441042</v>
      </c>
      <c r="B78" s="6" t="s">
        <v>717</v>
      </c>
    </row>
    <row r="79" spans="1:2" ht="15.75" customHeight="1" x14ac:dyDescent="0.25">
      <c r="A79" s="6">
        <v>440041</v>
      </c>
      <c r="B79" s="6" t="s">
        <v>718</v>
      </c>
    </row>
    <row r="80" spans="1:2" ht="15.75" customHeight="1" x14ac:dyDescent="0.25">
      <c r="A80" s="6">
        <v>441041</v>
      </c>
      <c r="B80" s="6" t="s">
        <v>718</v>
      </c>
    </row>
    <row r="81" spans="1:2" ht="15.75" customHeight="1" x14ac:dyDescent="0.25">
      <c r="A81" s="6">
        <v>220033</v>
      </c>
      <c r="B81" s="6" t="s">
        <v>719</v>
      </c>
    </row>
    <row r="82" spans="1:2" ht="15.75" customHeight="1" x14ac:dyDescent="0.25">
      <c r="A82" s="6">
        <v>208011</v>
      </c>
      <c r="B82" s="6" t="s">
        <v>720</v>
      </c>
    </row>
    <row r="83" spans="1:2" ht="15.75" customHeight="1" x14ac:dyDescent="0.25">
      <c r="A83" s="6">
        <v>32024</v>
      </c>
      <c r="B83" s="6" t="s">
        <v>721</v>
      </c>
    </row>
    <row r="84" spans="1:2" ht="15.75" customHeight="1" x14ac:dyDescent="0.25">
      <c r="A84" s="6">
        <v>32211</v>
      </c>
      <c r="B84" s="6" t="s">
        <v>722</v>
      </c>
    </row>
    <row r="85" spans="1:2" ht="15.75" customHeight="1" x14ac:dyDescent="0.25">
      <c r="A85" s="6">
        <v>32205</v>
      </c>
      <c r="B85" s="6" t="s">
        <v>723</v>
      </c>
    </row>
    <row r="86" spans="1:2" ht="15.75" customHeight="1" x14ac:dyDescent="0.25">
      <c r="A86" s="6">
        <v>32119</v>
      </c>
      <c r="B86" s="6" t="s">
        <v>724</v>
      </c>
    </row>
    <row r="87" spans="1:2" ht="15.75" customHeight="1" x14ac:dyDescent="0.25">
      <c r="A87" s="6">
        <v>32120</v>
      </c>
      <c r="B87" s="6" t="s">
        <v>725</v>
      </c>
    </row>
    <row r="88" spans="1:2" ht="15.75" customHeight="1" x14ac:dyDescent="0.25">
      <c r="A88" s="6">
        <v>32118</v>
      </c>
      <c r="B88" s="6" t="s">
        <v>726</v>
      </c>
    </row>
    <row r="89" spans="1:2" ht="15.75" customHeight="1" x14ac:dyDescent="0.25">
      <c r="A89" s="6">
        <v>32147</v>
      </c>
      <c r="B89" s="6" t="s">
        <v>727</v>
      </c>
    </row>
    <row r="90" spans="1:2" ht="15.75" customHeight="1" x14ac:dyDescent="0.25">
      <c r="A90" s="6">
        <v>32190</v>
      </c>
      <c r="B90" s="6" t="s">
        <v>728</v>
      </c>
    </row>
    <row r="91" spans="1:2" ht="15.75" customHeight="1" x14ac:dyDescent="0.25">
      <c r="A91" s="6">
        <v>32030</v>
      </c>
      <c r="B91" s="6" t="s">
        <v>729</v>
      </c>
    </row>
    <row r="92" spans="1:2" ht="15.75" customHeight="1" x14ac:dyDescent="0.25">
      <c r="A92" s="6">
        <v>32148</v>
      </c>
      <c r="B92" s="6" t="s">
        <v>730</v>
      </c>
    </row>
    <row r="93" spans="1:2" ht="15.75" customHeight="1" x14ac:dyDescent="0.25">
      <c r="A93" s="6">
        <v>32177</v>
      </c>
      <c r="B93" s="6" t="s">
        <v>731</v>
      </c>
    </row>
    <row r="94" spans="1:2" ht="15.75" customHeight="1" x14ac:dyDescent="0.25">
      <c r="A94" s="6">
        <v>32151</v>
      </c>
      <c r="B94" s="6" t="s">
        <v>732</v>
      </c>
    </row>
    <row r="95" spans="1:2" ht="15.75" customHeight="1" x14ac:dyDescent="0.25">
      <c r="A95" s="6">
        <v>32150</v>
      </c>
      <c r="B95" s="6" t="s">
        <v>733</v>
      </c>
    </row>
    <row r="96" spans="1:2" ht="15.75" customHeight="1" x14ac:dyDescent="0.25">
      <c r="A96" s="6">
        <v>32168</v>
      </c>
      <c r="B96" s="6" t="s">
        <v>734</v>
      </c>
    </row>
    <row r="97" spans="1:2" ht="15.75" customHeight="1" x14ac:dyDescent="0.25">
      <c r="A97" s="6">
        <v>32204</v>
      </c>
      <c r="B97" s="6" t="s">
        <v>735</v>
      </c>
    </row>
    <row r="98" spans="1:2" ht="15.75" customHeight="1" x14ac:dyDescent="0.25">
      <c r="A98" s="6">
        <v>32156</v>
      </c>
      <c r="B98" s="6" t="s">
        <v>736</v>
      </c>
    </row>
    <row r="99" spans="1:2" ht="15.75" customHeight="1" x14ac:dyDescent="0.25">
      <c r="A99" s="6">
        <v>32155</v>
      </c>
      <c r="B99" s="6" t="s">
        <v>737</v>
      </c>
    </row>
    <row r="100" spans="1:2" ht="15.75" customHeight="1" x14ac:dyDescent="0.25">
      <c r="A100" s="6">
        <v>53041</v>
      </c>
      <c r="B100" s="6" t="s">
        <v>738</v>
      </c>
    </row>
    <row r="101" spans="1:2" ht="15.75" customHeight="1" x14ac:dyDescent="0.25">
      <c r="A101" s="6">
        <v>53042</v>
      </c>
      <c r="B101" s="6" t="s">
        <v>739</v>
      </c>
    </row>
    <row r="102" spans="1:2" ht="15.75" customHeight="1" x14ac:dyDescent="0.25">
      <c r="A102" s="6">
        <v>53039</v>
      </c>
      <c r="B102" s="6" t="s">
        <v>740</v>
      </c>
    </row>
    <row r="103" spans="1:2" ht="15.75" customHeight="1" x14ac:dyDescent="0.25">
      <c r="A103" s="6">
        <v>53040</v>
      </c>
      <c r="B103" s="6" t="s">
        <v>741</v>
      </c>
    </row>
    <row r="104" spans="1:2" ht="15.75" customHeight="1" x14ac:dyDescent="0.25">
      <c r="A104" s="6">
        <v>408034</v>
      </c>
      <c r="B104" s="6" t="s">
        <v>742</v>
      </c>
    </row>
    <row r="105" spans="1:2" ht="15.75" customHeight="1" x14ac:dyDescent="0.25">
      <c r="A105" s="6">
        <v>53019</v>
      </c>
      <c r="B105" s="6" t="s">
        <v>743</v>
      </c>
    </row>
    <row r="106" spans="1:2" ht="15.75" customHeight="1" x14ac:dyDescent="0.25">
      <c r="A106" s="6">
        <v>53020</v>
      </c>
      <c r="B106" s="6" t="s">
        <v>744</v>
      </c>
    </row>
    <row r="107" spans="1:2" ht="15.75" customHeight="1" x14ac:dyDescent="0.25">
      <c r="A107" s="6">
        <v>53017</v>
      </c>
      <c r="B107" s="6" t="s">
        <v>745</v>
      </c>
    </row>
    <row r="108" spans="1:2" ht="15.75" customHeight="1" x14ac:dyDescent="0.25">
      <c r="A108" s="6">
        <v>53018</v>
      </c>
      <c r="B108" s="6" t="s">
        <v>746</v>
      </c>
    </row>
    <row r="109" spans="1:2" ht="15.75" customHeight="1" x14ac:dyDescent="0.25">
      <c r="A109" s="6">
        <v>235012</v>
      </c>
      <c r="B109" s="6" t="s">
        <v>747</v>
      </c>
    </row>
    <row r="110" spans="1:2" ht="15.75" customHeight="1" x14ac:dyDescent="0.25">
      <c r="A110" s="6">
        <v>235013</v>
      </c>
      <c r="B110" s="6" t="s">
        <v>748</v>
      </c>
    </row>
    <row r="111" spans="1:2" ht="15.75" customHeight="1" x14ac:dyDescent="0.25">
      <c r="A111" s="6">
        <v>235011</v>
      </c>
      <c r="B111" s="6" t="s">
        <v>749</v>
      </c>
    </row>
    <row r="112" spans="1:2" ht="15.75" customHeight="1" x14ac:dyDescent="0.25">
      <c r="A112" s="6">
        <v>209020</v>
      </c>
      <c r="B112" s="6" t="s">
        <v>750</v>
      </c>
    </row>
    <row r="113" spans="1:2" ht="15.75" customHeight="1" x14ac:dyDescent="0.25">
      <c r="A113" s="6">
        <v>1129</v>
      </c>
      <c r="B113" s="6" t="s">
        <v>751</v>
      </c>
    </row>
    <row r="114" spans="1:2" ht="15.75" customHeight="1" x14ac:dyDescent="0.25">
      <c r="A114" s="6">
        <v>1130</v>
      </c>
      <c r="B114" s="6" t="s">
        <v>752</v>
      </c>
    </row>
    <row r="115" spans="1:2" ht="15.75" customHeight="1" x14ac:dyDescent="0.25">
      <c r="A115" s="6">
        <v>220001</v>
      </c>
      <c r="B115" s="6" t="s">
        <v>753</v>
      </c>
    </row>
    <row r="116" spans="1:2" ht="15.75" customHeight="1" x14ac:dyDescent="0.25">
      <c r="A116" s="6">
        <v>1174</v>
      </c>
      <c r="B116" s="6" t="s">
        <v>754</v>
      </c>
    </row>
    <row r="117" spans="1:2" ht="15.75" customHeight="1" x14ac:dyDescent="0.25">
      <c r="A117" s="6">
        <v>1173</v>
      </c>
      <c r="B117" s="6" t="s">
        <v>755</v>
      </c>
    </row>
    <row r="118" spans="1:2" ht="15.75" customHeight="1" x14ac:dyDescent="0.25">
      <c r="A118" s="6">
        <v>309003</v>
      </c>
      <c r="B118" s="6" t="s">
        <v>756</v>
      </c>
    </row>
    <row r="119" spans="1:2" ht="15.75" customHeight="1" x14ac:dyDescent="0.25">
      <c r="A119" s="6">
        <v>32103</v>
      </c>
      <c r="B119" s="6" t="s">
        <v>757</v>
      </c>
    </row>
    <row r="120" spans="1:2" ht="15.75" customHeight="1" x14ac:dyDescent="0.25">
      <c r="A120" s="6">
        <v>53031</v>
      </c>
      <c r="B120" s="6" t="s">
        <v>758</v>
      </c>
    </row>
    <row r="121" spans="1:2" ht="15.75" customHeight="1" x14ac:dyDescent="0.25">
      <c r="A121" s="6">
        <v>53030</v>
      </c>
      <c r="B121" s="6" t="s">
        <v>759</v>
      </c>
    </row>
    <row r="122" spans="1:2" ht="15.75" customHeight="1" x14ac:dyDescent="0.25">
      <c r="A122" s="6">
        <v>53038</v>
      </c>
      <c r="B122" s="6" t="s">
        <v>760</v>
      </c>
    </row>
    <row r="123" spans="1:2" ht="15.75" customHeight="1" x14ac:dyDescent="0.25">
      <c r="A123" s="6">
        <v>53032</v>
      </c>
      <c r="B123" s="6" t="s">
        <v>761</v>
      </c>
    </row>
    <row r="124" spans="1:2" ht="15.75" customHeight="1" x14ac:dyDescent="0.25">
      <c r="A124" s="6">
        <v>53037</v>
      </c>
      <c r="B124" s="6" t="s">
        <v>762</v>
      </c>
    </row>
    <row r="125" spans="1:2" ht="15.75" customHeight="1" x14ac:dyDescent="0.25">
      <c r="A125" s="6">
        <v>53029</v>
      </c>
      <c r="B125" s="6" t="s">
        <v>763</v>
      </c>
    </row>
    <row r="126" spans="1:2" ht="15.75" customHeight="1" x14ac:dyDescent="0.25">
      <c r="A126" s="6">
        <v>53033</v>
      </c>
      <c r="B126" s="6" t="s">
        <v>764</v>
      </c>
    </row>
    <row r="127" spans="1:2" ht="15.75" customHeight="1" x14ac:dyDescent="0.25">
      <c r="A127" s="6">
        <v>53035</v>
      </c>
      <c r="B127" s="6" t="s">
        <v>765</v>
      </c>
    </row>
    <row r="128" spans="1:2" ht="15.75" customHeight="1" x14ac:dyDescent="0.25">
      <c r="A128" s="6">
        <v>53036</v>
      </c>
      <c r="B128" s="6" t="s">
        <v>766</v>
      </c>
    </row>
    <row r="129" spans="1:2" ht="15.75" customHeight="1" x14ac:dyDescent="0.25">
      <c r="A129" s="6">
        <v>53034</v>
      </c>
      <c r="B129" s="6" t="s">
        <v>767</v>
      </c>
    </row>
    <row r="130" spans="1:2" ht="15.75" customHeight="1" x14ac:dyDescent="0.25">
      <c r="A130" s="6">
        <v>52001</v>
      </c>
      <c r="B130" s="6" t="s">
        <v>768</v>
      </c>
    </row>
    <row r="131" spans="1:2" ht="15.75" customHeight="1" x14ac:dyDescent="0.25">
      <c r="A131" s="6">
        <v>338008</v>
      </c>
      <c r="B131" s="6" t="s">
        <v>769</v>
      </c>
    </row>
    <row r="132" spans="1:2" ht="15.75" customHeight="1" x14ac:dyDescent="0.25">
      <c r="A132" s="6">
        <v>440028</v>
      </c>
      <c r="B132" s="6" t="s">
        <v>770</v>
      </c>
    </row>
    <row r="133" spans="1:2" ht="15.75" customHeight="1" x14ac:dyDescent="0.25">
      <c r="A133" s="6">
        <v>441028</v>
      </c>
      <c r="B133" s="6" t="s">
        <v>770</v>
      </c>
    </row>
    <row r="134" spans="1:2" ht="15.75" customHeight="1" x14ac:dyDescent="0.25">
      <c r="A134" s="6">
        <v>440030</v>
      </c>
      <c r="B134" s="6" t="s">
        <v>771</v>
      </c>
    </row>
    <row r="135" spans="1:2" ht="15.75" customHeight="1" x14ac:dyDescent="0.25">
      <c r="A135" s="6">
        <v>441030</v>
      </c>
      <c r="B135" s="6" t="s">
        <v>771</v>
      </c>
    </row>
    <row r="136" spans="1:2" ht="15.75" customHeight="1" x14ac:dyDescent="0.25">
      <c r="A136" s="6">
        <v>440031</v>
      </c>
      <c r="B136" s="6" t="s">
        <v>772</v>
      </c>
    </row>
    <row r="137" spans="1:2" ht="15.75" customHeight="1" x14ac:dyDescent="0.25">
      <c r="A137" s="6">
        <v>441031</v>
      </c>
      <c r="B137" s="6" t="s">
        <v>772</v>
      </c>
    </row>
    <row r="138" spans="1:2" ht="15.75" customHeight="1" x14ac:dyDescent="0.25">
      <c r="A138" s="6">
        <v>440035</v>
      </c>
      <c r="B138" s="6" t="s">
        <v>773</v>
      </c>
    </row>
    <row r="139" spans="1:2" ht="15.75" customHeight="1" x14ac:dyDescent="0.25">
      <c r="A139" s="6">
        <v>441035</v>
      </c>
      <c r="B139" s="6" t="s">
        <v>773</v>
      </c>
    </row>
    <row r="140" spans="1:2" ht="15.75" customHeight="1" x14ac:dyDescent="0.25">
      <c r="A140" s="6">
        <v>440033</v>
      </c>
      <c r="B140" s="6" t="s">
        <v>774</v>
      </c>
    </row>
    <row r="141" spans="1:2" ht="15.75" customHeight="1" x14ac:dyDescent="0.25">
      <c r="A141" s="6">
        <v>441033</v>
      </c>
      <c r="B141" s="6" t="s">
        <v>774</v>
      </c>
    </row>
    <row r="142" spans="1:2" ht="15.75" customHeight="1" x14ac:dyDescent="0.25">
      <c r="A142" s="6">
        <v>440029</v>
      </c>
      <c r="B142" s="6" t="s">
        <v>775</v>
      </c>
    </row>
    <row r="143" spans="1:2" ht="15.75" customHeight="1" x14ac:dyDescent="0.25">
      <c r="A143" s="6">
        <v>441029</v>
      </c>
      <c r="B143" s="6" t="s">
        <v>775</v>
      </c>
    </row>
    <row r="144" spans="1:2" ht="15.75" customHeight="1" x14ac:dyDescent="0.25">
      <c r="A144" s="6">
        <v>440034</v>
      </c>
      <c r="B144" s="6" t="s">
        <v>776</v>
      </c>
    </row>
    <row r="145" spans="1:2" ht="15.75" customHeight="1" x14ac:dyDescent="0.25">
      <c r="A145" s="6">
        <v>441034</v>
      </c>
      <c r="B145" s="6" t="s">
        <v>776</v>
      </c>
    </row>
    <row r="146" spans="1:2" ht="15.75" customHeight="1" x14ac:dyDescent="0.25">
      <c r="A146" s="6">
        <v>440032</v>
      </c>
      <c r="B146" s="6" t="s">
        <v>777</v>
      </c>
    </row>
    <row r="147" spans="1:2" ht="15.75" customHeight="1" x14ac:dyDescent="0.25">
      <c r="A147" s="6">
        <v>441032</v>
      </c>
      <c r="B147" s="6" t="s">
        <v>777</v>
      </c>
    </row>
    <row r="148" spans="1:2" ht="15.75" customHeight="1" x14ac:dyDescent="0.25">
      <c r="A148" s="6">
        <v>440019</v>
      </c>
      <c r="B148" s="6" t="s">
        <v>778</v>
      </c>
    </row>
    <row r="149" spans="1:2" ht="15.75" customHeight="1" x14ac:dyDescent="0.25">
      <c r="A149" s="6">
        <v>441019</v>
      </c>
      <c r="B149" s="6" t="s">
        <v>778</v>
      </c>
    </row>
    <row r="150" spans="1:2" ht="15.75" customHeight="1" x14ac:dyDescent="0.25">
      <c r="A150" s="6">
        <v>440021</v>
      </c>
      <c r="B150" s="6" t="s">
        <v>779</v>
      </c>
    </row>
    <row r="151" spans="1:2" ht="15.75" customHeight="1" x14ac:dyDescent="0.25">
      <c r="A151" s="6">
        <v>441021</v>
      </c>
      <c r="B151" s="6" t="s">
        <v>779</v>
      </c>
    </row>
    <row r="152" spans="1:2" ht="15.75" customHeight="1" x14ac:dyDescent="0.25">
      <c r="A152" s="6">
        <v>440022</v>
      </c>
      <c r="B152" s="6" t="s">
        <v>780</v>
      </c>
    </row>
    <row r="153" spans="1:2" ht="15.75" customHeight="1" x14ac:dyDescent="0.25">
      <c r="A153" s="6">
        <v>441022</v>
      </c>
      <c r="B153" s="6" t="s">
        <v>780</v>
      </c>
    </row>
    <row r="154" spans="1:2" ht="15.75" customHeight="1" x14ac:dyDescent="0.25">
      <c r="A154" s="6">
        <v>440026</v>
      </c>
      <c r="B154" s="6" t="s">
        <v>781</v>
      </c>
    </row>
    <row r="155" spans="1:2" ht="15.75" customHeight="1" x14ac:dyDescent="0.25">
      <c r="A155" s="6">
        <v>441026</v>
      </c>
      <c r="B155" s="6" t="s">
        <v>781</v>
      </c>
    </row>
    <row r="156" spans="1:2" ht="15.75" customHeight="1" x14ac:dyDescent="0.25">
      <c r="A156" s="6">
        <v>440027</v>
      </c>
      <c r="B156" s="6" t="s">
        <v>782</v>
      </c>
    </row>
    <row r="157" spans="1:2" ht="15.75" customHeight="1" x14ac:dyDescent="0.25">
      <c r="A157" s="6">
        <v>441027</v>
      </c>
      <c r="B157" s="6" t="s">
        <v>782</v>
      </c>
    </row>
    <row r="158" spans="1:2" ht="15.75" customHeight="1" x14ac:dyDescent="0.25">
      <c r="A158" s="6">
        <v>440024</v>
      </c>
      <c r="B158" s="6" t="s">
        <v>783</v>
      </c>
    </row>
    <row r="159" spans="1:2" ht="15.75" customHeight="1" x14ac:dyDescent="0.25">
      <c r="A159" s="6">
        <v>441024</v>
      </c>
      <c r="B159" s="6" t="s">
        <v>783</v>
      </c>
    </row>
    <row r="160" spans="1:2" ht="15.75" customHeight="1" x14ac:dyDescent="0.25">
      <c r="A160" s="6">
        <v>440020</v>
      </c>
      <c r="B160" s="6" t="s">
        <v>784</v>
      </c>
    </row>
    <row r="161" spans="1:2" ht="15.75" customHeight="1" x14ac:dyDescent="0.25">
      <c r="A161" s="6">
        <v>441020</v>
      </c>
      <c r="B161" s="6" t="s">
        <v>784</v>
      </c>
    </row>
    <row r="162" spans="1:2" ht="15.75" customHeight="1" x14ac:dyDescent="0.25">
      <c r="A162" s="6">
        <v>440025</v>
      </c>
      <c r="B162" s="6" t="s">
        <v>785</v>
      </c>
    </row>
    <row r="163" spans="1:2" ht="15.75" customHeight="1" x14ac:dyDescent="0.25">
      <c r="A163" s="6">
        <v>441025</v>
      </c>
      <c r="B163" s="6" t="s">
        <v>785</v>
      </c>
    </row>
    <row r="164" spans="1:2" ht="15.75" customHeight="1" x14ac:dyDescent="0.25">
      <c r="A164" s="6">
        <v>440023</v>
      </c>
      <c r="B164" s="6" t="s">
        <v>786</v>
      </c>
    </row>
    <row r="165" spans="1:2" ht="15.75" customHeight="1" x14ac:dyDescent="0.25">
      <c r="A165" s="6">
        <v>441023</v>
      </c>
      <c r="B165" s="6" t="s">
        <v>786</v>
      </c>
    </row>
    <row r="166" spans="1:2" ht="15.75" customHeight="1" x14ac:dyDescent="0.25">
      <c r="A166" s="6">
        <v>440010</v>
      </c>
      <c r="B166" s="6" t="s">
        <v>787</v>
      </c>
    </row>
    <row r="167" spans="1:2" ht="15.75" customHeight="1" x14ac:dyDescent="0.25">
      <c r="A167" s="6">
        <v>441010</v>
      </c>
      <c r="B167" s="6" t="s">
        <v>787</v>
      </c>
    </row>
    <row r="168" spans="1:2" ht="15.75" customHeight="1" x14ac:dyDescent="0.25">
      <c r="A168" s="6">
        <v>440012</v>
      </c>
      <c r="B168" s="6" t="s">
        <v>788</v>
      </c>
    </row>
    <row r="169" spans="1:2" ht="15.75" customHeight="1" x14ac:dyDescent="0.25">
      <c r="A169" s="6">
        <v>441012</v>
      </c>
      <c r="B169" s="6" t="s">
        <v>788</v>
      </c>
    </row>
    <row r="170" spans="1:2" ht="15.75" customHeight="1" x14ac:dyDescent="0.25">
      <c r="A170" s="6">
        <v>440013</v>
      </c>
      <c r="B170" s="6" t="s">
        <v>789</v>
      </c>
    </row>
    <row r="171" spans="1:2" ht="15.75" customHeight="1" x14ac:dyDescent="0.25">
      <c r="A171" s="6">
        <v>441013</v>
      </c>
      <c r="B171" s="6" t="s">
        <v>789</v>
      </c>
    </row>
    <row r="172" spans="1:2" ht="15.75" customHeight="1" x14ac:dyDescent="0.25">
      <c r="A172" s="6">
        <v>440017</v>
      </c>
      <c r="B172" s="6" t="s">
        <v>790</v>
      </c>
    </row>
    <row r="173" spans="1:2" ht="15.75" customHeight="1" x14ac:dyDescent="0.25">
      <c r="A173" s="6">
        <v>441017</v>
      </c>
      <c r="B173" s="6" t="s">
        <v>790</v>
      </c>
    </row>
    <row r="174" spans="1:2" ht="15.75" customHeight="1" x14ac:dyDescent="0.25">
      <c r="A174" s="6">
        <v>440018</v>
      </c>
      <c r="B174" s="6" t="s">
        <v>791</v>
      </c>
    </row>
    <row r="175" spans="1:2" ht="15.75" customHeight="1" x14ac:dyDescent="0.25">
      <c r="A175" s="6">
        <v>441018</v>
      </c>
      <c r="B175" s="6" t="s">
        <v>791</v>
      </c>
    </row>
    <row r="176" spans="1:2" ht="15.75" customHeight="1" x14ac:dyDescent="0.25">
      <c r="A176" s="6">
        <v>440015</v>
      </c>
      <c r="B176" s="6" t="s">
        <v>792</v>
      </c>
    </row>
    <row r="177" spans="1:2" ht="15.75" customHeight="1" x14ac:dyDescent="0.25">
      <c r="A177" s="6">
        <v>441015</v>
      </c>
      <c r="B177" s="6" t="s">
        <v>792</v>
      </c>
    </row>
    <row r="178" spans="1:2" ht="15.75" customHeight="1" x14ac:dyDescent="0.25">
      <c r="A178" s="6">
        <v>440011</v>
      </c>
      <c r="B178" s="6" t="s">
        <v>793</v>
      </c>
    </row>
    <row r="179" spans="1:2" ht="15.75" customHeight="1" x14ac:dyDescent="0.25">
      <c r="A179" s="6">
        <v>441011</v>
      </c>
      <c r="B179" s="6" t="s">
        <v>793</v>
      </c>
    </row>
    <row r="180" spans="1:2" ht="15.75" customHeight="1" x14ac:dyDescent="0.25">
      <c r="A180" s="6">
        <v>440016</v>
      </c>
      <c r="B180" s="6" t="s">
        <v>794</v>
      </c>
    </row>
    <row r="181" spans="1:2" ht="15.75" customHeight="1" x14ac:dyDescent="0.25">
      <c r="A181" s="6">
        <v>441016</v>
      </c>
      <c r="B181" s="6" t="s">
        <v>794</v>
      </c>
    </row>
    <row r="182" spans="1:2" ht="15.75" customHeight="1" x14ac:dyDescent="0.25">
      <c r="A182" s="6">
        <v>440014</v>
      </c>
      <c r="B182" s="6" t="s">
        <v>795</v>
      </c>
    </row>
    <row r="183" spans="1:2" ht="15.75" customHeight="1" x14ac:dyDescent="0.25">
      <c r="A183" s="6">
        <v>441014</v>
      </c>
      <c r="B183" s="6" t="s">
        <v>795</v>
      </c>
    </row>
    <row r="184" spans="1:2" ht="15.75" customHeight="1" x14ac:dyDescent="0.25">
      <c r="A184" s="6">
        <v>440001</v>
      </c>
      <c r="B184" s="6" t="s">
        <v>796</v>
      </c>
    </row>
    <row r="185" spans="1:2" ht="15.75" customHeight="1" x14ac:dyDescent="0.25">
      <c r="A185" s="6">
        <v>441001</v>
      </c>
      <c r="B185" s="6" t="s">
        <v>796</v>
      </c>
    </row>
    <row r="186" spans="1:2" ht="15.75" customHeight="1" x14ac:dyDescent="0.25">
      <c r="A186" s="6">
        <v>440003</v>
      </c>
      <c r="B186" s="6" t="s">
        <v>797</v>
      </c>
    </row>
    <row r="187" spans="1:2" ht="15.75" customHeight="1" x14ac:dyDescent="0.25">
      <c r="A187" s="6">
        <v>441003</v>
      </c>
      <c r="B187" s="6" t="s">
        <v>797</v>
      </c>
    </row>
    <row r="188" spans="1:2" ht="15.75" customHeight="1" x14ac:dyDescent="0.25">
      <c r="A188" s="6">
        <v>440004</v>
      </c>
      <c r="B188" s="6" t="s">
        <v>798</v>
      </c>
    </row>
    <row r="189" spans="1:2" ht="15.75" customHeight="1" x14ac:dyDescent="0.25">
      <c r="A189" s="6">
        <v>441004</v>
      </c>
      <c r="B189" s="6" t="s">
        <v>798</v>
      </c>
    </row>
    <row r="190" spans="1:2" ht="15.75" customHeight="1" x14ac:dyDescent="0.25">
      <c r="A190" s="6">
        <v>440008</v>
      </c>
      <c r="B190" s="6" t="s">
        <v>799</v>
      </c>
    </row>
    <row r="191" spans="1:2" ht="15.75" customHeight="1" x14ac:dyDescent="0.25">
      <c r="A191" s="6">
        <v>441008</v>
      </c>
      <c r="B191" s="6" t="s">
        <v>799</v>
      </c>
    </row>
    <row r="192" spans="1:2" ht="15.75" customHeight="1" x14ac:dyDescent="0.25">
      <c r="A192" s="6">
        <v>440009</v>
      </c>
      <c r="B192" s="6" t="s">
        <v>800</v>
      </c>
    </row>
    <row r="193" spans="1:2" ht="15.75" customHeight="1" x14ac:dyDescent="0.25">
      <c r="A193" s="6">
        <v>441009</v>
      </c>
      <c r="B193" s="6" t="s">
        <v>800</v>
      </c>
    </row>
    <row r="194" spans="1:2" ht="15.75" customHeight="1" x14ac:dyDescent="0.25">
      <c r="A194" s="6">
        <v>440006</v>
      </c>
      <c r="B194" s="6" t="s">
        <v>801</v>
      </c>
    </row>
    <row r="195" spans="1:2" ht="15.75" customHeight="1" x14ac:dyDescent="0.25">
      <c r="A195" s="6">
        <v>441006</v>
      </c>
      <c r="B195" s="6" t="s">
        <v>801</v>
      </c>
    </row>
    <row r="196" spans="1:2" ht="15.75" customHeight="1" x14ac:dyDescent="0.25">
      <c r="A196" s="6">
        <v>440002</v>
      </c>
      <c r="B196" s="6" t="s">
        <v>802</v>
      </c>
    </row>
    <row r="197" spans="1:2" ht="15.75" customHeight="1" x14ac:dyDescent="0.25">
      <c r="A197" s="6">
        <v>441002</v>
      </c>
      <c r="B197" s="6" t="s">
        <v>802</v>
      </c>
    </row>
    <row r="198" spans="1:2" ht="15.75" customHeight="1" x14ac:dyDescent="0.25">
      <c r="A198" s="6">
        <v>440007</v>
      </c>
      <c r="B198" s="6" t="s">
        <v>803</v>
      </c>
    </row>
    <row r="199" spans="1:2" ht="15.75" customHeight="1" x14ac:dyDescent="0.25">
      <c r="A199" s="6">
        <v>441007</v>
      </c>
      <c r="B199" s="6" t="s">
        <v>803</v>
      </c>
    </row>
    <row r="200" spans="1:2" ht="15.75" customHeight="1" x14ac:dyDescent="0.25">
      <c r="A200" s="6">
        <v>440005</v>
      </c>
      <c r="B200" s="6" t="s">
        <v>804</v>
      </c>
    </row>
    <row r="201" spans="1:2" ht="15.75" customHeight="1" x14ac:dyDescent="0.25">
      <c r="A201" s="6">
        <v>441005</v>
      </c>
      <c r="B201" s="6" t="s">
        <v>804</v>
      </c>
    </row>
    <row r="202" spans="1:2" ht="15.75" customHeight="1" x14ac:dyDescent="0.25">
      <c r="A202" s="6">
        <v>409001</v>
      </c>
      <c r="B202" s="6" t="s">
        <v>805</v>
      </c>
    </row>
    <row r="203" spans="1:2" ht="15.75" customHeight="1" x14ac:dyDescent="0.25">
      <c r="A203" s="6">
        <v>53081</v>
      </c>
      <c r="B203" s="6" t="s">
        <v>806</v>
      </c>
    </row>
    <row r="204" spans="1:2" ht="15.75" customHeight="1" x14ac:dyDescent="0.25">
      <c r="A204" s="6">
        <v>53082</v>
      </c>
      <c r="B204" s="6" t="s">
        <v>807</v>
      </c>
    </row>
    <row r="205" spans="1:2" ht="15.75" customHeight="1" x14ac:dyDescent="0.25">
      <c r="A205" s="6">
        <v>53079</v>
      </c>
      <c r="B205" s="6" t="s">
        <v>808</v>
      </c>
    </row>
    <row r="206" spans="1:2" ht="15.75" customHeight="1" x14ac:dyDescent="0.25">
      <c r="A206" s="6">
        <v>53080</v>
      </c>
      <c r="B206" s="6" t="s">
        <v>809</v>
      </c>
    </row>
    <row r="207" spans="1:2" ht="15.75" customHeight="1" x14ac:dyDescent="0.25">
      <c r="A207" s="6">
        <v>220002</v>
      </c>
      <c r="B207" s="6" t="s">
        <v>810</v>
      </c>
    </row>
    <row r="208" spans="1:2" ht="15.75" customHeight="1" x14ac:dyDescent="0.25">
      <c r="A208" s="6">
        <v>235005</v>
      </c>
      <c r="B208" s="6" t="s">
        <v>811</v>
      </c>
    </row>
    <row r="209" spans="1:2" ht="15.75" customHeight="1" x14ac:dyDescent="0.25">
      <c r="A209" s="6">
        <v>235004</v>
      </c>
      <c r="B209" s="6" t="s">
        <v>812</v>
      </c>
    </row>
    <row r="210" spans="1:2" ht="15.75" customHeight="1" x14ac:dyDescent="0.25">
      <c r="A210" s="6">
        <v>235007</v>
      </c>
      <c r="B210" s="6" t="s">
        <v>813</v>
      </c>
    </row>
    <row r="211" spans="1:2" ht="15.75" customHeight="1" x14ac:dyDescent="0.25">
      <c r="A211" s="6">
        <v>235006</v>
      </c>
      <c r="B211" s="6" t="s">
        <v>814</v>
      </c>
    </row>
    <row r="212" spans="1:2" ht="15.75" customHeight="1" x14ac:dyDescent="0.25">
      <c r="A212" s="6">
        <v>235009</v>
      </c>
      <c r="B212" s="6" t="s">
        <v>815</v>
      </c>
    </row>
    <row r="213" spans="1:2" ht="15.75" customHeight="1" x14ac:dyDescent="0.25">
      <c r="A213" s="6">
        <v>235010</v>
      </c>
      <c r="B213" s="6" t="s">
        <v>816</v>
      </c>
    </row>
    <row r="214" spans="1:2" ht="15.75" customHeight="1" x14ac:dyDescent="0.25">
      <c r="A214" s="6">
        <v>235008</v>
      </c>
      <c r="B214" s="6" t="s">
        <v>817</v>
      </c>
    </row>
    <row r="215" spans="1:2" ht="15.75" customHeight="1" x14ac:dyDescent="0.25">
      <c r="A215" s="6">
        <v>235003</v>
      </c>
      <c r="B215" s="6" t="s">
        <v>818</v>
      </c>
    </row>
    <row r="216" spans="1:2" ht="15.75" customHeight="1" x14ac:dyDescent="0.25">
      <c r="A216" s="6">
        <v>45045</v>
      </c>
      <c r="B216" s="6" t="s">
        <v>819</v>
      </c>
    </row>
    <row r="217" spans="1:2" ht="15.75" customHeight="1" x14ac:dyDescent="0.25">
      <c r="A217" s="6">
        <v>45046</v>
      </c>
      <c r="B217" s="6" t="s">
        <v>820</v>
      </c>
    </row>
    <row r="218" spans="1:2" ht="15.75" customHeight="1" x14ac:dyDescent="0.25">
      <c r="A218" s="6">
        <v>45044</v>
      </c>
      <c r="B218" s="6" t="s">
        <v>821</v>
      </c>
    </row>
    <row r="219" spans="1:2" ht="15.75" customHeight="1" x14ac:dyDescent="0.25">
      <c r="A219" s="6">
        <v>53015</v>
      </c>
      <c r="B219" s="6" t="s">
        <v>822</v>
      </c>
    </row>
    <row r="220" spans="1:2" ht="15.75" customHeight="1" x14ac:dyDescent="0.25">
      <c r="A220" s="6">
        <v>53016</v>
      </c>
      <c r="B220" s="6" t="s">
        <v>823</v>
      </c>
    </row>
    <row r="221" spans="1:2" ht="15.75" customHeight="1" x14ac:dyDescent="0.25">
      <c r="A221" s="6">
        <v>53013</v>
      </c>
      <c r="B221" s="6" t="s">
        <v>824</v>
      </c>
    </row>
    <row r="222" spans="1:2" ht="15.75" customHeight="1" x14ac:dyDescent="0.25">
      <c r="A222" s="6">
        <v>53014</v>
      </c>
      <c r="B222" s="6" t="s">
        <v>825</v>
      </c>
    </row>
    <row r="223" spans="1:2" ht="15.75" customHeight="1" x14ac:dyDescent="0.25">
      <c r="A223" s="6">
        <v>409013</v>
      </c>
      <c r="B223" s="6" t="s">
        <v>826</v>
      </c>
    </row>
    <row r="224" spans="1:2" ht="15.75" customHeight="1" x14ac:dyDescent="0.25">
      <c r="A224" s="6">
        <v>1014</v>
      </c>
      <c r="B224" s="6" t="s">
        <v>827</v>
      </c>
    </row>
    <row r="225" spans="1:2" ht="15.75" customHeight="1" x14ac:dyDescent="0.25">
      <c r="A225" s="6">
        <v>1141</v>
      </c>
      <c r="B225" s="6" t="s">
        <v>828</v>
      </c>
    </row>
    <row r="226" spans="1:2" ht="15.75" customHeight="1" x14ac:dyDescent="0.25">
      <c r="A226" s="6">
        <v>1146</v>
      </c>
      <c r="B226" s="6" t="s">
        <v>829</v>
      </c>
    </row>
    <row r="227" spans="1:2" ht="15.75" customHeight="1" x14ac:dyDescent="0.25">
      <c r="A227" s="6">
        <v>43012</v>
      </c>
      <c r="B227" s="6" t="s">
        <v>830</v>
      </c>
    </row>
    <row r="228" spans="1:2" ht="15.75" customHeight="1" x14ac:dyDescent="0.25">
      <c r="A228" s="6">
        <v>1142</v>
      </c>
      <c r="B228" s="6" t="s">
        <v>831</v>
      </c>
    </row>
    <row r="229" spans="1:2" ht="15.75" customHeight="1" x14ac:dyDescent="0.25">
      <c r="A229" s="6">
        <v>1147</v>
      </c>
      <c r="B229" s="6" t="s">
        <v>832</v>
      </c>
    </row>
    <row r="230" spans="1:2" ht="15.75" customHeight="1" x14ac:dyDescent="0.25">
      <c r="A230" s="6">
        <v>43013</v>
      </c>
      <c r="B230" s="6" t="s">
        <v>833</v>
      </c>
    </row>
    <row r="231" spans="1:2" ht="15.75" customHeight="1" x14ac:dyDescent="0.25">
      <c r="A231" s="6">
        <v>1107</v>
      </c>
      <c r="B231" s="6" t="s">
        <v>834</v>
      </c>
    </row>
    <row r="232" spans="1:2" ht="15.75" customHeight="1" x14ac:dyDescent="0.25">
      <c r="A232" s="6">
        <v>1015</v>
      </c>
      <c r="B232" s="6" t="s">
        <v>835</v>
      </c>
    </row>
    <row r="233" spans="1:2" ht="15.75" customHeight="1" x14ac:dyDescent="0.25">
      <c r="A233" s="6">
        <v>1084</v>
      </c>
      <c r="B233" s="6" t="s">
        <v>836</v>
      </c>
    </row>
    <row r="234" spans="1:2" ht="15.75" customHeight="1" x14ac:dyDescent="0.25">
      <c r="A234" s="6">
        <v>1085</v>
      </c>
      <c r="B234" s="6" t="s">
        <v>837</v>
      </c>
    </row>
    <row r="235" spans="1:2" ht="15.75" customHeight="1" x14ac:dyDescent="0.25">
      <c r="A235" s="6">
        <v>1128</v>
      </c>
      <c r="B235" s="6" t="s">
        <v>838</v>
      </c>
    </row>
    <row r="236" spans="1:2" ht="15.75" customHeight="1" x14ac:dyDescent="0.25">
      <c r="A236" s="6">
        <v>1117</v>
      </c>
      <c r="B236" s="6" t="s">
        <v>839</v>
      </c>
    </row>
    <row r="237" spans="1:2" ht="15.75" customHeight="1" x14ac:dyDescent="0.25">
      <c r="A237" s="6">
        <v>1124</v>
      </c>
      <c r="B237" s="6" t="s">
        <v>840</v>
      </c>
    </row>
    <row r="238" spans="1:2" ht="15.75" customHeight="1" x14ac:dyDescent="0.25">
      <c r="A238" s="6">
        <v>1155</v>
      </c>
      <c r="B238" s="6" t="s">
        <v>841</v>
      </c>
    </row>
    <row r="239" spans="1:2" ht="15.75" customHeight="1" x14ac:dyDescent="0.25">
      <c r="A239" s="6">
        <v>43010</v>
      </c>
      <c r="B239" s="6" t="s">
        <v>842</v>
      </c>
    </row>
    <row r="240" spans="1:2" ht="15.75" customHeight="1" x14ac:dyDescent="0.25">
      <c r="A240" s="6">
        <v>43009</v>
      </c>
      <c r="B240" s="6" t="s">
        <v>843</v>
      </c>
    </row>
    <row r="241" spans="1:2" ht="15.75" customHeight="1" x14ac:dyDescent="0.25">
      <c r="A241" s="6">
        <v>43008</v>
      </c>
      <c r="B241" s="6" t="s">
        <v>844</v>
      </c>
    </row>
    <row r="242" spans="1:2" ht="15.75" customHeight="1" x14ac:dyDescent="0.25">
      <c r="A242" s="6">
        <v>1077</v>
      </c>
      <c r="B242" s="6" t="s">
        <v>845</v>
      </c>
    </row>
    <row r="243" spans="1:2" ht="15.75" customHeight="1" x14ac:dyDescent="0.25">
      <c r="A243" s="6">
        <v>1020</v>
      </c>
      <c r="B243" s="6" t="s">
        <v>846</v>
      </c>
    </row>
    <row r="244" spans="1:2" ht="15.75" customHeight="1" x14ac:dyDescent="0.25">
      <c r="A244" s="6">
        <v>1022</v>
      </c>
      <c r="B244" s="6" t="s">
        <v>847</v>
      </c>
    </row>
    <row r="245" spans="1:2" ht="15.75" customHeight="1" x14ac:dyDescent="0.25">
      <c r="A245" s="6">
        <v>1111</v>
      </c>
      <c r="B245" s="6" t="s">
        <v>848</v>
      </c>
    </row>
    <row r="246" spans="1:2" ht="15.75" customHeight="1" x14ac:dyDescent="0.25">
      <c r="A246" s="6">
        <v>1016</v>
      </c>
      <c r="B246" s="6" t="s">
        <v>849</v>
      </c>
    </row>
    <row r="247" spans="1:2" ht="15.75" customHeight="1" x14ac:dyDescent="0.25">
      <c r="A247" s="6">
        <v>43011</v>
      </c>
      <c r="B247" s="6" t="s">
        <v>850</v>
      </c>
    </row>
    <row r="248" spans="1:2" ht="15.75" customHeight="1" x14ac:dyDescent="0.25">
      <c r="A248" s="6">
        <v>1029</v>
      </c>
      <c r="B248" s="6" t="s">
        <v>851</v>
      </c>
    </row>
    <row r="249" spans="1:2" ht="15.75" customHeight="1" x14ac:dyDescent="0.25">
      <c r="A249" s="6">
        <v>219002</v>
      </c>
      <c r="B249" s="6" t="s">
        <v>852</v>
      </c>
    </row>
    <row r="250" spans="1:2" ht="15.75" customHeight="1" x14ac:dyDescent="0.25">
      <c r="A250" s="6">
        <v>208009</v>
      </c>
      <c r="B250" s="6" t="s">
        <v>853</v>
      </c>
    </row>
    <row r="251" spans="1:2" ht="15.75" customHeight="1" x14ac:dyDescent="0.25">
      <c r="A251" s="6">
        <v>408036</v>
      </c>
      <c r="B251" s="6" t="s">
        <v>854</v>
      </c>
    </row>
    <row r="252" spans="1:2" ht="15.75" customHeight="1" x14ac:dyDescent="0.25">
      <c r="A252" s="6">
        <v>32102</v>
      </c>
      <c r="B252" s="6" t="s">
        <v>855</v>
      </c>
    </row>
    <row r="253" spans="1:2" ht="15.75" customHeight="1" x14ac:dyDescent="0.25">
      <c r="A253" s="6">
        <v>212003</v>
      </c>
      <c r="B253" s="6" t="s">
        <v>856</v>
      </c>
    </row>
    <row r="254" spans="1:2" ht="15.75" customHeight="1" x14ac:dyDescent="0.25">
      <c r="A254" s="6">
        <v>47017</v>
      </c>
      <c r="B254" s="6" t="s">
        <v>857</v>
      </c>
    </row>
    <row r="255" spans="1:2" ht="15.75" customHeight="1" x14ac:dyDescent="0.25">
      <c r="A255" s="6">
        <v>47014</v>
      </c>
      <c r="B255" s="6" t="s">
        <v>858</v>
      </c>
    </row>
    <row r="256" spans="1:2" ht="15.75" customHeight="1" x14ac:dyDescent="0.25">
      <c r="A256" s="6">
        <v>47016</v>
      </c>
      <c r="B256" s="6" t="s">
        <v>859</v>
      </c>
    </row>
    <row r="257" spans="1:2" ht="15.75" customHeight="1" x14ac:dyDescent="0.25">
      <c r="A257" s="6">
        <v>47013</v>
      </c>
      <c r="B257" s="6" t="s">
        <v>860</v>
      </c>
    </row>
    <row r="258" spans="1:2" ht="15.75" customHeight="1" x14ac:dyDescent="0.25">
      <c r="A258" s="6">
        <v>47018</v>
      </c>
      <c r="B258" s="6" t="s">
        <v>861</v>
      </c>
    </row>
    <row r="259" spans="1:2" ht="15.75" customHeight="1" x14ac:dyDescent="0.25">
      <c r="A259" s="6">
        <v>47015</v>
      </c>
      <c r="B259" s="6" t="s">
        <v>862</v>
      </c>
    </row>
    <row r="260" spans="1:2" ht="15.75" customHeight="1" x14ac:dyDescent="0.25">
      <c r="A260" s="6">
        <v>208012</v>
      </c>
      <c r="B260" s="6" t="s">
        <v>863</v>
      </c>
    </row>
    <row r="261" spans="1:2" ht="15.75" customHeight="1" x14ac:dyDescent="0.25">
      <c r="A261" s="6">
        <v>210021</v>
      </c>
      <c r="B261" s="6" t="s">
        <v>864</v>
      </c>
    </row>
    <row r="262" spans="1:2" ht="15.75" customHeight="1" x14ac:dyDescent="0.25">
      <c r="A262" s="6">
        <v>222017</v>
      </c>
      <c r="B262" s="6" t="s">
        <v>864</v>
      </c>
    </row>
    <row r="263" spans="1:2" ht="15.75" customHeight="1" x14ac:dyDescent="0.25">
      <c r="A263" s="6">
        <v>212007</v>
      </c>
      <c r="B263" s="6" t="s">
        <v>865</v>
      </c>
    </row>
    <row r="264" spans="1:2" ht="15.75" customHeight="1" x14ac:dyDescent="0.25">
      <c r="A264" s="6">
        <v>210025</v>
      </c>
      <c r="B264" s="6" t="s">
        <v>866</v>
      </c>
    </row>
    <row r="265" spans="1:2" ht="15.75" customHeight="1" x14ac:dyDescent="0.25">
      <c r="A265" s="6">
        <v>222023</v>
      </c>
      <c r="B265" s="6" t="s">
        <v>866</v>
      </c>
    </row>
    <row r="266" spans="1:2" ht="15.75" customHeight="1" x14ac:dyDescent="0.25">
      <c r="A266" s="6">
        <v>210022</v>
      </c>
      <c r="B266" s="6" t="s">
        <v>867</v>
      </c>
    </row>
    <row r="267" spans="1:2" ht="15.75" customHeight="1" x14ac:dyDescent="0.25">
      <c r="A267" s="6">
        <v>222021</v>
      </c>
      <c r="B267" s="6" t="s">
        <v>867</v>
      </c>
    </row>
    <row r="268" spans="1:2" ht="15.75" customHeight="1" x14ac:dyDescent="0.25">
      <c r="A268" s="6">
        <v>222013</v>
      </c>
      <c r="B268" s="6" t="s">
        <v>868</v>
      </c>
    </row>
    <row r="269" spans="1:2" ht="15.75" customHeight="1" x14ac:dyDescent="0.25">
      <c r="A269" s="6">
        <v>210015</v>
      </c>
      <c r="B269" s="6" t="s">
        <v>869</v>
      </c>
    </row>
    <row r="270" spans="1:2" ht="15.75" customHeight="1" x14ac:dyDescent="0.25">
      <c r="A270" s="6">
        <v>409018</v>
      </c>
      <c r="B270" s="6" t="s">
        <v>870</v>
      </c>
    </row>
    <row r="271" spans="1:2" ht="15.75" customHeight="1" x14ac:dyDescent="0.25">
      <c r="A271" s="6">
        <v>45049</v>
      </c>
      <c r="B271" s="6" t="s">
        <v>871</v>
      </c>
    </row>
    <row r="272" spans="1:2" ht="15.75" customHeight="1" x14ac:dyDescent="0.25">
      <c r="A272" s="6">
        <v>45050</v>
      </c>
      <c r="B272" s="6" t="s">
        <v>872</v>
      </c>
    </row>
    <row r="273" spans="1:2" ht="15.75" customHeight="1" x14ac:dyDescent="0.25">
      <c r="A273" s="6">
        <v>45047</v>
      </c>
      <c r="B273" s="6" t="s">
        <v>873</v>
      </c>
    </row>
    <row r="274" spans="1:2" ht="15.75" customHeight="1" x14ac:dyDescent="0.25">
      <c r="A274" s="6">
        <v>45048</v>
      </c>
      <c r="B274" s="6" t="s">
        <v>874</v>
      </c>
    </row>
    <row r="275" spans="1:2" ht="15.75" customHeight="1" x14ac:dyDescent="0.25">
      <c r="A275" s="6">
        <v>45055</v>
      </c>
      <c r="B275" s="6" t="s">
        <v>875</v>
      </c>
    </row>
    <row r="276" spans="1:2" ht="15.75" customHeight="1" x14ac:dyDescent="0.25">
      <c r="A276" s="6">
        <v>45056</v>
      </c>
      <c r="B276" s="6" t="s">
        <v>876</v>
      </c>
    </row>
    <row r="277" spans="1:2" ht="15.75" customHeight="1" x14ac:dyDescent="0.25">
      <c r="A277" s="6">
        <v>45057</v>
      </c>
      <c r="B277" s="6" t="s">
        <v>877</v>
      </c>
    </row>
    <row r="278" spans="1:2" ht="15.75" customHeight="1" x14ac:dyDescent="0.25">
      <c r="A278" s="6">
        <v>45054</v>
      </c>
      <c r="B278" s="6" t="s">
        <v>878</v>
      </c>
    </row>
    <row r="279" spans="1:2" ht="15.75" customHeight="1" x14ac:dyDescent="0.25">
      <c r="A279" s="6">
        <v>316001</v>
      </c>
      <c r="B279" s="6" t="s">
        <v>103</v>
      </c>
    </row>
    <row r="280" spans="1:2" ht="15.75" customHeight="1" x14ac:dyDescent="0.25">
      <c r="A280" s="6">
        <v>32209</v>
      </c>
      <c r="B280" s="6" t="s">
        <v>879</v>
      </c>
    </row>
    <row r="281" spans="1:2" ht="15.75" customHeight="1" x14ac:dyDescent="0.25">
      <c r="A281" s="6">
        <v>32188</v>
      </c>
      <c r="B281" s="6" t="s">
        <v>880</v>
      </c>
    </row>
    <row r="282" spans="1:2" ht="15.75" customHeight="1" x14ac:dyDescent="0.25">
      <c r="A282" s="6">
        <v>32179</v>
      </c>
      <c r="B282" s="6" t="s">
        <v>881</v>
      </c>
    </row>
    <row r="283" spans="1:2" ht="15.75" customHeight="1" x14ac:dyDescent="0.25">
      <c r="A283" s="6">
        <v>32196</v>
      </c>
      <c r="B283" s="6" t="s">
        <v>882</v>
      </c>
    </row>
    <row r="284" spans="1:2" ht="15.75" customHeight="1" x14ac:dyDescent="0.25">
      <c r="A284" s="6">
        <v>32181</v>
      </c>
      <c r="B284" s="6" t="s">
        <v>883</v>
      </c>
    </row>
    <row r="285" spans="1:2" ht="15.75" customHeight="1" x14ac:dyDescent="0.25">
      <c r="A285" s="6">
        <v>32210</v>
      </c>
      <c r="B285" s="6" t="s">
        <v>884</v>
      </c>
    </row>
    <row r="286" spans="1:2" ht="15.75" customHeight="1" x14ac:dyDescent="0.25">
      <c r="A286" s="6">
        <v>32189</v>
      </c>
      <c r="B286" s="6" t="s">
        <v>885</v>
      </c>
    </row>
    <row r="287" spans="1:2" ht="15.75" customHeight="1" x14ac:dyDescent="0.25">
      <c r="A287" s="6">
        <v>32195</v>
      </c>
      <c r="B287" s="6" t="s">
        <v>886</v>
      </c>
    </row>
    <row r="288" spans="1:2" ht="15.75" customHeight="1" x14ac:dyDescent="0.25">
      <c r="A288" s="6">
        <v>32182</v>
      </c>
      <c r="B288" s="6" t="s">
        <v>887</v>
      </c>
    </row>
    <row r="289" spans="1:2" ht="15.75" customHeight="1" x14ac:dyDescent="0.25">
      <c r="A289" s="6">
        <v>32203</v>
      </c>
      <c r="B289" s="6" t="s">
        <v>888</v>
      </c>
    </row>
    <row r="290" spans="1:2" ht="15.75" customHeight="1" x14ac:dyDescent="0.25">
      <c r="A290" s="6">
        <v>32208</v>
      </c>
      <c r="B290" s="6" t="s">
        <v>889</v>
      </c>
    </row>
    <row r="291" spans="1:2" ht="15.75" customHeight="1" x14ac:dyDescent="0.25">
      <c r="A291" s="6">
        <v>32178</v>
      </c>
      <c r="B291" s="6" t="s">
        <v>890</v>
      </c>
    </row>
    <row r="292" spans="1:2" ht="15.75" customHeight="1" x14ac:dyDescent="0.25">
      <c r="A292" s="6">
        <v>32194</v>
      </c>
      <c r="B292" s="6" t="s">
        <v>891</v>
      </c>
    </row>
    <row r="293" spans="1:2" ht="15.75" customHeight="1" x14ac:dyDescent="0.25">
      <c r="A293" s="6">
        <v>32180</v>
      </c>
      <c r="B293" s="6" t="s">
        <v>892</v>
      </c>
    </row>
    <row r="294" spans="1:2" ht="15.75" customHeight="1" x14ac:dyDescent="0.25">
      <c r="A294" s="6">
        <v>55001</v>
      </c>
      <c r="B294" s="6" t="s">
        <v>893</v>
      </c>
    </row>
    <row r="295" spans="1:2" ht="15.75" customHeight="1" x14ac:dyDescent="0.25">
      <c r="A295" s="6">
        <v>55002</v>
      </c>
      <c r="B295" s="6" t="s">
        <v>894</v>
      </c>
    </row>
    <row r="296" spans="1:2" ht="15.75" customHeight="1" x14ac:dyDescent="0.25">
      <c r="A296" s="6">
        <v>53097</v>
      </c>
      <c r="B296" s="6" t="s">
        <v>895</v>
      </c>
    </row>
    <row r="297" spans="1:2" ht="15.75" customHeight="1" x14ac:dyDescent="0.25">
      <c r="A297" s="6">
        <v>53098</v>
      </c>
      <c r="B297" s="6" t="s">
        <v>896</v>
      </c>
    </row>
    <row r="298" spans="1:2" ht="15.75" customHeight="1" x14ac:dyDescent="0.25">
      <c r="A298" s="6">
        <v>53095</v>
      </c>
      <c r="B298" s="6" t="s">
        <v>897</v>
      </c>
    </row>
    <row r="299" spans="1:2" ht="15.75" customHeight="1" x14ac:dyDescent="0.25">
      <c r="A299" s="6">
        <v>53096</v>
      </c>
      <c r="B299" s="6" t="s">
        <v>898</v>
      </c>
    </row>
    <row r="300" spans="1:2" ht="15.75" customHeight="1" x14ac:dyDescent="0.25">
      <c r="A300" s="6">
        <v>434002</v>
      </c>
      <c r="B300" s="6" t="s">
        <v>899</v>
      </c>
    </row>
    <row r="301" spans="1:2" ht="15.75" customHeight="1" x14ac:dyDescent="0.25">
      <c r="A301" s="6">
        <v>434003</v>
      </c>
      <c r="B301" s="6" t="s">
        <v>900</v>
      </c>
    </row>
    <row r="302" spans="1:2" ht="15.75" customHeight="1" x14ac:dyDescent="0.25">
      <c r="A302" s="6">
        <v>52002</v>
      </c>
      <c r="B302" s="6" t="s">
        <v>901</v>
      </c>
    </row>
    <row r="303" spans="1:2" ht="15.75" customHeight="1" x14ac:dyDescent="0.25">
      <c r="A303" s="6">
        <v>220030</v>
      </c>
      <c r="B303" s="6" t="s">
        <v>902</v>
      </c>
    </row>
    <row r="304" spans="1:2" ht="15.75" customHeight="1" x14ac:dyDescent="0.25">
      <c r="A304" s="6">
        <v>220003</v>
      </c>
      <c r="B304" s="6" t="s">
        <v>115</v>
      </c>
    </row>
    <row r="305" spans="1:2" ht="15.75" customHeight="1" x14ac:dyDescent="0.25">
      <c r="A305" s="6">
        <v>21003</v>
      </c>
      <c r="B305" s="6" t="s">
        <v>115</v>
      </c>
    </row>
    <row r="306" spans="1:2" ht="15.75" customHeight="1" x14ac:dyDescent="0.25">
      <c r="A306" s="6">
        <v>48001</v>
      </c>
      <c r="B306" s="6" t="s">
        <v>115</v>
      </c>
    </row>
    <row r="307" spans="1:2" ht="15.75" customHeight="1" x14ac:dyDescent="0.25">
      <c r="A307" s="6">
        <v>48002</v>
      </c>
      <c r="B307" s="6" t="s">
        <v>903</v>
      </c>
    </row>
    <row r="308" spans="1:2" ht="15.75" customHeight="1" x14ac:dyDescent="0.25">
      <c r="A308" s="6">
        <v>212009</v>
      </c>
      <c r="B308" s="6" t="s">
        <v>904</v>
      </c>
    </row>
    <row r="309" spans="1:2" ht="15.75" customHeight="1" x14ac:dyDescent="0.25">
      <c r="A309" s="6">
        <v>216004</v>
      </c>
      <c r="B309" s="6" t="s">
        <v>905</v>
      </c>
    </row>
    <row r="310" spans="1:2" ht="15.75" customHeight="1" x14ac:dyDescent="0.25">
      <c r="A310" s="6">
        <v>434004</v>
      </c>
      <c r="B310" s="6" t="s">
        <v>906</v>
      </c>
    </row>
    <row r="311" spans="1:2" ht="15.75" customHeight="1" x14ac:dyDescent="0.25">
      <c r="A311" s="6">
        <v>434005</v>
      </c>
      <c r="B311" s="6" t="s">
        <v>907</v>
      </c>
    </row>
    <row r="312" spans="1:2" ht="15.75" customHeight="1" x14ac:dyDescent="0.25">
      <c r="A312" s="6">
        <v>434006</v>
      </c>
      <c r="B312" s="6" t="s">
        <v>908</v>
      </c>
    </row>
    <row r="313" spans="1:2" ht="15.75" customHeight="1" x14ac:dyDescent="0.25">
      <c r="A313" s="6">
        <v>220004</v>
      </c>
      <c r="B313" s="6" t="s">
        <v>909</v>
      </c>
    </row>
    <row r="314" spans="1:2" ht="15.75" customHeight="1" x14ac:dyDescent="0.25">
      <c r="A314" s="6">
        <v>212002</v>
      </c>
      <c r="B314" s="6" t="s">
        <v>910</v>
      </c>
    </row>
    <row r="315" spans="1:2" ht="15.75" customHeight="1" x14ac:dyDescent="0.25">
      <c r="A315" s="6">
        <v>32004</v>
      </c>
      <c r="B315" s="6" t="s">
        <v>911</v>
      </c>
    </row>
    <row r="316" spans="1:2" ht="15.75" customHeight="1" x14ac:dyDescent="0.25">
      <c r="A316" s="6">
        <v>32167</v>
      </c>
      <c r="B316" s="6" t="s">
        <v>912</v>
      </c>
    </row>
    <row r="317" spans="1:2" ht="15.75" customHeight="1" x14ac:dyDescent="0.25">
      <c r="A317" s="6">
        <v>32212</v>
      </c>
      <c r="B317" s="6" t="s">
        <v>913</v>
      </c>
    </row>
    <row r="318" spans="1:2" ht="15.75" customHeight="1" x14ac:dyDescent="0.25">
      <c r="A318" s="6">
        <v>209015</v>
      </c>
      <c r="B318" s="6" t="s">
        <v>914</v>
      </c>
    </row>
    <row r="319" spans="1:2" ht="15.75" customHeight="1" x14ac:dyDescent="0.25">
      <c r="A319" s="6">
        <v>309002</v>
      </c>
      <c r="B319" s="6" t="s">
        <v>914</v>
      </c>
    </row>
    <row r="320" spans="1:2" ht="15.75" customHeight="1" x14ac:dyDescent="0.25">
      <c r="A320" s="6">
        <v>32142</v>
      </c>
      <c r="B320" s="6" t="s">
        <v>915</v>
      </c>
    </row>
    <row r="321" spans="1:2" ht="15.75" customHeight="1" x14ac:dyDescent="0.25">
      <c r="A321" s="6">
        <v>32143</v>
      </c>
      <c r="B321" s="6" t="s">
        <v>916</v>
      </c>
    </row>
    <row r="322" spans="1:2" ht="15.75" customHeight="1" x14ac:dyDescent="0.25">
      <c r="A322" s="6">
        <v>32200</v>
      </c>
      <c r="B322" s="6" t="s">
        <v>917</v>
      </c>
    </row>
    <row r="323" spans="1:2" ht="15.75" customHeight="1" x14ac:dyDescent="0.25">
      <c r="A323" s="6">
        <v>32216</v>
      </c>
      <c r="B323" s="6" t="s">
        <v>918</v>
      </c>
    </row>
    <row r="324" spans="1:2" ht="15.75" customHeight="1" x14ac:dyDescent="0.25">
      <c r="A324" s="6">
        <v>32185</v>
      </c>
      <c r="B324" s="6" t="s">
        <v>919</v>
      </c>
    </row>
    <row r="325" spans="1:2" ht="15.75" customHeight="1" x14ac:dyDescent="0.25">
      <c r="A325" s="6">
        <v>32186</v>
      </c>
      <c r="B325" s="6" t="s">
        <v>920</v>
      </c>
    </row>
    <row r="326" spans="1:2" ht="15.75" customHeight="1" x14ac:dyDescent="0.25">
      <c r="A326" s="6">
        <v>32154</v>
      </c>
      <c r="B326" s="6" t="s">
        <v>921</v>
      </c>
    </row>
    <row r="327" spans="1:2" ht="15.75" customHeight="1" x14ac:dyDescent="0.25">
      <c r="A327" s="6">
        <v>32171</v>
      </c>
      <c r="B327" s="6" t="s">
        <v>922</v>
      </c>
    </row>
    <row r="328" spans="1:2" ht="15.75" customHeight="1" x14ac:dyDescent="0.25">
      <c r="A328" s="6">
        <v>32152</v>
      </c>
      <c r="B328" s="6" t="s">
        <v>923</v>
      </c>
    </row>
    <row r="329" spans="1:2" ht="15.75" customHeight="1" x14ac:dyDescent="0.25">
      <c r="A329" s="6">
        <v>32173</v>
      </c>
      <c r="B329" s="6" t="s">
        <v>924</v>
      </c>
    </row>
    <row r="330" spans="1:2" ht="15.75" customHeight="1" x14ac:dyDescent="0.25">
      <c r="A330" s="6">
        <v>32165</v>
      </c>
      <c r="B330" s="6" t="s">
        <v>925</v>
      </c>
    </row>
    <row r="331" spans="1:2" ht="15.75" customHeight="1" x14ac:dyDescent="0.25">
      <c r="A331" s="6">
        <v>32144</v>
      </c>
      <c r="B331" s="6" t="s">
        <v>926</v>
      </c>
    </row>
    <row r="332" spans="1:2" ht="15.75" customHeight="1" x14ac:dyDescent="0.25">
      <c r="A332" s="6">
        <v>32170</v>
      </c>
      <c r="B332" s="6" t="s">
        <v>927</v>
      </c>
    </row>
    <row r="333" spans="1:2" ht="15.75" customHeight="1" x14ac:dyDescent="0.25">
      <c r="A333" s="6">
        <v>32153</v>
      </c>
      <c r="B333" s="6" t="s">
        <v>928</v>
      </c>
    </row>
    <row r="334" spans="1:2" ht="15.75" customHeight="1" x14ac:dyDescent="0.25">
      <c r="A334" s="6">
        <v>32172</v>
      </c>
      <c r="B334" s="6" t="s">
        <v>929</v>
      </c>
    </row>
    <row r="335" spans="1:2" ht="15.75" customHeight="1" x14ac:dyDescent="0.25">
      <c r="A335" s="6">
        <v>32166</v>
      </c>
      <c r="B335" s="6" t="s">
        <v>930</v>
      </c>
    </row>
    <row r="336" spans="1:2" ht="15.75" customHeight="1" x14ac:dyDescent="0.25">
      <c r="A336" s="6">
        <v>32136</v>
      </c>
      <c r="B336" s="6" t="s">
        <v>931</v>
      </c>
    </row>
    <row r="337" spans="1:2" ht="15.75" customHeight="1" x14ac:dyDescent="0.25">
      <c r="A337" s="6">
        <v>32217</v>
      </c>
      <c r="B337" s="6" t="s">
        <v>932</v>
      </c>
    </row>
    <row r="338" spans="1:2" ht="15.75" customHeight="1" x14ac:dyDescent="0.25">
      <c r="A338" s="6">
        <v>32184</v>
      </c>
      <c r="B338" s="6" t="s">
        <v>933</v>
      </c>
    </row>
    <row r="339" spans="1:2" ht="15.75" customHeight="1" x14ac:dyDescent="0.25">
      <c r="A339" s="6">
        <v>32214</v>
      </c>
      <c r="B339" s="6" t="s">
        <v>934</v>
      </c>
    </row>
    <row r="340" spans="1:2" ht="15.75" customHeight="1" x14ac:dyDescent="0.25">
      <c r="A340" s="6">
        <v>132002</v>
      </c>
      <c r="B340" s="6" t="s">
        <v>935</v>
      </c>
    </row>
    <row r="341" spans="1:2" ht="15.75" customHeight="1" x14ac:dyDescent="0.25">
      <c r="A341" s="6">
        <v>32135</v>
      </c>
      <c r="B341" s="6" t="s">
        <v>936</v>
      </c>
    </row>
    <row r="342" spans="1:2" ht="15.75" customHeight="1" x14ac:dyDescent="0.25">
      <c r="A342" s="6">
        <v>434007</v>
      </c>
      <c r="B342" s="6" t="s">
        <v>937</v>
      </c>
    </row>
    <row r="343" spans="1:2" ht="15.75" customHeight="1" x14ac:dyDescent="0.25">
      <c r="A343" s="6">
        <v>32070</v>
      </c>
      <c r="B343" s="6" t="s">
        <v>938</v>
      </c>
    </row>
    <row r="344" spans="1:2" ht="15.75" customHeight="1" x14ac:dyDescent="0.25">
      <c r="A344" s="6">
        <v>434008</v>
      </c>
      <c r="B344" s="6" t="s">
        <v>939</v>
      </c>
    </row>
    <row r="345" spans="1:2" ht="15.75" customHeight="1" x14ac:dyDescent="0.25">
      <c r="A345" s="6">
        <v>434009</v>
      </c>
      <c r="B345" s="6" t="s">
        <v>940</v>
      </c>
    </row>
    <row r="346" spans="1:2" ht="15.75" customHeight="1" x14ac:dyDescent="0.25">
      <c r="A346" s="6">
        <v>220005</v>
      </c>
      <c r="B346" s="6" t="s">
        <v>941</v>
      </c>
    </row>
    <row r="347" spans="1:2" ht="15.75" customHeight="1" x14ac:dyDescent="0.25">
      <c r="A347" s="6">
        <v>208027</v>
      </c>
      <c r="B347" s="6" t="s">
        <v>942</v>
      </c>
    </row>
    <row r="348" spans="1:2" ht="15.75" customHeight="1" x14ac:dyDescent="0.25">
      <c r="A348" s="6">
        <v>219001</v>
      </c>
      <c r="B348" s="6" t="s">
        <v>943</v>
      </c>
    </row>
    <row r="349" spans="1:2" ht="15.75" customHeight="1" x14ac:dyDescent="0.25">
      <c r="A349" s="6">
        <v>409019</v>
      </c>
      <c r="B349" s="6" t="s">
        <v>944</v>
      </c>
    </row>
    <row r="350" spans="1:2" ht="15.75" customHeight="1" x14ac:dyDescent="0.25">
      <c r="A350" s="6">
        <v>212010</v>
      </c>
      <c r="B350" s="6" t="s">
        <v>945</v>
      </c>
    </row>
    <row r="351" spans="1:2" ht="15.75" customHeight="1" x14ac:dyDescent="0.25">
      <c r="A351" s="6">
        <v>217001</v>
      </c>
      <c r="B351" s="6" t="s">
        <v>946</v>
      </c>
    </row>
    <row r="352" spans="1:2" ht="15.75" customHeight="1" x14ac:dyDescent="0.25">
      <c r="A352" s="6">
        <v>212008</v>
      </c>
      <c r="B352" s="6" t="s">
        <v>947</v>
      </c>
    </row>
    <row r="353" spans="1:2" ht="15.75" customHeight="1" x14ac:dyDescent="0.25">
      <c r="A353" s="6">
        <v>55004</v>
      </c>
      <c r="B353" s="6" t="s">
        <v>948</v>
      </c>
    </row>
    <row r="354" spans="1:2" ht="15.75" customHeight="1" x14ac:dyDescent="0.25">
      <c r="A354" s="6">
        <v>55003</v>
      </c>
      <c r="B354" s="6" t="s">
        <v>949</v>
      </c>
    </row>
    <row r="355" spans="1:2" ht="15.75" customHeight="1" x14ac:dyDescent="0.25">
      <c r="A355" s="6">
        <v>1114</v>
      </c>
      <c r="B355" s="6" t="s">
        <v>950</v>
      </c>
    </row>
    <row r="356" spans="1:2" ht="15.75" customHeight="1" x14ac:dyDescent="0.25">
      <c r="A356" s="6">
        <v>1136</v>
      </c>
      <c r="B356" s="6" t="s">
        <v>951</v>
      </c>
    </row>
    <row r="357" spans="1:2" ht="15.75" customHeight="1" x14ac:dyDescent="0.25">
      <c r="A357" s="6">
        <v>1138</v>
      </c>
      <c r="B357" s="6" t="s">
        <v>952</v>
      </c>
    </row>
    <row r="358" spans="1:2" ht="15.75" customHeight="1" x14ac:dyDescent="0.25">
      <c r="A358" s="6">
        <v>1125</v>
      </c>
      <c r="B358" s="6" t="s">
        <v>953</v>
      </c>
    </row>
    <row r="359" spans="1:2" ht="15.75" customHeight="1" x14ac:dyDescent="0.25">
      <c r="A359" s="6">
        <v>1010</v>
      </c>
      <c r="B359" s="6" t="s">
        <v>954</v>
      </c>
    </row>
    <row r="360" spans="1:2" ht="15.75" customHeight="1" x14ac:dyDescent="0.25">
      <c r="A360" s="6">
        <v>1116</v>
      </c>
      <c r="B360" s="6" t="s">
        <v>955</v>
      </c>
    </row>
    <row r="361" spans="1:2" ht="15.75" customHeight="1" x14ac:dyDescent="0.25">
      <c r="A361" s="6">
        <v>1115</v>
      </c>
      <c r="B361" s="6" t="s">
        <v>956</v>
      </c>
    </row>
    <row r="362" spans="1:2" ht="15.75" customHeight="1" x14ac:dyDescent="0.25">
      <c r="A362" s="6">
        <v>1137</v>
      </c>
      <c r="B362" s="6" t="s">
        <v>957</v>
      </c>
    </row>
    <row r="363" spans="1:2" ht="15.75" customHeight="1" x14ac:dyDescent="0.25">
      <c r="A363" s="6">
        <v>53023</v>
      </c>
      <c r="B363" s="6" t="s">
        <v>958</v>
      </c>
    </row>
    <row r="364" spans="1:2" ht="15.75" customHeight="1" x14ac:dyDescent="0.25">
      <c r="A364" s="6">
        <v>53024</v>
      </c>
      <c r="B364" s="6" t="s">
        <v>959</v>
      </c>
    </row>
    <row r="365" spans="1:2" ht="15.75" customHeight="1" x14ac:dyDescent="0.25">
      <c r="A365" s="6">
        <v>53021</v>
      </c>
      <c r="B365" s="6" t="s">
        <v>960</v>
      </c>
    </row>
    <row r="366" spans="1:2" ht="15.75" customHeight="1" x14ac:dyDescent="0.25">
      <c r="A366" s="6">
        <v>53022</v>
      </c>
      <c r="B366" s="6" t="s">
        <v>961</v>
      </c>
    </row>
    <row r="367" spans="1:2" ht="15.75" customHeight="1" x14ac:dyDescent="0.25">
      <c r="A367" s="6">
        <v>220035</v>
      </c>
      <c r="B367" s="6" t="s">
        <v>962</v>
      </c>
    </row>
    <row r="368" spans="1:2" ht="15.75" customHeight="1" x14ac:dyDescent="0.25">
      <c r="A368" s="6">
        <v>208003</v>
      </c>
      <c r="B368" s="6" t="s">
        <v>622</v>
      </c>
    </row>
    <row r="369" spans="1:2" ht="15.75" customHeight="1" x14ac:dyDescent="0.25">
      <c r="A369" s="6">
        <v>206004</v>
      </c>
      <c r="B369" s="6" t="s">
        <v>963</v>
      </c>
    </row>
    <row r="370" spans="1:2" ht="15.75" customHeight="1" x14ac:dyDescent="0.25">
      <c r="A370" s="6">
        <v>32089</v>
      </c>
      <c r="B370" s="6" t="s">
        <v>964</v>
      </c>
    </row>
    <row r="371" spans="1:2" ht="15.75" customHeight="1" x14ac:dyDescent="0.25">
      <c r="A371" s="6">
        <v>32090</v>
      </c>
      <c r="B371" s="6" t="s">
        <v>965</v>
      </c>
    </row>
    <row r="372" spans="1:2" ht="15.75" customHeight="1" x14ac:dyDescent="0.25">
      <c r="A372" s="6">
        <v>210019</v>
      </c>
      <c r="B372" s="6" t="s">
        <v>966</v>
      </c>
    </row>
    <row r="373" spans="1:2" ht="15.75" customHeight="1" x14ac:dyDescent="0.25">
      <c r="A373" s="6">
        <v>222015</v>
      </c>
      <c r="B373" s="6" t="s">
        <v>966</v>
      </c>
    </row>
    <row r="374" spans="1:2" ht="15.75" customHeight="1" x14ac:dyDescent="0.25">
      <c r="A374" s="6">
        <v>208023</v>
      </c>
      <c r="B374" s="6" t="s">
        <v>967</v>
      </c>
    </row>
    <row r="375" spans="1:2" ht="15.75" customHeight="1" x14ac:dyDescent="0.25">
      <c r="A375" s="6">
        <v>208024</v>
      </c>
      <c r="B375" s="6" t="s">
        <v>968</v>
      </c>
    </row>
    <row r="376" spans="1:2" ht="15.75" customHeight="1" x14ac:dyDescent="0.25">
      <c r="A376" s="6">
        <v>222011</v>
      </c>
      <c r="B376" s="6" t="s">
        <v>969</v>
      </c>
    </row>
    <row r="377" spans="1:2" ht="15.75" customHeight="1" x14ac:dyDescent="0.25">
      <c r="A377" s="6">
        <v>210013</v>
      </c>
      <c r="B377" s="6" t="s">
        <v>970</v>
      </c>
    </row>
    <row r="378" spans="1:2" ht="15.75" customHeight="1" x14ac:dyDescent="0.25">
      <c r="A378" s="6">
        <v>409016</v>
      </c>
      <c r="B378" s="6" t="s">
        <v>971</v>
      </c>
    </row>
    <row r="379" spans="1:2" ht="15.75" customHeight="1" x14ac:dyDescent="0.25">
      <c r="A379" s="6">
        <v>216008</v>
      </c>
      <c r="B379" s="6" t="s">
        <v>972</v>
      </c>
    </row>
    <row r="380" spans="1:2" ht="15.75" customHeight="1" x14ac:dyDescent="0.25">
      <c r="A380" s="6">
        <v>33001</v>
      </c>
      <c r="B380" s="6" t="s">
        <v>973</v>
      </c>
    </row>
    <row r="381" spans="1:2" ht="15.75" customHeight="1" x14ac:dyDescent="0.25">
      <c r="A381" s="6">
        <v>53101</v>
      </c>
      <c r="B381" s="6" t="s">
        <v>974</v>
      </c>
    </row>
    <row r="382" spans="1:2" ht="15.75" customHeight="1" x14ac:dyDescent="0.25">
      <c r="A382" s="6">
        <v>53102</v>
      </c>
      <c r="B382" s="6" t="s">
        <v>975</v>
      </c>
    </row>
    <row r="383" spans="1:2" ht="15.75" customHeight="1" x14ac:dyDescent="0.25">
      <c r="A383" s="6">
        <v>53099</v>
      </c>
      <c r="B383" s="6" t="s">
        <v>976</v>
      </c>
    </row>
    <row r="384" spans="1:2" ht="15.75" customHeight="1" x14ac:dyDescent="0.25">
      <c r="A384" s="6">
        <v>53100</v>
      </c>
      <c r="B384" s="6" t="s">
        <v>977</v>
      </c>
    </row>
    <row r="385" spans="1:2" ht="15.75" customHeight="1" x14ac:dyDescent="0.25">
      <c r="A385" s="6">
        <v>210018</v>
      </c>
      <c r="B385" s="6" t="s">
        <v>978</v>
      </c>
    </row>
    <row r="386" spans="1:2" ht="15.75" customHeight="1" x14ac:dyDescent="0.25">
      <c r="A386" s="6">
        <v>132001</v>
      </c>
      <c r="B386" s="6" t="s">
        <v>182</v>
      </c>
    </row>
    <row r="387" spans="1:2" ht="15.75" customHeight="1" x14ac:dyDescent="0.25">
      <c r="A387" s="6">
        <v>32199</v>
      </c>
      <c r="B387" s="6" t="s">
        <v>979</v>
      </c>
    </row>
    <row r="388" spans="1:2" ht="15.75" customHeight="1" x14ac:dyDescent="0.25">
      <c r="A388" s="6">
        <v>32026</v>
      </c>
      <c r="B388" s="6" t="s">
        <v>980</v>
      </c>
    </row>
    <row r="389" spans="1:2" ht="15.75" customHeight="1" x14ac:dyDescent="0.25">
      <c r="A389" s="6">
        <v>32187</v>
      </c>
      <c r="B389" s="6" t="s">
        <v>981</v>
      </c>
    </row>
    <row r="390" spans="1:2" ht="15.75" customHeight="1" x14ac:dyDescent="0.25">
      <c r="A390" s="6">
        <v>32149</v>
      </c>
      <c r="B390" s="6" t="s">
        <v>982</v>
      </c>
    </row>
    <row r="391" spans="1:2" ht="15.75" customHeight="1" x14ac:dyDescent="0.25">
      <c r="A391" s="6">
        <v>37002</v>
      </c>
      <c r="B391" s="6" t="s">
        <v>983</v>
      </c>
    </row>
    <row r="392" spans="1:2" ht="15.75" customHeight="1" x14ac:dyDescent="0.25">
      <c r="A392" s="6">
        <v>37012</v>
      </c>
      <c r="B392" s="6" t="s">
        <v>984</v>
      </c>
    </row>
    <row r="393" spans="1:2" ht="15.75" customHeight="1" x14ac:dyDescent="0.25">
      <c r="A393" s="6">
        <v>37003</v>
      </c>
      <c r="B393" s="6" t="s">
        <v>985</v>
      </c>
    </row>
    <row r="394" spans="1:2" ht="15.75" customHeight="1" x14ac:dyDescent="0.25">
      <c r="A394" s="6">
        <v>37013</v>
      </c>
      <c r="B394" s="6" t="s">
        <v>986</v>
      </c>
    </row>
    <row r="395" spans="1:2" ht="15.75" customHeight="1" x14ac:dyDescent="0.25">
      <c r="A395" s="6">
        <v>37004</v>
      </c>
      <c r="B395" s="6" t="s">
        <v>987</v>
      </c>
    </row>
    <row r="396" spans="1:2" ht="15.75" customHeight="1" x14ac:dyDescent="0.25">
      <c r="A396" s="6">
        <v>37014</v>
      </c>
      <c r="B396" s="6" t="s">
        <v>988</v>
      </c>
    </row>
    <row r="397" spans="1:2" ht="15.75" customHeight="1" x14ac:dyDescent="0.25">
      <c r="A397" s="6">
        <v>1170</v>
      </c>
      <c r="B397" s="6" t="s">
        <v>989</v>
      </c>
    </row>
    <row r="398" spans="1:2" ht="15.75" customHeight="1" x14ac:dyDescent="0.25">
      <c r="A398" s="6">
        <v>1021</v>
      </c>
      <c r="B398" s="6" t="s">
        <v>990</v>
      </c>
    </row>
    <row r="399" spans="1:2" ht="15.75" customHeight="1" x14ac:dyDescent="0.25">
      <c r="A399" s="6">
        <v>212006</v>
      </c>
      <c r="B399" s="6" t="s">
        <v>991</v>
      </c>
    </row>
    <row r="400" spans="1:2" ht="15.75" customHeight="1" x14ac:dyDescent="0.25">
      <c r="A400" s="6">
        <v>26033</v>
      </c>
      <c r="B400" s="6" t="s">
        <v>992</v>
      </c>
    </row>
    <row r="401" spans="1:2" ht="15.75" customHeight="1" x14ac:dyDescent="0.25">
      <c r="A401" s="6">
        <v>26034</v>
      </c>
      <c r="B401" s="6" t="s">
        <v>993</v>
      </c>
    </row>
    <row r="402" spans="1:2" ht="15.75" customHeight="1" x14ac:dyDescent="0.25">
      <c r="A402" s="6">
        <v>26035</v>
      </c>
      <c r="B402" s="6" t="s">
        <v>994</v>
      </c>
    </row>
    <row r="403" spans="1:2" ht="15.75" customHeight="1" x14ac:dyDescent="0.25">
      <c r="A403" s="6">
        <v>338004</v>
      </c>
      <c r="B403" s="6" t="s">
        <v>995</v>
      </c>
    </row>
    <row r="404" spans="1:2" ht="15.75" customHeight="1" x14ac:dyDescent="0.25">
      <c r="A404" s="6">
        <v>220006</v>
      </c>
      <c r="B404" s="6" t="s">
        <v>996</v>
      </c>
    </row>
    <row r="405" spans="1:2" ht="15.75" customHeight="1" x14ac:dyDescent="0.25">
      <c r="A405" s="6">
        <v>409020</v>
      </c>
      <c r="B405" s="6" t="s">
        <v>997</v>
      </c>
    </row>
    <row r="406" spans="1:2" ht="15.75" customHeight="1" x14ac:dyDescent="0.25">
      <c r="A406" s="6">
        <v>220007</v>
      </c>
      <c r="B406" s="6" t="s">
        <v>998</v>
      </c>
    </row>
    <row r="407" spans="1:2" ht="15.75" customHeight="1" x14ac:dyDescent="0.25">
      <c r="A407" s="6">
        <v>32146</v>
      </c>
      <c r="B407" s="6" t="s">
        <v>999</v>
      </c>
    </row>
    <row r="408" spans="1:2" ht="15.75" customHeight="1" x14ac:dyDescent="0.25">
      <c r="A408" s="6">
        <v>32164</v>
      </c>
      <c r="B408" s="6" t="s">
        <v>1000</v>
      </c>
    </row>
    <row r="409" spans="1:2" ht="15.75" customHeight="1" x14ac:dyDescent="0.25">
      <c r="A409" s="6">
        <v>32163</v>
      </c>
      <c r="B409" s="6" t="s">
        <v>1001</v>
      </c>
    </row>
    <row r="410" spans="1:2" ht="15.75" customHeight="1" x14ac:dyDescent="0.25">
      <c r="A410" s="6">
        <v>32068</v>
      </c>
      <c r="B410" s="6" t="s">
        <v>1002</v>
      </c>
    </row>
    <row r="411" spans="1:2" ht="15.75" customHeight="1" x14ac:dyDescent="0.25">
      <c r="A411" s="6">
        <v>32145</v>
      </c>
      <c r="B411" s="6" t="s">
        <v>1003</v>
      </c>
    </row>
    <row r="412" spans="1:2" ht="15.75" customHeight="1" x14ac:dyDescent="0.25">
      <c r="A412" s="6">
        <v>32069</v>
      </c>
      <c r="B412" s="6" t="s">
        <v>1004</v>
      </c>
    </row>
    <row r="413" spans="1:2" ht="15.75" customHeight="1" x14ac:dyDescent="0.25">
      <c r="A413" s="6">
        <v>211003</v>
      </c>
      <c r="B413" s="6" t="s">
        <v>1005</v>
      </c>
    </row>
    <row r="414" spans="1:2" ht="15.75" customHeight="1" x14ac:dyDescent="0.25">
      <c r="A414" s="6">
        <v>45002</v>
      </c>
      <c r="B414" s="6" t="s">
        <v>1006</v>
      </c>
    </row>
    <row r="415" spans="1:2" ht="15.75" customHeight="1" x14ac:dyDescent="0.25">
      <c r="A415" s="6">
        <v>45003</v>
      </c>
      <c r="B415" s="6" t="s">
        <v>1007</v>
      </c>
    </row>
    <row r="416" spans="1:2" ht="15.75" customHeight="1" x14ac:dyDescent="0.25">
      <c r="A416" s="6">
        <v>45004</v>
      </c>
      <c r="B416" s="6" t="s">
        <v>1008</v>
      </c>
    </row>
    <row r="417" spans="1:2" ht="15.75" customHeight="1" x14ac:dyDescent="0.25">
      <c r="A417" s="6">
        <v>45001</v>
      </c>
      <c r="B417" s="6" t="s">
        <v>1009</v>
      </c>
    </row>
    <row r="418" spans="1:2" ht="15.75" customHeight="1" x14ac:dyDescent="0.25">
      <c r="A418" s="6">
        <v>45005</v>
      </c>
      <c r="B418" s="6" t="s">
        <v>1010</v>
      </c>
    </row>
    <row r="419" spans="1:2" ht="15.75" customHeight="1" x14ac:dyDescent="0.25">
      <c r="A419" s="6">
        <v>1081</v>
      </c>
      <c r="B419" s="6" t="s">
        <v>1011</v>
      </c>
    </row>
    <row r="420" spans="1:2" ht="15.75" customHeight="1" x14ac:dyDescent="0.25">
      <c r="A420" s="6">
        <v>1131</v>
      </c>
      <c r="B420" s="6" t="s">
        <v>1012</v>
      </c>
    </row>
    <row r="421" spans="1:2" ht="15.75" customHeight="1" x14ac:dyDescent="0.25">
      <c r="A421" s="6">
        <v>35001</v>
      </c>
      <c r="B421" s="6" t="s">
        <v>1013</v>
      </c>
    </row>
    <row r="422" spans="1:2" ht="15.75" customHeight="1" x14ac:dyDescent="0.25">
      <c r="A422" s="6">
        <v>35002</v>
      </c>
      <c r="B422" s="6" t="s">
        <v>1014</v>
      </c>
    </row>
    <row r="423" spans="1:2" ht="15.75" customHeight="1" x14ac:dyDescent="0.25">
      <c r="A423" s="6">
        <v>55006</v>
      </c>
      <c r="B423" s="6" t="s">
        <v>1015</v>
      </c>
    </row>
    <row r="424" spans="1:2" ht="15.75" customHeight="1" x14ac:dyDescent="0.25">
      <c r="A424" s="6">
        <v>216018</v>
      </c>
      <c r="B424" s="6" t="s">
        <v>1016</v>
      </c>
    </row>
    <row r="425" spans="1:2" ht="15.75" customHeight="1" x14ac:dyDescent="0.25">
      <c r="A425" s="6">
        <v>216017</v>
      </c>
      <c r="B425" s="6" t="s">
        <v>1017</v>
      </c>
    </row>
    <row r="426" spans="1:2" ht="15.75" customHeight="1" x14ac:dyDescent="0.25">
      <c r="A426" s="6">
        <v>101006</v>
      </c>
      <c r="B426" s="6" t="s">
        <v>240</v>
      </c>
    </row>
    <row r="427" spans="1:2" ht="15.75" customHeight="1" x14ac:dyDescent="0.25">
      <c r="A427" s="6">
        <v>1144</v>
      </c>
      <c r="B427" s="6" t="s">
        <v>1018</v>
      </c>
    </row>
    <row r="428" spans="1:2" ht="15.75" customHeight="1" x14ac:dyDescent="0.25">
      <c r="A428" s="6">
        <v>209016</v>
      </c>
      <c r="B428" s="6" t="s">
        <v>1019</v>
      </c>
    </row>
    <row r="429" spans="1:2" ht="15.75" customHeight="1" x14ac:dyDescent="0.25">
      <c r="A429" s="6">
        <v>212011</v>
      </c>
      <c r="B429" s="6" t="s">
        <v>1020</v>
      </c>
    </row>
    <row r="430" spans="1:2" ht="15.75" customHeight="1" x14ac:dyDescent="0.25">
      <c r="A430" s="6">
        <v>220032</v>
      </c>
      <c r="B430" s="6" t="s">
        <v>1021</v>
      </c>
    </row>
    <row r="431" spans="1:2" ht="15.75" customHeight="1" x14ac:dyDescent="0.25">
      <c r="A431" s="6">
        <v>208013</v>
      </c>
      <c r="B431" s="6" t="s">
        <v>1022</v>
      </c>
    </row>
    <row r="432" spans="1:2" ht="15.75" customHeight="1" x14ac:dyDescent="0.25">
      <c r="A432" s="6">
        <v>220008</v>
      </c>
      <c r="B432" s="6" t="s">
        <v>624</v>
      </c>
    </row>
    <row r="433" spans="1:2" ht="15.75" customHeight="1" x14ac:dyDescent="0.25">
      <c r="A433" s="6">
        <v>408032</v>
      </c>
      <c r="B433" s="6" t="s">
        <v>1023</v>
      </c>
    </row>
    <row r="434" spans="1:2" ht="15.75" customHeight="1" x14ac:dyDescent="0.25">
      <c r="A434" s="6">
        <v>316005</v>
      </c>
      <c r="B434" s="6" t="s">
        <v>1024</v>
      </c>
    </row>
    <row r="435" spans="1:2" ht="15.75" customHeight="1" x14ac:dyDescent="0.25">
      <c r="A435" s="6">
        <v>216005</v>
      </c>
      <c r="B435" s="6" t="s">
        <v>1025</v>
      </c>
    </row>
    <row r="436" spans="1:2" ht="15.75" customHeight="1" x14ac:dyDescent="0.25">
      <c r="A436" s="6">
        <v>408035</v>
      </c>
      <c r="B436" s="6" t="s">
        <v>1026</v>
      </c>
    </row>
    <row r="437" spans="1:2" ht="15.75" customHeight="1" x14ac:dyDescent="0.25">
      <c r="A437" s="6">
        <v>26028</v>
      </c>
      <c r="B437" s="6" t="s">
        <v>1027</v>
      </c>
    </row>
    <row r="438" spans="1:2" ht="15.75" customHeight="1" x14ac:dyDescent="0.25">
      <c r="A438" s="6">
        <v>26029</v>
      </c>
      <c r="B438" s="6" t="s">
        <v>1028</v>
      </c>
    </row>
    <row r="439" spans="1:2" ht="15.75" customHeight="1" x14ac:dyDescent="0.25">
      <c r="A439" s="6">
        <v>26032</v>
      </c>
      <c r="B439" s="6" t="s">
        <v>1029</v>
      </c>
    </row>
    <row r="440" spans="1:2" ht="15.75" customHeight="1" x14ac:dyDescent="0.25">
      <c r="A440" s="6">
        <v>26030</v>
      </c>
      <c r="B440" s="6" t="s">
        <v>1030</v>
      </c>
    </row>
    <row r="441" spans="1:2" ht="15.75" customHeight="1" x14ac:dyDescent="0.25">
      <c r="A441" s="6">
        <v>26031</v>
      </c>
      <c r="B441" s="6" t="s">
        <v>1031</v>
      </c>
    </row>
    <row r="442" spans="1:2" ht="15.75" customHeight="1" x14ac:dyDescent="0.25">
      <c r="A442" s="6">
        <v>408031</v>
      </c>
      <c r="B442" s="6" t="s">
        <v>1032</v>
      </c>
    </row>
    <row r="443" spans="1:2" ht="15.75" customHeight="1" x14ac:dyDescent="0.25">
      <c r="A443" s="6">
        <v>208014</v>
      </c>
      <c r="B443" s="6" t="s">
        <v>1033</v>
      </c>
    </row>
    <row r="444" spans="1:2" ht="15.75" customHeight="1" x14ac:dyDescent="0.25">
      <c r="A444" s="6">
        <v>223002</v>
      </c>
      <c r="B444" s="6" t="s">
        <v>1034</v>
      </c>
    </row>
    <row r="445" spans="1:2" ht="15.75" customHeight="1" x14ac:dyDescent="0.25">
      <c r="A445" s="6">
        <v>223003</v>
      </c>
      <c r="B445" s="6" t="s">
        <v>1035</v>
      </c>
    </row>
    <row r="446" spans="1:2" ht="15.75" customHeight="1" x14ac:dyDescent="0.25">
      <c r="A446" s="6">
        <v>223004</v>
      </c>
      <c r="B446" s="6" t="s">
        <v>1036</v>
      </c>
    </row>
    <row r="447" spans="1:2" ht="15.75" customHeight="1" x14ac:dyDescent="0.25">
      <c r="A447" s="6">
        <v>223001</v>
      </c>
      <c r="B447" s="6" t="s">
        <v>1037</v>
      </c>
    </row>
    <row r="448" spans="1:2" ht="15.75" customHeight="1" x14ac:dyDescent="0.25">
      <c r="A448" s="6">
        <v>223005</v>
      </c>
      <c r="B448" s="6" t="s">
        <v>1038</v>
      </c>
    </row>
    <row r="449" spans="1:2" ht="15.75" customHeight="1" x14ac:dyDescent="0.25">
      <c r="A449" s="6">
        <v>208006</v>
      </c>
      <c r="B449" s="6" t="s">
        <v>1039</v>
      </c>
    </row>
    <row r="450" spans="1:2" ht="15.75" customHeight="1" x14ac:dyDescent="0.25">
      <c r="A450" s="6">
        <v>209011</v>
      </c>
      <c r="B450" s="6" t="s">
        <v>1040</v>
      </c>
    </row>
    <row r="451" spans="1:2" ht="15.75" customHeight="1" x14ac:dyDescent="0.25">
      <c r="A451" s="6">
        <v>220009</v>
      </c>
      <c r="B451" s="6" t="s">
        <v>1040</v>
      </c>
    </row>
    <row r="452" spans="1:2" ht="15.75" customHeight="1" x14ac:dyDescent="0.25">
      <c r="A452" s="6">
        <v>21004</v>
      </c>
      <c r="B452" s="6" t="s">
        <v>1040</v>
      </c>
    </row>
    <row r="453" spans="1:2" ht="15.75" customHeight="1" x14ac:dyDescent="0.25">
      <c r="A453" s="6">
        <v>121005</v>
      </c>
      <c r="B453" s="6" t="s">
        <v>1040</v>
      </c>
    </row>
    <row r="454" spans="1:2" ht="15.75" customHeight="1" x14ac:dyDescent="0.25">
      <c r="A454" s="6">
        <v>206006</v>
      </c>
      <c r="B454" s="6" t="s">
        <v>1041</v>
      </c>
    </row>
    <row r="455" spans="1:2" ht="15.75" customHeight="1" x14ac:dyDescent="0.25">
      <c r="A455" s="6">
        <v>53007</v>
      </c>
      <c r="B455" s="6" t="s">
        <v>1042</v>
      </c>
    </row>
    <row r="456" spans="1:2" ht="15.75" customHeight="1" x14ac:dyDescent="0.25">
      <c r="A456" s="6">
        <v>53008</v>
      </c>
      <c r="B456" s="6" t="s">
        <v>1043</v>
      </c>
    </row>
    <row r="457" spans="1:2" ht="15.75" customHeight="1" x14ac:dyDescent="0.25">
      <c r="A457" s="6">
        <v>53005</v>
      </c>
      <c r="B457" s="6" t="s">
        <v>1044</v>
      </c>
    </row>
    <row r="458" spans="1:2" ht="15.75" customHeight="1" x14ac:dyDescent="0.25">
      <c r="A458" s="6">
        <v>53006</v>
      </c>
      <c r="B458" s="6" t="s">
        <v>1045</v>
      </c>
    </row>
    <row r="459" spans="1:2" ht="15.75" customHeight="1" x14ac:dyDescent="0.25">
      <c r="A459" s="6">
        <v>409021</v>
      </c>
      <c r="B459" s="6" t="s">
        <v>1046</v>
      </c>
    </row>
    <row r="460" spans="1:2" ht="15.75" customHeight="1" x14ac:dyDescent="0.25">
      <c r="A460" s="6">
        <v>434012</v>
      </c>
      <c r="B460" s="6" t="s">
        <v>1047</v>
      </c>
    </row>
    <row r="461" spans="1:2" ht="15.75" customHeight="1" x14ac:dyDescent="0.25">
      <c r="A461" s="6">
        <v>434013</v>
      </c>
      <c r="B461" s="6" t="s">
        <v>1048</v>
      </c>
    </row>
    <row r="462" spans="1:2" ht="15.75" customHeight="1" x14ac:dyDescent="0.25">
      <c r="A462" s="6">
        <v>45020</v>
      </c>
      <c r="B462" s="6" t="s">
        <v>1049</v>
      </c>
    </row>
    <row r="463" spans="1:2" ht="15.75" customHeight="1" x14ac:dyDescent="0.25">
      <c r="A463" s="6">
        <v>45021</v>
      </c>
      <c r="B463" s="6" t="s">
        <v>1050</v>
      </c>
    </row>
    <row r="464" spans="1:2" ht="15.75" customHeight="1" x14ac:dyDescent="0.25">
      <c r="A464" s="6">
        <v>45019</v>
      </c>
      <c r="B464" s="6" t="s">
        <v>1051</v>
      </c>
    </row>
    <row r="465" spans="1:2" ht="15.75" customHeight="1" x14ac:dyDescent="0.25">
      <c r="A465" s="6">
        <v>210023</v>
      </c>
      <c r="B465" s="6" t="s">
        <v>1052</v>
      </c>
    </row>
    <row r="466" spans="1:2" ht="15.75" customHeight="1" x14ac:dyDescent="0.25">
      <c r="A466" s="6">
        <v>222018</v>
      </c>
      <c r="B466" s="6" t="s">
        <v>1052</v>
      </c>
    </row>
    <row r="467" spans="1:2" ht="15.75" customHeight="1" x14ac:dyDescent="0.25">
      <c r="A467" s="6">
        <v>211005</v>
      </c>
      <c r="B467" s="6" t="s">
        <v>1053</v>
      </c>
    </row>
    <row r="468" spans="1:2" ht="15.75" customHeight="1" x14ac:dyDescent="0.25">
      <c r="A468" s="6">
        <v>208018</v>
      </c>
      <c r="B468" s="6" t="s">
        <v>1054</v>
      </c>
    </row>
    <row r="469" spans="1:2" ht="15.75" customHeight="1" x14ac:dyDescent="0.25">
      <c r="A469" s="6">
        <v>53069</v>
      </c>
      <c r="B469" s="6" t="s">
        <v>1055</v>
      </c>
    </row>
    <row r="470" spans="1:2" ht="15.75" customHeight="1" x14ac:dyDescent="0.25">
      <c r="A470" s="6">
        <v>53070</v>
      </c>
      <c r="B470" s="6" t="s">
        <v>1056</v>
      </c>
    </row>
    <row r="471" spans="1:2" ht="15.75" customHeight="1" x14ac:dyDescent="0.25">
      <c r="A471" s="6">
        <v>53067</v>
      </c>
      <c r="B471" s="6" t="s">
        <v>1057</v>
      </c>
    </row>
    <row r="472" spans="1:2" ht="15.75" customHeight="1" x14ac:dyDescent="0.25">
      <c r="A472" s="6">
        <v>53068</v>
      </c>
      <c r="B472" s="6" t="s">
        <v>1058</v>
      </c>
    </row>
    <row r="473" spans="1:2" ht="15.75" customHeight="1" x14ac:dyDescent="0.25">
      <c r="A473" s="6">
        <v>216007</v>
      </c>
      <c r="B473" s="6" t="s">
        <v>1059</v>
      </c>
    </row>
    <row r="474" spans="1:2" ht="15.75" customHeight="1" x14ac:dyDescent="0.25">
      <c r="A474" s="6">
        <v>49002</v>
      </c>
      <c r="B474" s="6" t="s">
        <v>1060</v>
      </c>
    </row>
    <row r="475" spans="1:2" ht="15.75" customHeight="1" x14ac:dyDescent="0.25">
      <c r="A475" s="6">
        <v>49007</v>
      </c>
      <c r="B475" s="6" t="s">
        <v>1061</v>
      </c>
    </row>
    <row r="476" spans="1:2" ht="15.75" customHeight="1" x14ac:dyDescent="0.25">
      <c r="A476" s="6">
        <v>49008</v>
      </c>
      <c r="B476" s="6" t="s">
        <v>1062</v>
      </c>
    </row>
    <row r="477" spans="1:2" ht="15.75" customHeight="1" x14ac:dyDescent="0.25">
      <c r="A477" s="6">
        <v>49006</v>
      </c>
      <c r="B477" s="6" t="s">
        <v>1063</v>
      </c>
    </row>
    <row r="478" spans="1:2" ht="15.75" customHeight="1" x14ac:dyDescent="0.25">
      <c r="A478" s="6">
        <v>49001</v>
      </c>
      <c r="B478" s="6" t="s">
        <v>1064</v>
      </c>
    </row>
    <row r="479" spans="1:2" ht="15.75" customHeight="1" x14ac:dyDescent="0.25">
      <c r="A479" s="6">
        <v>220011</v>
      </c>
      <c r="B479" s="6" t="s">
        <v>1065</v>
      </c>
    </row>
    <row r="480" spans="1:2" ht="15.75" customHeight="1" x14ac:dyDescent="0.25">
      <c r="A480" s="6">
        <v>409005</v>
      </c>
      <c r="B480" s="6" t="s">
        <v>1066</v>
      </c>
    </row>
    <row r="481" spans="1:2" ht="15.75" customHeight="1" x14ac:dyDescent="0.25">
      <c r="A481" s="6">
        <v>220010</v>
      </c>
      <c r="B481" s="6" t="s">
        <v>1067</v>
      </c>
    </row>
    <row r="482" spans="1:2" ht="15.75" customHeight="1" x14ac:dyDescent="0.25">
      <c r="A482" s="6">
        <v>53085</v>
      </c>
      <c r="B482" s="6" t="s">
        <v>1068</v>
      </c>
    </row>
    <row r="483" spans="1:2" ht="15.75" customHeight="1" x14ac:dyDescent="0.25">
      <c r="A483" s="6">
        <v>53086</v>
      </c>
      <c r="B483" s="6" t="s">
        <v>1069</v>
      </c>
    </row>
    <row r="484" spans="1:2" ht="15.75" customHeight="1" x14ac:dyDescent="0.25">
      <c r="A484" s="6">
        <v>53083</v>
      </c>
      <c r="B484" s="6" t="s">
        <v>1070</v>
      </c>
    </row>
    <row r="485" spans="1:2" ht="15.75" customHeight="1" x14ac:dyDescent="0.25">
      <c r="A485" s="6">
        <v>53084</v>
      </c>
      <c r="B485" s="6" t="s">
        <v>1071</v>
      </c>
    </row>
    <row r="486" spans="1:2" ht="15.75" customHeight="1" x14ac:dyDescent="0.25">
      <c r="A486" s="6">
        <v>338005</v>
      </c>
      <c r="B486" s="6" t="s">
        <v>1072</v>
      </c>
    </row>
    <row r="487" spans="1:2" ht="15.75" customHeight="1" x14ac:dyDescent="0.25">
      <c r="A487" s="6">
        <v>338006</v>
      </c>
      <c r="B487" s="6" t="s">
        <v>1073</v>
      </c>
    </row>
    <row r="488" spans="1:2" ht="15.75" customHeight="1" x14ac:dyDescent="0.25">
      <c r="A488" s="6">
        <v>309005</v>
      </c>
      <c r="B488" s="6" t="s">
        <v>1074</v>
      </c>
    </row>
    <row r="489" spans="1:2" ht="15.75" customHeight="1" x14ac:dyDescent="0.25">
      <c r="A489" s="6">
        <v>338019</v>
      </c>
      <c r="B489" s="6" t="s">
        <v>1075</v>
      </c>
    </row>
    <row r="490" spans="1:2" ht="15.75" customHeight="1" x14ac:dyDescent="0.25">
      <c r="A490" s="6">
        <v>338018</v>
      </c>
      <c r="B490" s="6" t="s">
        <v>1076</v>
      </c>
    </row>
    <row r="491" spans="1:2" ht="15.75" customHeight="1" x14ac:dyDescent="0.25">
      <c r="A491" s="6">
        <v>338020</v>
      </c>
      <c r="B491" s="6" t="s">
        <v>1077</v>
      </c>
    </row>
    <row r="492" spans="1:2" ht="15.75" customHeight="1" x14ac:dyDescent="0.25">
      <c r="A492" s="6">
        <v>338015</v>
      </c>
      <c r="B492" s="6" t="s">
        <v>1078</v>
      </c>
    </row>
    <row r="493" spans="1:2" ht="15.75" customHeight="1" x14ac:dyDescent="0.25">
      <c r="A493" s="6">
        <v>338016</v>
      </c>
      <c r="B493" s="6" t="s">
        <v>1079</v>
      </c>
    </row>
    <row r="494" spans="1:2" ht="15.75" customHeight="1" x14ac:dyDescent="0.25">
      <c r="A494" s="6">
        <v>338017</v>
      </c>
      <c r="B494" s="6" t="s">
        <v>1080</v>
      </c>
    </row>
    <row r="495" spans="1:2" ht="15.75" customHeight="1" x14ac:dyDescent="0.25">
      <c r="A495" s="6">
        <v>338021</v>
      </c>
      <c r="B495" s="6" t="s">
        <v>1081</v>
      </c>
    </row>
    <row r="496" spans="1:2" ht="15.75" customHeight="1" x14ac:dyDescent="0.25">
      <c r="A496" s="6">
        <v>1095</v>
      </c>
      <c r="B496" s="6" t="s">
        <v>1082</v>
      </c>
    </row>
    <row r="497" spans="1:2" ht="15.75" customHeight="1" x14ac:dyDescent="0.25">
      <c r="A497" s="6">
        <v>4001</v>
      </c>
      <c r="B497" s="6" t="s">
        <v>1083</v>
      </c>
    </row>
    <row r="498" spans="1:2" ht="15.75" customHeight="1" x14ac:dyDescent="0.25">
      <c r="A498" s="6">
        <v>1097</v>
      </c>
      <c r="B498" s="6" t="s">
        <v>1084</v>
      </c>
    </row>
    <row r="499" spans="1:2" ht="15.75" customHeight="1" x14ac:dyDescent="0.25">
      <c r="A499" s="6">
        <v>4004</v>
      </c>
      <c r="B499" s="6" t="s">
        <v>1085</v>
      </c>
    </row>
    <row r="500" spans="1:2" ht="15.75" customHeight="1" x14ac:dyDescent="0.25">
      <c r="A500" s="6">
        <v>1096</v>
      </c>
      <c r="B500" s="6" t="s">
        <v>1086</v>
      </c>
    </row>
    <row r="501" spans="1:2" ht="15.75" customHeight="1" x14ac:dyDescent="0.25">
      <c r="A501" s="6">
        <v>4002</v>
      </c>
      <c r="B501" s="6" t="s">
        <v>1087</v>
      </c>
    </row>
    <row r="502" spans="1:2" ht="15.75" customHeight="1" x14ac:dyDescent="0.25">
      <c r="A502" s="6">
        <v>4003</v>
      </c>
      <c r="B502" s="6" t="s">
        <v>1088</v>
      </c>
    </row>
    <row r="503" spans="1:2" ht="15.75" customHeight="1" x14ac:dyDescent="0.25">
      <c r="A503" s="6">
        <v>1006</v>
      </c>
      <c r="B503" s="6" t="s">
        <v>1089</v>
      </c>
    </row>
    <row r="504" spans="1:2" ht="15.75" customHeight="1" x14ac:dyDescent="0.25">
      <c r="A504" s="6">
        <v>338003</v>
      </c>
      <c r="B504" s="6" t="s">
        <v>1090</v>
      </c>
    </row>
    <row r="505" spans="1:2" ht="15.75" customHeight="1" x14ac:dyDescent="0.25">
      <c r="A505" s="6">
        <v>338001</v>
      </c>
      <c r="B505" s="6" t="s">
        <v>1091</v>
      </c>
    </row>
    <row r="506" spans="1:2" ht="15.75" customHeight="1" x14ac:dyDescent="0.25">
      <c r="A506" s="6">
        <v>209021</v>
      </c>
      <c r="B506" s="6" t="s">
        <v>1092</v>
      </c>
    </row>
    <row r="507" spans="1:2" ht="15.75" customHeight="1" x14ac:dyDescent="0.25">
      <c r="A507" s="6">
        <v>408038</v>
      </c>
      <c r="B507" s="6" t="s">
        <v>1093</v>
      </c>
    </row>
    <row r="508" spans="1:2" ht="15.75" customHeight="1" x14ac:dyDescent="0.25">
      <c r="A508" s="6">
        <v>409010</v>
      </c>
      <c r="B508" s="6" t="s">
        <v>1094</v>
      </c>
    </row>
    <row r="509" spans="1:2" ht="15.75" customHeight="1" x14ac:dyDescent="0.25">
      <c r="A509" s="6">
        <v>408037</v>
      </c>
      <c r="B509" s="6" t="s">
        <v>1095</v>
      </c>
    </row>
    <row r="510" spans="1:2" ht="15.75" customHeight="1" x14ac:dyDescent="0.25">
      <c r="A510" s="6">
        <v>220038</v>
      </c>
      <c r="B510" s="6" t="s">
        <v>1096</v>
      </c>
    </row>
    <row r="511" spans="1:2" ht="15.75" customHeight="1" x14ac:dyDescent="0.25">
      <c r="A511" s="6">
        <v>409022</v>
      </c>
      <c r="B511" s="6" t="s">
        <v>1097</v>
      </c>
    </row>
    <row r="512" spans="1:2" ht="15.75" customHeight="1" x14ac:dyDescent="0.25">
      <c r="A512" s="6">
        <v>215001</v>
      </c>
      <c r="B512" s="6" t="s">
        <v>1098</v>
      </c>
    </row>
    <row r="513" spans="1:2" ht="15.75" customHeight="1" x14ac:dyDescent="0.25">
      <c r="A513" s="6">
        <v>220012</v>
      </c>
      <c r="B513" s="6" t="s">
        <v>1099</v>
      </c>
    </row>
    <row r="514" spans="1:2" ht="15.75" customHeight="1" x14ac:dyDescent="0.25">
      <c r="A514" s="6">
        <v>409025</v>
      </c>
      <c r="B514" s="6" t="s">
        <v>1100</v>
      </c>
    </row>
    <row r="515" spans="1:2" ht="15.75" customHeight="1" x14ac:dyDescent="0.25">
      <c r="A515" s="6">
        <v>53089</v>
      </c>
      <c r="B515" s="6" t="s">
        <v>1101</v>
      </c>
    </row>
    <row r="516" spans="1:2" ht="15.75" customHeight="1" x14ac:dyDescent="0.25">
      <c r="A516" s="6">
        <v>53090</v>
      </c>
      <c r="B516" s="6" t="s">
        <v>1102</v>
      </c>
    </row>
    <row r="517" spans="1:2" ht="15.75" customHeight="1" x14ac:dyDescent="0.25">
      <c r="A517" s="6">
        <v>53087</v>
      </c>
      <c r="B517" s="6" t="s">
        <v>1103</v>
      </c>
    </row>
    <row r="518" spans="1:2" ht="15.75" customHeight="1" x14ac:dyDescent="0.25">
      <c r="A518" s="6">
        <v>53088</v>
      </c>
      <c r="B518" s="6" t="s">
        <v>1104</v>
      </c>
    </row>
    <row r="519" spans="1:2" ht="15.75" customHeight="1" x14ac:dyDescent="0.25">
      <c r="A519" s="6">
        <v>409011</v>
      </c>
      <c r="B519" s="6" t="s">
        <v>1105</v>
      </c>
    </row>
    <row r="520" spans="1:2" ht="15.75" customHeight="1" x14ac:dyDescent="0.25">
      <c r="A520" s="6">
        <v>32063</v>
      </c>
      <c r="B520" s="6" t="s">
        <v>1106</v>
      </c>
    </row>
    <row r="521" spans="1:2" ht="15.75" customHeight="1" x14ac:dyDescent="0.25">
      <c r="A521" s="6">
        <v>409006</v>
      </c>
      <c r="B521" s="6" t="s">
        <v>1107</v>
      </c>
    </row>
    <row r="522" spans="1:2" ht="15.75" customHeight="1" x14ac:dyDescent="0.25">
      <c r="A522" s="6">
        <v>206003</v>
      </c>
      <c r="B522" s="6" t="s">
        <v>1108</v>
      </c>
    </row>
    <row r="523" spans="1:2" ht="15.75" customHeight="1" x14ac:dyDescent="0.25">
      <c r="A523" s="6">
        <v>45041</v>
      </c>
      <c r="B523" s="6" t="s">
        <v>1109</v>
      </c>
    </row>
    <row r="524" spans="1:2" ht="15.75" customHeight="1" x14ac:dyDescent="0.25">
      <c r="A524" s="6">
        <v>45042</v>
      </c>
      <c r="B524" s="6" t="s">
        <v>1110</v>
      </c>
    </row>
    <row r="525" spans="1:2" ht="15.75" customHeight="1" x14ac:dyDescent="0.25">
      <c r="A525" s="6">
        <v>45064</v>
      </c>
      <c r="B525" s="6" t="s">
        <v>1111</v>
      </c>
    </row>
    <row r="526" spans="1:2" ht="15.75" customHeight="1" x14ac:dyDescent="0.25">
      <c r="A526" s="6">
        <v>45043</v>
      </c>
      <c r="B526" s="6" t="s">
        <v>1112</v>
      </c>
    </row>
    <row r="527" spans="1:2" ht="15.75" customHeight="1" x14ac:dyDescent="0.25">
      <c r="A527" s="6">
        <v>45012</v>
      </c>
      <c r="B527" s="6" t="s">
        <v>1113</v>
      </c>
    </row>
    <row r="528" spans="1:2" ht="15.75" customHeight="1" x14ac:dyDescent="0.25">
      <c r="A528" s="6">
        <v>338007</v>
      </c>
      <c r="B528" s="6" t="s">
        <v>1114</v>
      </c>
    </row>
    <row r="529" spans="1:2" ht="15.75" customHeight="1" x14ac:dyDescent="0.25">
      <c r="A529" s="6">
        <v>216006</v>
      </c>
      <c r="B529" s="6" t="s">
        <v>1115</v>
      </c>
    </row>
    <row r="530" spans="1:2" ht="15.75" customHeight="1" x14ac:dyDescent="0.25">
      <c r="A530" s="6">
        <v>53057</v>
      </c>
      <c r="B530" s="6" t="s">
        <v>1116</v>
      </c>
    </row>
    <row r="531" spans="1:2" ht="15.75" customHeight="1" x14ac:dyDescent="0.25">
      <c r="A531" s="6">
        <v>53058</v>
      </c>
      <c r="B531" s="6" t="s">
        <v>1117</v>
      </c>
    </row>
    <row r="532" spans="1:2" ht="15.75" customHeight="1" x14ac:dyDescent="0.25">
      <c r="A532" s="6">
        <v>53055</v>
      </c>
      <c r="B532" s="6" t="s">
        <v>1118</v>
      </c>
    </row>
    <row r="533" spans="1:2" ht="15.75" customHeight="1" x14ac:dyDescent="0.25">
      <c r="A533" s="6">
        <v>53056</v>
      </c>
      <c r="B533" s="6" t="s">
        <v>1119</v>
      </c>
    </row>
    <row r="534" spans="1:2" ht="15.75" customHeight="1" x14ac:dyDescent="0.25">
      <c r="A534" s="6">
        <v>1001</v>
      </c>
      <c r="B534" s="6" t="s">
        <v>1120</v>
      </c>
    </row>
    <row r="535" spans="1:2" ht="15.75" customHeight="1" x14ac:dyDescent="0.25">
      <c r="A535" s="6">
        <v>1176</v>
      </c>
      <c r="B535" s="6" t="s">
        <v>1121</v>
      </c>
    </row>
    <row r="536" spans="1:2" ht="15.75" customHeight="1" x14ac:dyDescent="0.25">
      <c r="A536" s="6">
        <v>1152</v>
      </c>
      <c r="B536" s="6" t="s">
        <v>1122</v>
      </c>
    </row>
    <row r="537" spans="1:2" ht="15.75" customHeight="1" x14ac:dyDescent="0.25">
      <c r="A537" s="6">
        <v>1151</v>
      </c>
      <c r="B537" s="6" t="s">
        <v>1123</v>
      </c>
    </row>
    <row r="538" spans="1:2" ht="15.75" customHeight="1" x14ac:dyDescent="0.25">
      <c r="A538" s="6">
        <v>1153</v>
      </c>
      <c r="B538" s="6" t="s">
        <v>1124</v>
      </c>
    </row>
    <row r="539" spans="1:2" ht="15.75" customHeight="1" x14ac:dyDescent="0.25">
      <c r="A539" s="6">
        <v>1154</v>
      </c>
      <c r="B539" s="6" t="s">
        <v>1125</v>
      </c>
    </row>
    <row r="540" spans="1:2" ht="15.75" customHeight="1" x14ac:dyDescent="0.25">
      <c r="A540" s="6">
        <v>1182</v>
      </c>
      <c r="B540" s="6" t="s">
        <v>1126</v>
      </c>
    </row>
    <row r="541" spans="1:2" ht="15.75" customHeight="1" x14ac:dyDescent="0.25">
      <c r="A541" s="6">
        <v>1181</v>
      </c>
      <c r="B541" s="6" t="s">
        <v>1127</v>
      </c>
    </row>
    <row r="542" spans="1:2" ht="15.75" customHeight="1" x14ac:dyDescent="0.25">
      <c r="A542" s="6">
        <v>1191</v>
      </c>
      <c r="B542" s="6" t="s">
        <v>1128</v>
      </c>
    </row>
    <row r="543" spans="1:2" ht="15.75" customHeight="1" x14ac:dyDescent="0.25">
      <c r="A543" s="6">
        <v>1078</v>
      </c>
      <c r="B543" s="6" t="s">
        <v>1129</v>
      </c>
    </row>
    <row r="544" spans="1:2" ht="15.75" customHeight="1" x14ac:dyDescent="0.25">
      <c r="A544" s="6">
        <v>1086</v>
      </c>
      <c r="B544" s="6" t="s">
        <v>1130</v>
      </c>
    </row>
    <row r="545" spans="1:2" ht="15.75" customHeight="1" x14ac:dyDescent="0.25">
      <c r="A545" s="6">
        <v>1165</v>
      </c>
      <c r="B545" s="6" t="s">
        <v>1131</v>
      </c>
    </row>
    <row r="546" spans="1:2" ht="15.75" customHeight="1" x14ac:dyDescent="0.25">
      <c r="A546" s="6">
        <v>1187</v>
      </c>
      <c r="B546" s="6" t="s">
        <v>1132</v>
      </c>
    </row>
    <row r="547" spans="1:2" ht="15.75" customHeight="1" x14ac:dyDescent="0.25">
      <c r="A547" s="6">
        <v>1168</v>
      </c>
      <c r="B547" s="6" t="s">
        <v>1133</v>
      </c>
    </row>
    <row r="548" spans="1:2" ht="15.75" customHeight="1" x14ac:dyDescent="0.25">
      <c r="A548" s="6">
        <v>1178</v>
      </c>
      <c r="B548" s="6" t="s">
        <v>1134</v>
      </c>
    </row>
    <row r="549" spans="1:2" ht="15.75" customHeight="1" x14ac:dyDescent="0.25">
      <c r="A549" s="6">
        <v>1183</v>
      </c>
      <c r="B549" s="6" t="s">
        <v>1135</v>
      </c>
    </row>
    <row r="550" spans="1:2" ht="15.75" customHeight="1" x14ac:dyDescent="0.25">
      <c r="A550" s="6">
        <v>1177</v>
      </c>
      <c r="B550" s="6" t="s">
        <v>1136</v>
      </c>
    </row>
    <row r="551" spans="1:2" ht="15.75" customHeight="1" x14ac:dyDescent="0.25">
      <c r="A551" s="6">
        <v>1190</v>
      </c>
      <c r="B551" s="6" t="s">
        <v>1137</v>
      </c>
    </row>
    <row r="552" spans="1:2" ht="15.75" customHeight="1" x14ac:dyDescent="0.25">
      <c r="A552" s="6">
        <v>1159</v>
      </c>
      <c r="B552" s="6" t="s">
        <v>1138</v>
      </c>
    </row>
    <row r="553" spans="1:2" ht="15.75" customHeight="1" x14ac:dyDescent="0.25">
      <c r="A553" s="6">
        <v>1079</v>
      </c>
      <c r="B553" s="6" t="s">
        <v>1139</v>
      </c>
    </row>
    <row r="554" spans="1:2" ht="15.75" customHeight="1" x14ac:dyDescent="0.25">
      <c r="A554" s="6">
        <v>1087</v>
      </c>
      <c r="B554" s="6" t="s">
        <v>1140</v>
      </c>
    </row>
    <row r="555" spans="1:2" ht="15.75" customHeight="1" x14ac:dyDescent="0.25">
      <c r="A555" s="6">
        <v>1164</v>
      </c>
      <c r="B555" s="6" t="s">
        <v>1141</v>
      </c>
    </row>
    <row r="556" spans="1:2" ht="15.75" customHeight="1" x14ac:dyDescent="0.25">
      <c r="A556" s="6">
        <v>1169</v>
      </c>
      <c r="B556" s="6" t="s">
        <v>1142</v>
      </c>
    </row>
    <row r="557" spans="1:2" ht="15.75" customHeight="1" x14ac:dyDescent="0.25">
      <c r="A557" s="6">
        <v>1175</v>
      </c>
      <c r="B557" s="6" t="s">
        <v>1143</v>
      </c>
    </row>
    <row r="558" spans="1:2" ht="15.75" customHeight="1" x14ac:dyDescent="0.25">
      <c r="A558" s="6">
        <v>1184</v>
      </c>
      <c r="B558" s="6" t="s">
        <v>1144</v>
      </c>
    </row>
    <row r="559" spans="1:2" ht="15.75" customHeight="1" x14ac:dyDescent="0.25">
      <c r="A559" s="6">
        <v>1189</v>
      </c>
      <c r="B559" s="6" t="s">
        <v>1145</v>
      </c>
    </row>
    <row r="560" spans="1:2" ht="15.75" customHeight="1" x14ac:dyDescent="0.25">
      <c r="A560" s="6">
        <v>1161</v>
      </c>
      <c r="B560" s="6" t="s">
        <v>1146</v>
      </c>
    </row>
    <row r="561" spans="1:2" ht="15.75" customHeight="1" x14ac:dyDescent="0.25">
      <c r="A561" s="6">
        <v>1157</v>
      </c>
      <c r="B561" s="6" t="s">
        <v>1147</v>
      </c>
    </row>
    <row r="562" spans="1:2" ht="15.75" customHeight="1" x14ac:dyDescent="0.25">
      <c r="A562" s="6">
        <v>45037</v>
      </c>
      <c r="B562" s="6" t="s">
        <v>1148</v>
      </c>
    </row>
    <row r="563" spans="1:2" ht="15.75" customHeight="1" x14ac:dyDescent="0.25">
      <c r="A563" s="6">
        <v>45038</v>
      </c>
      <c r="B563" s="6" t="s">
        <v>1149</v>
      </c>
    </row>
    <row r="564" spans="1:2" ht="15.75" customHeight="1" x14ac:dyDescent="0.25">
      <c r="A564" s="6">
        <v>45036</v>
      </c>
      <c r="B564" s="6" t="s">
        <v>1150</v>
      </c>
    </row>
    <row r="565" spans="1:2" ht="15.75" customHeight="1" x14ac:dyDescent="0.25">
      <c r="A565" s="6">
        <v>314041</v>
      </c>
      <c r="B565" s="6" t="s">
        <v>1151</v>
      </c>
    </row>
    <row r="566" spans="1:2" ht="15.75" customHeight="1" x14ac:dyDescent="0.25">
      <c r="A566" s="6">
        <v>314017</v>
      </c>
      <c r="B566" s="6" t="s">
        <v>1152</v>
      </c>
    </row>
    <row r="567" spans="1:2" ht="15.75" customHeight="1" x14ac:dyDescent="0.25">
      <c r="A567" s="6">
        <v>314013</v>
      </c>
      <c r="B567" s="6" t="s">
        <v>1153</v>
      </c>
    </row>
    <row r="568" spans="1:2" ht="15.75" customHeight="1" x14ac:dyDescent="0.25">
      <c r="A568" s="6">
        <v>314014</v>
      </c>
      <c r="B568" s="6" t="s">
        <v>1154</v>
      </c>
    </row>
    <row r="569" spans="1:2" ht="15.75" customHeight="1" x14ac:dyDescent="0.25">
      <c r="A569" s="6">
        <v>314016</v>
      </c>
      <c r="B569" s="6" t="s">
        <v>1155</v>
      </c>
    </row>
    <row r="570" spans="1:2" ht="15.75" customHeight="1" x14ac:dyDescent="0.25">
      <c r="A570" s="6">
        <v>314015</v>
      </c>
      <c r="B570" s="6" t="s">
        <v>1156</v>
      </c>
    </row>
    <row r="571" spans="1:2" ht="15.75" customHeight="1" x14ac:dyDescent="0.25">
      <c r="A571" s="6">
        <v>209007</v>
      </c>
      <c r="B571" s="6" t="s">
        <v>1157</v>
      </c>
    </row>
    <row r="572" spans="1:2" ht="15.75" customHeight="1" x14ac:dyDescent="0.25">
      <c r="A572" s="6">
        <v>44001</v>
      </c>
      <c r="B572" s="6" t="s">
        <v>1158</v>
      </c>
    </row>
    <row r="573" spans="1:2" ht="15.75" customHeight="1" x14ac:dyDescent="0.25">
      <c r="A573" s="6">
        <v>44004</v>
      </c>
      <c r="B573" s="6" t="s">
        <v>1159</v>
      </c>
    </row>
    <row r="574" spans="1:2" ht="15.75" customHeight="1" x14ac:dyDescent="0.25">
      <c r="A574" s="6">
        <v>44003</v>
      </c>
      <c r="B574" s="6" t="s">
        <v>1160</v>
      </c>
    </row>
    <row r="575" spans="1:2" ht="15.75" customHeight="1" x14ac:dyDescent="0.25">
      <c r="A575" s="6">
        <v>44002</v>
      </c>
      <c r="B575" s="6" t="s">
        <v>1161</v>
      </c>
    </row>
    <row r="576" spans="1:2" ht="15.75" customHeight="1" x14ac:dyDescent="0.25">
      <c r="A576" s="6">
        <v>408030</v>
      </c>
      <c r="B576" s="6" t="s">
        <v>1162</v>
      </c>
    </row>
    <row r="577" spans="1:2" ht="15.75" customHeight="1" x14ac:dyDescent="0.25">
      <c r="A577" s="6">
        <v>408033</v>
      </c>
      <c r="B577" s="6" t="s">
        <v>1163</v>
      </c>
    </row>
    <row r="578" spans="1:2" ht="15.75" customHeight="1" x14ac:dyDescent="0.25">
      <c r="A578" s="6">
        <v>45059</v>
      </c>
      <c r="B578" s="6" t="s">
        <v>1164</v>
      </c>
    </row>
    <row r="579" spans="1:2" ht="15.75" customHeight="1" x14ac:dyDescent="0.25">
      <c r="A579" s="6">
        <v>45060</v>
      </c>
      <c r="B579" s="6" t="s">
        <v>1165</v>
      </c>
    </row>
    <row r="580" spans="1:2" ht="15.75" customHeight="1" x14ac:dyDescent="0.25">
      <c r="A580" s="6">
        <v>45058</v>
      </c>
      <c r="B580" s="6" t="s">
        <v>1166</v>
      </c>
    </row>
    <row r="581" spans="1:2" ht="15.75" customHeight="1" x14ac:dyDescent="0.25">
      <c r="A581" s="6">
        <v>440055</v>
      </c>
      <c r="B581" s="6" t="s">
        <v>1167</v>
      </c>
    </row>
    <row r="582" spans="1:2" ht="15.75" customHeight="1" x14ac:dyDescent="0.25">
      <c r="A582" s="6">
        <v>440047</v>
      </c>
      <c r="B582" s="6" t="s">
        <v>1168</v>
      </c>
    </row>
    <row r="583" spans="1:2" ht="15.75" customHeight="1" x14ac:dyDescent="0.25">
      <c r="A583" s="6">
        <v>440049</v>
      </c>
      <c r="B583" s="6" t="s">
        <v>1169</v>
      </c>
    </row>
    <row r="584" spans="1:2" ht="15.75" customHeight="1" x14ac:dyDescent="0.25">
      <c r="A584" s="6">
        <v>440046</v>
      </c>
      <c r="B584" s="6" t="s">
        <v>1170</v>
      </c>
    </row>
    <row r="585" spans="1:2" ht="15.75" customHeight="1" x14ac:dyDescent="0.25">
      <c r="A585" s="6">
        <v>440053</v>
      </c>
      <c r="B585" s="6" t="s">
        <v>1171</v>
      </c>
    </row>
    <row r="586" spans="1:2" ht="15.75" customHeight="1" x14ac:dyDescent="0.25">
      <c r="A586" s="6">
        <v>440054</v>
      </c>
      <c r="B586" s="6" t="s">
        <v>1172</v>
      </c>
    </row>
    <row r="587" spans="1:2" ht="15.75" customHeight="1" x14ac:dyDescent="0.25">
      <c r="A587" s="6">
        <v>440050</v>
      </c>
      <c r="B587" s="6" t="s">
        <v>1173</v>
      </c>
    </row>
    <row r="588" spans="1:2" ht="15.75" customHeight="1" x14ac:dyDescent="0.25">
      <c r="A588" s="6">
        <v>440048</v>
      </c>
      <c r="B588" s="6" t="s">
        <v>1174</v>
      </c>
    </row>
    <row r="589" spans="1:2" ht="15.75" customHeight="1" x14ac:dyDescent="0.25">
      <c r="A589" s="6">
        <v>440052</v>
      </c>
      <c r="B589" s="6" t="s">
        <v>1175</v>
      </c>
    </row>
    <row r="590" spans="1:2" ht="15.75" customHeight="1" x14ac:dyDescent="0.25">
      <c r="A590" s="6">
        <v>440051</v>
      </c>
      <c r="B590" s="6" t="s">
        <v>1176</v>
      </c>
    </row>
    <row r="591" spans="1:2" ht="15.75" customHeight="1" x14ac:dyDescent="0.25">
      <c r="A591" s="6">
        <v>32110</v>
      </c>
      <c r="B591" s="6" t="s">
        <v>1177</v>
      </c>
    </row>
    <row r="592" spans="1:2" ht="15.75" customHeight="1" x14ac:dyDescent="0.25">
      <c r="A592" s="6">
        <v>208021</v>
      </c>
      <c r="B592" s="6" t="s">
        <v>1178</v>
      </c>
    </row>
    <row r="593" spans="1:2" ht="15.75" customHeight="1" x14ac:dyDescent="0.25">
      <c r="A593" s="6">
        <v>32207</v>
      </c>
      <c r="B593" s="6" t="s">
        <v>1179</v>
      </c>
    </row>
    <row r="594" spans="1:2" ht="15.75" customHeight="1" x14ac:dyDescent="0.25">
      <c r="A594" s="6">
        <v>32175</v>
      </c>
      <c r="B594" s="6" t="s">
        <v>1180</v>
      </c>
    </row>
    <row r="595" spans="1:2" ht="15.75" customHeight="1" x14ac:dyDescent="0.25">
      <c r="A595" s="6">
        <v>32031</v>
      </c>
      <c r="B595" s="6" t="s">
        <v>1181</v>
      </c>
    </row>
    <row r="596" spans="1:2" ht="15.75" customHeight="1" x14ac:dyDescent="0.25">
      <c r="A596" s="6">
        <v>32011</v>
      </c>
      <c r="B596" s="6" t="s">
        <v>1182</v>
      </c>
    </row>
    <row r="597" spans="1:2" ht="15.75" customHeight="1" x14ac:dyDescent="0.25">
      <c r="A597" s="6">
        <v>32183</v>
      </c>
      <c r="B597" s="6" t="s">
        <v>1183</v>
      </c>
    </row>
    <row r="598" spans="1:2" ht="15.75" customHeight="1" x14ac:dyDescent="0.25">
      <c r="A598" s="6">
        <v>32206</v>
      </c>
      <c r="B598" s="6" t="s">
        <v>1184</v>
      </c>
    </row>
    <row r="599" spans="1:2" ht="15.75" customHeight="1" x14ac:dyDescent="0.25">
      <c r="A599" s="6">
        <v>32124</v>
      </c>
      <c r="B599" s="6" t="s">
        <v>1185</v>
      </c>
    </row>
    <row r="600" spans="1:2" ht="15.75" customHeight="1" x14ac:dyDescent="0.25">
      <c r="A600" s="6">
        <v>32018</v>
      </c>
      <c r="B600" s="6" t="s">
        <v>1186</v>
      </c>
    </row>
    <row r="601" spans="1:2" ht="15.75" customHeight="1" x14ac:dyDescent="0.25">
      <c r="A601" s="6">
        <v>32017</v>
      </c>
      <c r="B601" s="6" t="s">
        <v>1187</v>
      </c>
    </row>
    <row r="602" spans="1:2" ht="15.75" customHeight="1" x14ac:dyDescent="0.25">
      <c r="A602" s="6">
        <v>32032</v>
      </c>
      <c r="B602" s="6" t="s">
        <v>1188</v>
      </c>
    </row>
    <row r="603" spans="1:2" ht="15.75" customHeight="1" x14ac:dyDescent="0.25">
      <c r="A603" s="6">
        <v>32158</v>
      </c>
      <c r="B603" s="6" t="s">
        <v>1189</v>
      </c>
    </row>
    <row r="604" spans="1:2" ht="15.75" customHeight="1" x14ac:dyDescent="0.25">
      <c r="A604" s="6">
        <v>32220</v>
      </c>
      <c r="B604" s="6" t="s">
        <v>1190</v>
      </c>
    </row>
    <row r="605" spans="1:2" ht="15.75" customHeight="1" x14ac:dyDescent="0.25">
      <c r="A605" s="6">
        <v>32192</v>
      </c>
      <c r="B605" s="6" t="s">
        <v>1191</v>
      </c>
    </row>
    <row r="606" spans="1:2" ht="15.75" customHeight="1" x14ac:dyDescent="0.25">
      <c r="A606" s="6">
        <v>32191</v>
      </c>
      <c r="B606" s="6" t="s">
        <v>1192</v>
      </c>
    </row>
    <row r="607" spans="1:2" ht="15.75" customHeight="1" x14ac:dyDescent="0.25">
      <c r="A607" s="6">
        <v>32141</v>
      </c>
      <c r="B607" s="6" t="s">
        <v>1193</v>
      </c>
    </row>
    <row r="608" spans="1:2" ht="15.75" customHeight="1" x14ac:dyDescent="0.25">
      <c r="A608" s="6">
        <v>32159</v>
      </c>
      <c r="B608" s="6" t="s">
        <v>1194</v>
      </c>
    </row>
    <row r="609" spans="1:2" ht="15.75" customHeight="1" x14ac:dyDescent="0.25">
      <c r="A609" s="6">
        <v>32133</v>
      </c>
      <c r="B609" s="6" t="s">
        <v>1195</v>
      </c>
    </row>
    <row r="610" spans="1:2" ht="15.75" customHeight="1" x14ac:dyDescent="0.25">
      <c r="A610" s="6">
        <v>32174</v>
      </c>
      <c r="B610" s="6" t="s">
        <v>1196</v>
      </c>
    </row>
    <row r="611" spans="1:2" ht="15.75" customHeight="1" x14ac:dyDescent="0.25">
      <c r="A611" s="6">
        <v>32131</v>
      </c>
      <c r="B611" s="6" t="s">
        <v>1197</v>
      </c>
    </row>
    <row r="612" spans="1:2" ht="15.75" customHeight="1" x14ac:dyDescent="0.25">
      <c r="A612" s="6">
        <v>32132</v>
      </c>
      <c r="B612" s="6" t="s">
        <v>1198</v>
      </c>
    </row>
    <row r="613" spans="1:2" ht="15.75" customHeight="1" x14ac:dyDescent="0.25">
      <c r="A613" s="6">
        <v>32202</v>
      </c>
      <c r="B613" s="6" t="s">
        <v>1199</v>
      </c>
    </row>
    <row r="614" spans="1:2" ht="15.75" customHeight="1" x14ac:dyDescent="0.25">
      <c r="A614" s="6">
        <v>32134</v>
      </c>
      <c r="B614" s="6" t="s">
        <v>1200</v>
      </c>
    </row>
    <row r="615" spans="1:2" ht="15.75" customHeight="1" x14ac:dyDescent="0.25">
      <c r="A615" s="6">
        <v>32218</v>
      </c>
      <c r="B615" s="6" t="s">
        <v>1201</v>
      </c>
    </row>
    <row r="616" spans="1:2" ht="15.75" customHeight="1" x14ac:dyDescent="0.25">
      <c r="A616" s="6">
        <v>32176</v>
      </c>
      <c r="B616" s="6" t="s">
        <v>1202</v>
      </c>
    </row>
    <row r="617" spans="1:2" ht="15.75" customHeight="1" x14ac:dyDescent="0.25">
      <c r="A617" s="6">
        <v>32219</v>
      </c>
      <c r="B617" s="6" t="s">
        <v>1203</v>
      </c>
    </row>
    <row r="618" spans="1:2" ht="15.75" customHeight="1" x14ac:dyDescent="0.25">
      <c r="A618" s="6">
        <v>32160</v>
      </c>
      <c r="B618" s="6" t="s">
        <v>1204</v>
      </c>
    </row>
    <row r="619" spans="1:2" ht="15.75" customHeight="1" x14ac:dyDescent="0.25">
      <c r="A619" s="6">
        <v>32122</v>
      </c>
      <c r="B619" s="6" t="s">
        <v>1205</v>
      </c>
    </row>
    <row r="620" spans="1:2" ht="15.75" customHeight="1" x14ac:dyDescent="0.25">
      <c r="A620" s="6">
        <v>32169</v>
      </c>
      <c r="B620" s="6" t="s">
        <v>1206</v>
      </c>
    </row>
    <row r="621" spans="1:2" ht="15.75" customHeight="1" x14ac:dyDescent="0.25">
      <c r="A621" s="6">
        <v>32072</v>
      </c>
      <c r="B621" s="6" t="s">
        <v>1207</v>
      </c>
    </row>
    <row r="622" spans="1:2" ht="15.75" customHeight="1" x14ac:dyDescent="0.25">
      <c r="A622" s="6">
        <v>32201</v>
      </c>
      <c r="B622" s="6" t="s">
        <v>1208</v>
      </c>
    </row>
    <row r="623" spans="1:2" ht="15.75" customHeight="1" x14ac:dyDescent="0.25">
      <c r="A623" s="6">
        <v>32197</v>
      </c>
      <c r="B623" s="6" t="s">
        <v>486</v>
      </c>
    </row>
    <row r="624" spans="1:2" ht="15.75" customHeight="1" x14ac:dyDescent="0.25">
      <c r="A624" s="6">
        <v>32215</v>
      </c>
      <c r="B624" s="6" t="s">
        <v>1209</v>
      </c>
    </row>
    <row r="625" spans="1:2" ht="15.75" customHeight="1" x14ac:dyDescent="0.25">
      <c r="A625" s="6">
        <v>32198</v>
      </c>
      <c r="B625" s="6" t="s">
        <v>1210</v>
      </c>
    </row>
    <row r="626" spans="1:2" ht="15.75" customHeight="1" x14ac:dyDescent="0.25">
      <c r="A626" s="6">
        <v>32157</v>
      </c>
      <c r="B626" s="6" t="s">
        <v>1211</v>
      </c>
    </row>
    <row r="627" spans="1:2" ht="15.75" customHeight="1" x14ac:dyDescent="0.25">
      <c r="A627" s="6">
        <v>32193</v>
      </c>
      <c r="B627" s="6" t="s">
        <v>1212</v>
      </c>
    </row>
    <row r="628" spans="1:2" ht="15.75" customHeight="1" x14ac:dyDescent="0.25">
      <c r="A628" s="6">
        <v>206005</v>
      </c>
      <c r="B628" s="6" t="s">
        <v>1213</v>
      </c>
    </row>
    <row r="629" spans="1:2" ht="15.75" customHeight="1" x14ac:dyDescent="0.25">
      <c r="A629" s="6">
        <v>45023</v>
      </c>
      <c r="B629" s="6" t="s">
        <v>1214</v>
      </c>
    </row>
    <row r="630" spans="1:2" ht="15.75" customHeight="1" x14ac:dyDescent="0.25">
      <c r="A630" s="6">
        <v>45024</v>
      </c>
      <c r="B630" s="6" t="s">
        <v>1215</v>
      </c>
    </row>
    <row r="631" spans="1:2" ht="15.75" customHeight="1" x14ac:dyDescent="0.25">
      <c r="A631" s="6">
        <v>45022</v>
      </c>
      <c r="B631" s="6" t="s">
        <v>1216</v>
      </c>
    </row>
    <row r="632" spans="1:2" ht="15.75" customHeight="1" x14ac:dyDescent="0.25">
      <c r="A632" s="6">
        <v>49004</v>
      </c>
      <c r="B632" s="6" t="s">
        <v>1217</v>
      </c>
    </row>
    <row r="633" spans="1:2" ht="15.75" customHeight="1" x14ac:dyDescent="0.25">
      <c r="A633" s="6">
        <v>49005</v>
      </c>
      <c r="B633" s="6" t="s">
        <v>1218</v>
      </c>
    </row>
    <row r="634" spans="1:2" ht="15.75" customHeight="1" x14ac:dyDescent="0.25">
      <c r="A634" s="6">
        <v>49003</v>
      </c>
      <c r="B634" s="6" t="s">
        <v>1219</v>
      </c>
    </row>
    <row r="635" spans="1:2" ht="15.75" customHeight="1" x14ac:dyDescent="0.25">
      <c r="A635" s="6">
        <v>224002</v>
      </c>
      <c r="B635" s="6" t="s">
        <v>1220</v>
      </c>
    </row>
    <row r="636" spans="1:2" ht="15.75" customHeight="1" x14ac:dyDescent="0.25">
      <c r="A636" s="6">
        <v>224001</v>
      </c>
      <c r="B636" s="6" t="s">
        <v>1221</v>
      </c>
    </row>
    <row r="637" spans="1:2" ht="15.75" customHeight="1" x14ac:dyDescent="0.25">
      <c r="A637" s="6">
        <v>7009</v>
      </c>
      <c r="B637" s="6" t="s">
        <v>1222</v>
      </c>
    </row>
    <row r="638" spans="1:2" ht="15.75" customHeight="1" x14ac:dyDescent="0.25">
      <c r="A638" s="6">
        <v>7010</v>
      </c>
      <c r="B638" s="6" t="s">
        <v>1223</v>
      </c>
    </row>
    <row r="639" spans="1:2" ht="15.75" customHeight="1" x14ac:dyDescent="0.25">
      <c r="A639" s="6">
        <v>7011</v>
      </c>
      <c r="B639" s="6" t="s">
        <v>1224</v>
      </c>
    </row>
    <row r="640" spans="1:2" ht="15.75" customHeight="1" x14ac:dyDescent="0.25">
      <c r="A640" s="6">
        <v>7008</v>
      </c>
      <c r="B640" s="6" t="s">
        <v>1225</v>
      </c>
    </row>
    <row r="641" spans="1:2" ht="15.75" customHeight="1" x14ac:dyDescent="0.25">
      <c r="A641" s="6">
        <v>208015</v>
      </c>
      <c r="B641" s="6" t="s">
        <v>1226</v>
      </c>
    </row>
    <row r="642" spans="1:2" ht="15.75" customHeight="1" x14ac:dyDescent="0.25">
      <c r="A642" s="6">
        <v>217002</v>
      </c>
      <c r="B642" s="6" t="s">
        <v>1227</v>
      </c>
    </row>
    <row r="643" spans="1:2" ht="15.75" customHeight="1" x14ac:dyDescent="0.25">
      <c r="A643" s="6">
        <v>206007</v>
      </c>
      <c r="B643" s="6" t="s">
        <v>1228</v>
      </c>
    </row>
    <row r="644" spans="1:2" ht="15.75" customHeight="1" x14ac:dyDescent="0.25">
      <c r="A644" s="6">
        <v>216019</v>
      </c>
      <c r="B644" s="6" t="s">
        <v>1229</v>
      </c>
    </row>
    <row r="645" spans="1:2" ht="15.75" customHeight="1" x14ac:dyDescent="0.25">
      <c r="A645" s="6">
        <v>220029</v>
      </c>
      <c r="B645" s="6" t="s">
        <v>1230</v>
      </c>
    </row>
    <row r="646" spans="1:2" ht="15.75" customHeight="1" x14ac:dyDescent="0.25">
      <c r="A646" s="6">
        <v>212001</v>
      </c>
      <c r="B646" s="6" t="s">
        <v>1231</v>
      </c>
    </row>
    <row r="647" spans="1:2" ht="15.75" customHeight="1" x14ac:dyDescent="0.25">
      <c r="A647" s="6">
        <v>412001</v>
      </c>
      <c r="B647" s="6" t="s">
        <v>1231</v>
      </c>
    </row>
    <row r="648" spans="1:2" ht="15.75" customHeight="1" x14ac:dyDescent="0.25">
      <c r="A648" s="6">
        <v>208005</v>
      </c>
      <c r="B648" s="6" t="s">
        <v>1232</v>
      </c>
    </row>
    <row r="649" spans="1:2" ht="15.75" customHeight="1" x14ac:dyDescent="0.25">
      <c r="A649" s="6">
        <v>216003</v>
      </c>
      <c r="B649" s="6" t="s">
        <v>1233</v>
      </c>
    </row>
    <row r="650" spans="1:2" ht="15.75" customHeight="1" x14ac:dyDescent="0.25">
      <c r="A650" s="6">
        <v>216001</v>
      </c>
      <c r="B650" s="6" t="s">
        <v>1234</v>
      </c>
    </row>
    <row r="651" spans="1:2" ht="15.75" customHeight="1" x14ac:dyDescent="0.25">
      <c r="A651" s="6">
        <v>216002</v>
      </c>
      <c r="B651" s="6" t="s">
        <v>1235</v>
      </c>
    </row>
    <row r="652" spans="1:2" ht="15.75" customHeight="1" x14ac:dyDescent="0.25">
      <c r="A652" s="6">
        <v>1119</v>
      </c>
      <c r="B652" s="6" t="s">
        <v>1236</v>
      </c>
    </row>
    <row r="653" spans="1:2" ht="15.75" customHeight="1" x14ac:dyDescent="0.25">
      <c r="A653" s="6">
        <v>1120</v>
      </c>
      <c r="B653" s="6" t="s">
        <v>1237</v>
      </c>
    </row>
    <row r="654" spans="1:2" ht="15.75" customHeight="1" x14ac:dyDescent="0.25">
      <c r="A654" s="6">
        <v>1121</v>
      </c>
      <c r="B654" s="6" t="s">
        <v>1238</v>
      </c>
    </row>
    <row r="655" spans="1:2" ht="15.75" customHeight="1" x14ac:dyDescent="0.25">
      <c r="A655" s="6">
        <v>1106</v>
      </c>
      <c r="B655" s="6" t="s">
        <v>1239</v>
      </c>
    </row>
    <row r="656" spans="1:2" ht="15.75" customHeight="1" x14ac:dyDescent="0.25">
      <c r="A656" s="6">
        <v>1145</v>
      </c>
      <c r="B656" s="6" t="s">
        <v>1240</v>
      </c>
    </row>
    <row r="657" spans="1:2" ht="15.75" customHeight="1" x14ac:dyDescent="0.25">
      <c r="A657" s="6">
        <v>1026</v>
      </c>
      <c r="B657" s="6" t="s">
        <v>1241</v>
      </c>
    </row>
    <row r="658" spans="1:2" ht="15.75" customHeight="1" x14ac:dyDescent="0.25">
      <c r="A658" s="6">
        <v>1025</v>
      </c>
      <c r="B658" s="6" t="s">
        <v>1242</v>
      </c>
    </row>
    <row r="659" spans="1:2" ht="15.75" customHeight="1" x14ac:dyDescent="0.25">
      <c r="A659" s="6">
        <v>1024</v>
      </c>
      <c r="B659" s="6" t="s">
        <v>1243</v>
      </c>
    </row>
    <row r="660" spans="1:2" ht="15.75" customHeight="1" x14ac:dyDescent="0.25">
      <c r="A660" s="6">
        <v>1033</v>
      </c>
      <c r="B660" s="6" t="s">
        <v>1244</v>
      </c>
    </row>
    <row r="661" spans="1:2" ht="15.75" customHeight="1" x14ac:dyDescent="0.25">
      <c r="A661" s="6">
        <v>1034</v>
      </c>
      <c r="B661" s="6" t="s">
        <v>1245</v>
      </c>
    </row>
    <row r="662" spans="1:2" ht="15.75" customHeight="1" x14ac:dyDescent="0.25">
      <c r="A662" s="6">
        <v>1039</v>
      </c>
      <c r="B662" s="6" t="s">
        <v>1246</v>
      </c>
    </row>
    <row r="663" spans="1:2" ht="15.75" customHeight="1" x14ac:dyDescent="0.25">
      <c r="A663" s="6">
        <v>1093</v>
      </c>
      <c r="B663" s="6" t="s">
        <v>1247</v>
      </c>
    </row>
    <row r="664" spans="1:2" ht="15.75" customHeight="1" x14ac:dyDescent="0.25">
      <c r="A664" s="6">
        <v>1094</v>
      </c>
      <c r="B664" s="6" t="s">
        <v>1248</v>
      </c>
    </row>
    <row r="665" spans="1:2" ht="15.75" customHeight="1" x14ac:dyDescent="0.25">
      <c r="A665" s="6">
        <v>1108</v>
      </c>
      <c r="B665" s="6" t="s">
        <v>1249</v>
      </c>
    </row>
    <row r="666" spans="1:2" ht="15.75" customHeight="1" x14ac:dyDescent="0.25">
      <c r="A666" s="6">
        <v>1150</v>
      </c>
      <c r="B666" s="6" t="s">
        <v>1250</v>
      </c>
    </row>
    <row r="667" spans="1:2" ht="15.75" customHeight="1" x14ac:dyDescent="0.25">
      <c r="A667" s="6">
        <v>1156</v>
      </c>
      <c r="B667" s="6" t="s">
        <v>1251</v>
      </c>
    </row>
    <row r="668" spans="1:2" ht="15.75" customHeight="1" x14ac:dyDescent="0.25">
      <c r="A668" s="6">
        <v>1028</v>
      </c>
      <c r="B668" s="6" t="s">
        <v>1252</v>
      </c>
    </row>
    <row r="669" spans="1:2" ht="15.75" customHeight="1" x14ac:dyDescent="0.25">
      <c r="A669" s="6">
        <v>1109</v>
      </c>
      <c r="B669" s="6" t="s">
        <v>1253</v>
      </c>
    </row>
    <row r="670" spans="1:2" ht="15.75" customHeight="1" x14ac:dyDescent="0.25">
      <c r="A670" s="6">
        <v>1027</v>
      </c>
      <c r="B670" s="6" t="s">
        <v>1254</v>
      </c>
    </row>
    <row r="671" spans="1:2" ht="15.75" customHeight="1" x14ac:dyDescent="0.25">
      <c r="A671" s="6">
        <v>220013</v>
      </c>
      <c r="B671" s="6" t="s">
        <v>1255</v>
      </c>
    </row>
    <row r="672" spans="1:2" ht="15.75" customHeight="1" x14ac:dyDescent="0.25">
      <c r="A672" s="6">
        <v>408029</v>
      </c>
      <c r="B672" s="6" t="s">
        <v>1256</v>
      </c>
    </row>
    <row r="673" spans="1:2" ht="15.75" customHeight="1" x14ac:dyDescent="0.25">
      <c r="A673" s="6">
        <v>212004</v>
      </c>
      <c r="B673" s="6" t="s">
        <v>1257</v>
      </c>
    </row>
    <row r="674" spans="1:2" ht="15.75" customHeight="1" x14ac:dyDescent="0.25">
      <c r="A674" s="6">
        <v>32129</v>
      </c>
      <c r="B674" s="6" t="s">
        <v>1258</v>
      </c>
    </row>
    <row r="675" spans="1:2" ht="15.75" customHeight="1" x14ac:dyDescent="0.25">
      <c r="A675" s="6">
        <v>32128</v>
      </c>
      <c r="B675" s="6" t="s">
        <v>1259</v>
      </c>
    </row>
    <row r="676" spans="1:2" ht="15.75" customHeight="1" x14ac:dyDescent="0.25">
      <c r="A676" s="6">
        <v>409023</v>
      </c>
      <c r="B676" s="6" t="s">
        <v>1260</v>
      </c>
    </row>
    <row r="677" spans="1:2" ht="15.75" customHeight="1" x14ac:dyDescent="0.25">
      <c r="A677" s="6">
        <v>212013</v>
      </c>
      <c r="B677" s="6" t="s">
        <v>1261</v>
      </c>
    </row>
    <row r="678" spans="1:2" ht="15.75" customHeight="1" x14ac:dyDescent="0.25">
      <c r="A678" s="6">
        <v>53045</v>
      </c>
      <c r="B678" s="6" t="s">
        <v>1262</v>
      </c>
    </row>
    <row r="679" spans="1:2" ht="15.75" customHeight="1" x14ac:dyDescent="0.25">
      <c r="A679" s="6">
        <v>53046</v>
      </c>
      <c r="B679" s="6" t="s">
        <v>1263</v>
      </c>
    </row>
    <row r="680" spans="1:2" ht="15.75" customHeight="1" x14ac:dyDescent="0.25">
      <c r="A680" s="6">
        <v>53043</v>
      </c>
      <c r="B680" s="6" t="s">
        <v>1264</v>
      </c>
    </row>
    <row r="681" spans="1:2" ht="15.75" customHeight="1" x14ac:dyDescent="0.25">
      <c r="A681" s="6">
        <v>53044</v>
      </c>
      <c r="B681" s="6" t="s">
        <v>1265</v>
      </c>
    </row>
    <row r="682" spans="1:2" ht="15.75" customHeight="1" x14ac:dyDescent="0.25">
      <c r="A682" s="6">
        <v>32054</v>
      </c>
      <c r="B682" s="6" t="s">
        <v>1266</v>
      </c>
    </row>
    <row r="683" spans="1:2" ht="15.75" customHeight="1" x14ac:dyDescent="0.25">
      <c r="A683" s="6">
        <v>30002</v>
      </c>
      <c r="B683" s="6" t="s">
        <v>1267</v>
      </c>
    </row>
    <row r="684" spans="1:2" ht="15.75" customHeight="1" x14ac:dyDescent="0.25">
      <c r="A684" s="6">
        <v>30001</v>
      </c>
      <c r="B684" s="6" t="s">
        <v>1268</v>
      </c>
    </row>
    <row r="685" spans="1:2" ht="15.75" customHeight="1" x14ac:dyDescent="0.25">
      <c r="A685" s="6">
        <v>222001</v>
      </c>
      <c r="B685" s="6" t="s">
        <v>1269</v>
      </c>
    </row>
    <row r="686" spans="1:2" ht="15.75" customHeight="1" x14ac:dyDescent="0.25">
      <c r="A686" s="6">
        <v>222002</v>
      </c>
      <c r="B686" s="6" t="s">
        <v>1270</v>
      </c>
    </row>
    <row r="687" spans="1:2" ht="15.75" customHeight="1" x14ac:dyDescent="0.25">
      <c r="A687" s="6">
        <v>222003</v>
      </c>
      <c r="B687" s="6" t="s">
        <v>1271</v>
      </c>
    </row>
    <row r="688" spans="1:2" ht="15.75" customHeight="1" x14ac:dyDescent="0.25">
      <c r="A688" s="6">
        <v>222004</v>
      </c>
      <c r="B688" s="6" t="s">
        <v>1272</v>
      </c>
    </row>
    <row r="689" spans="1:2" ht="15.75" customHeight="1" x14ac:dyDescent="0.25">
      <c r="A689" s="6">
        <v>222005</v>
      </c>
      <c r="B689" s="6" t="s">
        <v>1273</v>
      </c>
    </row>
    <row r="690" spans="1:2" ht="15.75" customHeight="1" x14ac:dyDescent="0.25">
      <c r="A690" s="6">
        <v>222006</v>
      </c>
      <c r="B690" s="6" t="s">
        <v>1274</v>
      </c>
    </row>
    <row r="691" spans="1:2" ht="15.75" customHeight="1" x14ac:dyDescent="0.25">
      <c r="A691" s="6">
        <v>222007</v>
      </c>
      <c r="B691" s="6" t="s">
        <v>1275</v>
      </c>
    </row>
    <row r="692" spans="1:2" ht="15.75" customHeight="1" x14ac:dyDescent="0.25">
      <c r="A692" s="6">
        <v>222008</v>
      </c>
      <c r="B692" s="6" t="s">
        <v>1276</v>
      </c>
    </row>
    <row r="693" spans="1:2" ht="15.75" customHeight="1" x14ac:dyDescent="0.25">
      <c r="A693" s="6">
        <v>222009</v>
      </c>
      <c r="B693" s="6" t="s">
        <v>1277</v>
      </c>
    </row>
    <row r="694" spans="1:2" ht="15.75" customHeight="1" x14ac:dyDescent="0.25">
      <c r="A694" s="6">
        <v>222010</v>
      </c>
      <c r="B694" s="6" t="s">
        <v>1278</v>
      </c>
    </row>
    <row r="695" spans="1:2" ht="15.75" customHeight="1" x14ac:dyDescent="0.25">
      <c r="A695" s="6">
        <v>44005</v>
      </c>
      <c r="B695" s="6" t="s">
        <v>1279</v>
      </c>
    </row>
    <row r="696" spans="1:2" ht="15.75" customHeight="1" x14ac:dyDescent="0.25">
      <c r="A696" s="6">
        <v>210002</v>
      </c>
      <c r="B696" s="6" t="s">
        <v>1280</v>
      </c>
    </row>
    <row r="697" spans="1:2" ht="15.75" customHeight="1" x14ac:dyDescent="0.25">
      <c r="A697" s="6">
        <v>210003</v>
      </c>
      <c r="B697" s="6" t="s">
        <v>1281</v>
      </c>
    </row>
    <row r="698" spans="1:2" ht="15.75" customHeight="1" x14ac:dyDescent="0.25">
      <c r="A698" s="6">
        <v>210004</v>
      </c>
      <c r="B698" s="6" t="s">
        <v>1282</v>
      </c>
    </row>
    <row r="699" spans="1:2" ht="15.75" customHeight="1" x14ac:dyDescent="0.25">
      <c r="A699" s="6">
        <v>210005</v>
      </c>
      <c r="B699" s="6" t="s">
        <v>1283</v>
      </c>
    </row>
    <row r="700" spans="1:2" ht="15.75" customHeight="1" x14ac:dyDescent="0.25">
      <c r="A700" s="6">
        <v>210006</v>
      </c>
      <c r="B700" s="6" t="s">
        <v>1284</v>
      </c>
    </row>
    <row r="701" spans="1:2" ht="15.75" customHeight="1" x14ac:dyDescent="0.25">
      <c r="A701" s="6">
        <v>210007</v>
      </c>
      <c r="B701" s="6" t="s">
        <v>1285</v>
      </c>
    </row>
    <row r="702" spans="1:2" ht="15.75" customHeight="1" x14ac:dyDescent="0.25">
      <c r="A702" s="6">
        <v>210008</v>
      </c>
      <c r="B702" s="6" t="s">
        <v>1286</v>
      </c>
    </row>
    <row r="703" spans="1:2" ht="15.75" customHeight="1" x14ac:dyDescent="0.25">
      <c r="A703" s="6">
        <v>210009</v>
      </c>
      <c r="B703" s="6" t="s">
        <v>1287</v>
      </c>
    </row>
    <row r="704" spans="1:2" ht="15.75" customHeight="1" x14ac:dyDescent="0.25">
      <c r="A704" s="6">
        <v>210010</v>
      </c>
      <c r="B704" s="6" t="s">
        <v>1288</v>
      </c>
    </row>
    <row r="705" spans="1:2" ht="15.75" customHeight="1" x14ac:dyDescent="0.25">
      <c r="A705" s="6">
        <v>210011</v>
      </c>
      <c r="B705" s="6" t="s">
        <v>1289</v>
      </c>
    </row>
    <row r="706" spans="1:2" ht="15.75" customHeight="1" x14ac:dyDescent="0.25">
      <c r="A706" s="6">
        <v>210012</v>
      </c>
      <c r="B706" s="6" t="s">
        <v>1290</v>
      </c>
    </row>
    <row r="707" spans="1:2" ht="15.75" customHeight="1" x14ac:dyDescent="0.25">
      <c r="A707" s="6">
        <v>216010</v>
      </c>
      <c r="B707" s="6" t="s">
        <v>1291</v>
      </c>
    </row>
    <row r="708" spans="1:2" ht="15.75" customHeight="1" x14ac:dyDescent="0.25">
      <c r="A708" s="6">
        <v>216009</v>
      </c>
      <c r="B708" s="6" t="s">
        <v>1292</v>
      </c>
    </row>
    <row r="709" spans="1:2" ht="15.75" customHeight="1" x14ac:dyDescent="0.25">
      <c r="A709" s="6">
        <v>208004</v>
      </c>
      <c r="B709" s="6" t="s">
        <v>1293</v>
      </c>
    </row>
    <row r="710" spans="1:2" ht="15.75" customHeight="1" x14ac:dyDescent="0.25">
      <c r="A710" s="6">
        <v>212005</v>
      </c>
      <c r="B710" s="6" t="s">
        <v>1294</v>
      </c>
    </row>
    <row r="711" spans="1:2" ht="15.75" customHeight="1" x14ac:dyDescent="0.25">
      <c r="A711" s="6">
        <v>208016</v>
      </c>
      <c r="B711" s="6" t="s">
        <v>1295</v>
      </c>
    </row>
    <row r="712" spans="1:2" ht="15.75" customHeight="1" x14ac:dyDescent="0.25">
      <c r="A712" s="6">
        <v>212012</v>
      </c>
      <c r="B712" s="6" t="s">
        <v>1296</v>
      </c>
    </row>
    <row r="713" spans="1:2" ht="15.75" customHeight="1" x14ac:dyDescent="0.25">
      <c r="A713" s="6">
        <v>316004</v>
      </c>
      <c r="B713" s="6" t="s">
        <v>1297</v>
      </c>
    </row>
    <row r="714" spans="1:2" ht="15.75" customHeight="1" x14ac:dyDescent="0.25">
      <c r="A714" s="6">
        <v>45026</v>
      </c>
      <c r="B714" s="6" t="s">
        <v>1298</v>
      </c>
    </row>
    <row r="715" spans="1:2" ht="15.75" customHeight="1" x14ac:dyDescent="0.25">
      <c r="A715" s="6">
        <v>45027</v>
      </c>
      <c r="B715" s="6" t="s">
        <v>1299</v>
      </c>
    </row>
    <row r="716" spans="1:2" ht="15.75" customHeight="1" x14ac:dyDescent="0.25">
      <c r="A716" s="6">
        <v>45028</v>
      </c>
      <c r="B716" s="6" t="s">
        <v>1300</v>
      </c>
    </row>
    <row r="717" spans="1:2" ht="15.75" customHeight="1" x14ac:dyDescent="0.25">
      <c r="A717" s="6">
        <v>45025</v>
      </c>
      <c r="B717" s="6" t="s">
        <v>1301</v>
      </c>
    </row>
    <row r="718" spans="1:2" ht="15.75" customHeight="1" x14ac:dyDescent="0.25">
      <c r="A718" s="6">
        <v>216011</v>
      </c>
      <c r="B718" s="6" t="s">
        <v>1302</v>
      </c>
    </row>
    <row r="719" spans="1:2" ht="15.75" customHeight="1" x14ac:dyDescent="0.25">
      <c r="A719" s="6">
        <v>216012</v>
      </c>
      <c r="B719" s="6" t="s">
        <v>1303</v>
      </c>
    </row>
    <row r="720" spans="1:2" ht="15.75" customHeight="1" x14ac:dyDescent="0.25">
      <c r="A720" s="6">
        <v>1013</v>
      </c>
      <c r="B720" s="6" t="s">
        <v>1304</v>
      </c>
    </row>
    <row r="721" spans="1:2" ht="15.75" customHeight="1" x14ac:dyDescent="0.25">
      <c r="A721" s="6">
        <v>1070</v>
      </c>
      <c r="B721" s="6" t="s">
        <v>1305</v>
      </c>
    </row>
    <row r="722" spans="1:2" ht="15.75" customHeight="1" x14ac:dyDescent="0.25">
      <c r="A722" s="6">
        <v>1160</v>
      </c>
      <c r="B722" s="6" t="s">
        <v>1306</v>
      </c>
    </row>
    <row r="723" spans="1:2" ht="15.75" customHeight="1" x14ac:dyDescent="0.25">
      <c r="A723" s="6">
        <v>1158</v>
      </c>
      <c r="B723" s="6" t="s">
        <v>1307</v>
      </c>
    </row>
    <row r="724" spans="1:2" ht="15.75" customHeight="1" x14ac:dyDescent="0.25">
      <c r="A724" s="6">
        <v>1143</v>
      </c>
      <c r="B724" s="6" t="s">
        <v>1308</v>
      </c>
    </row>
    <row r="725" spans="1:2" ht="15.75" customHeight="1" x14ac:dyDescent="0.25">
      <c r="A725" s="6">
        <v>1122</v>
      </c>
      <c r="B725" s="6" t="s">
        <v>1309</v>
      </c>
    </row>
    <row r="726" spans="1:2" ht="15.75" customHeight="1" x14ac:dyDescent="0.25">
      <c r="A726" s="6">
        <v>1172</v>
      </c>
      <c r="B726" s="6" t="s">
        <v>1310</v>
      </c>
    </row>
    <row r="727" spans="1:2" ht="15.75" customHeight="1" x14ac:dyDescent="0.25">
      <c r="A727" s="6">
        <v>1100</v>
      </c>
      <c r="B727" s="6" t="s">
        <v>1311</v>
      </c>
    </row>
    <row r="728" spans="1:2" ht="15.75" customHeight="1" x14ac:dyDescent="0.25">
      <c r="A728" s="6">
        <v>1101</v>
      </c>
      <c r="B728" s="6" t="s">
        <v>1312</v>
      </c>
    </row>
    <row r="729" spans="1:2" ht="15.75" customHeight="1" x14ac:dyDescent="0.25">
      <c r="A729" s="6">
        <v>1102</v>
      </c>
      <c r="B729" s="6" t="s">
        <v>1313</v>
      </c>
    </row>
    <row r="730" spans="1:2" ht="15.75" customHeight="1" x14ac:dyDescent="0.25">
      <c r="A730" s="6">
        <v>1073</v>
      </c>
      <c r="B730" s="6" t="s">
        <v>1314</v>
      </c>
    </row>
    <row r="731" spans="1:2" ht="15.75" customHeight="1" x14ac:dyDescent="0.25">
      <c r="A731" s="6">
        <v>1074</v>
      </c>
      <c r="B731" s="6" t="s">
        <v>1315</v>
      </c>
    </row>
    <row r="732" spans="1:2" ht="15.75" customHeight="1" x14ac:dyDescent="0.25">
      <c r="A732" s="6">
        <v>1148</v>
      </c>
      <c r="B732" s="6" t="s">
        <v>1316</v>
      </c>
    </row>
    <row r="733" spans="1:2" ht="15.75" customHeight="1" x14ac:dyDescent="0.25">
      <c r="A733" s="6">
        <v>1149</v>
      </c>
      <c r="B733" s="6" t="s">
        <v>1317</v>
      </c>
    </row>
    <row r="734" spans="1:2" ht="15.75" customHeight="1" x14ac:dyDescent="0.25">
      <c r="A734" s="6">
        <v>1104</v>
      </c>
      <c r="B734" s="6" t="s">
        <v>1318</v>
      </c>
    </row>
    <row r="735" spans="1:2" ht="15.75" customHeight="1" x14ac:dyDescent="0.25">
      <c r="A735" s="6">
        <v>1075</v>
      </c>
      <c r="B735" s="6" t="s">
        <v>1319</v>
      </c>
    </row>
    <row r="736" spans="1:2" ht="15.75" customHeight="1" x14ac:dyDescent="0.25">
      <c r="A736" s="6">
        <v>1076</v>
      </c>
      <c r="B736" s="6" t="s">
        <v>1320</v>
      </c>
    </row>
    <row r="737" spans="1:2" ht="15.75" customHeight="1" x14ac:dyDescent="0.25">
      <c r="A737" s="6">
        <v>1105</v>
      </c>
      <c r="B737" s="6" t="s">
        <v>1321</v>
      </c>
    </row>
    <row r="738" spans="1:2" ht="15.75" customHeight="1" x14ac:dyDescent="0.25">
      <c r="A738" s="6">
        <v>1008</v>
      </c>
      <c r="B738" s="6" t="s">
        <v>1322</v>
      </c>
    </row>
    <row r="739" spans="1:2" ht="15.75" customHeight="1" x14ac:dyDescent="0.25">
      <c r="A739" s="6">
        <v>1110</v>
      </c>
      <c r="B739" s="6" t="s">
        <v>1323</v>
      </c>
    </row>
    <row r="740" spans="1:2" ht="15.75" customHeight="1" x14ac:dyDescent="0.25">
      <c r="A740" s="6">
        <v>1071</v>
      </c>
      <c r="B740" s="6" t="s">
        <v>1324</v>
      </c>
    </row>
    <row r="741" spans="1:2" ht="15.75" customHeight="1" x14ac:dyDescent="0.25">
      <c r="A741" s="6">
        <v>1186</v>
      </c>
      <c r="B741" s="6" t="s">
        <v>1325</v>
      </c>
    </row>
    <row r="742" spans="1:2" ht="15.75" customHeight="1" x14ac:dyDescent="0.25">
      <c r="A742" s="6">
        <v>1103</v>
      </c>
      <c r="B742" s="6" t="s">
        <v>1326</v>
      </c>
    </row>
    <row r="743" spans="1:2" ht="15.75" customHeight="1" x14ac:dyDescent="0.25">
      <c r="A743" s="6">
        <v>1072</v>
      </c>
      <c r="B743" s="6" t="s">
        <v>1327</v>
      </c>
    </row>
    <row r="744" spans="1:2" ht="15.75" customHeight="1" x14ac:dyDescent="0.25">
      <c r="A744" s="6">
        <v>1139</v>
      </c>
      <c r="B744" s="6" t="s">
        <v>1328</v>
      </c>
    </row>
    <row r="745" spans="1:2" ht="15.75" customHeight="1" x14ac:dyDescent="0.25">
      <c r="A745" s="6">
        <v>1134</v>
      </c>
      <c r="B745" s="6" t="s">
        <v>1329</v>
      </c>
    </row>
    <row r="746" spans="1:2" ht="15.75" customHeight="1" x14ac:dyDescent="0.25">
      <c r="A746" s="6">
        <v>1140</v>
      </c>
      <c r="B746" s="6" t="s">
        <v>1330</v>
      </c>
    </row>
    <row r="747" spans="1:2" ht="15.75" customHeight="1" x14ac:dyDescent="0.25">
      <c r="A747" s="6">
        <v>1192</v>
      </c>
      <c r="B747" s="6" t="s">
        <v>1331</v>
      </c>
    </row>
    <row r="748" spans="1:2" ht="15.75" customHeight="1" x14ac:dyDescent="0.25">
      <c r="A748" s="6">
        <v>1188</v>
      </c>
      <c r="B748" s="6" t="s">
        <v>1332</v>
      </c>
    </row>
    <row r="749" spans="1:2" ht="15.75" customHeight="1" x14ac:dyDescent="0.25">
      <c r="A749" s="6">
        <v>1163</v>
      </c>
      <c r="B749" s="6" t="s">
        <v>1333</v>
      </c>
    </row>
    <row r="750" spans="1:2" ht="15.75" customHeight="1" x14ac:dyDescent="0.25">
      <c r="A750" s="6">
        <v>1180</v>
      </c>
      <c r="B750" s="6" t="s">
        <v>1334</v>
      </c>
    </row>
    <row r="751" spans="1:2" ht="15.75" customHeight="1" x14ac:dyDescent="0.25">
      <c r="A751" s="6">
        <v>1133</v>
      </c>
      <c r="B751" s="6" t="s">
        <v>1335</v>
      </c>
    </row>
    <row r="752" spans="1:2" ht="15.75" customHeight="1" x14ac:dyDescent="0.25">
      <c r="A752" s="6">
        <v>1127</v>
      </c>
      <c r="B752" s="6" t="s">
        <v>1336</v>
      </c>
    </row>
    <row r="753" spans="1:2" ht="15.75" customHeight="1" x14ac:dyDescent="0.25">
      <c r="A753" s="6">
        <v>1118</v>
      </c>
      <c r="B753" s="6" t="s">
        <v>1337</v>
      </c>
    </row>
    <row r="754" spans="1:2" ht="15.75" customHeight="1" x14ac:dyDescent="0.25">
      <c r="A754" s="6">
        <v>1166</v>
      </c>
      <c r="B754" s="6" t="s">
        <v>1338</v>
      </c>
    </row>
    <row r="755" spans="1:2" ht="15.75" customHeight="1" x14ac:dyDescent="0.25">
      <c r="A755" s="6">
        <v>1162</v>
      </c>
      <c r="B755" s="6" t="s">
        <v>1339</v>
      </c>
    </row>
    <row r="756" spans="1:2" ht="15.75" customHeight="1" x14ac:dyDescent="0.25">
      <c r="A756" s="6">
        <v>1132</v>
      </c>
      <c r="B756" s="6" t="s">
        <v>1340</v>
      </c>
    </row>
    <row r="757" spans="1:2" ht="15.75" customHeight="1" x14ac:dyDescent="0.25">
      <c r="A757" s="6">
        <v>1126</v>
      </c>
      <c r="B757" s="6" t="s">
        <v>1341</v>
      </c>
    </row>
    <row r="758" spans="1:2" ht="15.75" customHeight="1" x14ac:dyDescent="0.25">
      <c r="A758" s="6">
        <v>1171</v>
      </c>
      <c r="B758" s="6" t="s">
        <v>1342</v>
      </c>
    </row>
    <row r="759" spans="1:2" ht="15.75" customHeight="1" x14ac:dyDescent="0.25">
      <c r="A759" s="6">
        <v>1135</v>
      </c>
      <c r="B759" s="6" t="s">
        <v>1343</v>
      </c>
    </row>
    <row r="760" spans="1:2" ht="15.75" customHeight="1" x14ac:dyDescent="0.25">
      <c r="A760" s="6">
        <v>1179</v>
      </c>
      <c r="B760" s="6" t="s">
        <v>1344</v>
      </c>
    </row>
    <row r="761" spans="1:2" ht="15.75" customHeight="1" x14ac:dyDescent="0.25">
      <c r="A761" s="6">
        <v>1185</v>
      </c>
      <c r="B761" s="6" t="s">
        <v>1345</v>
      </c>
    </row>
    <row r="762" spans="1:2" ht="15.75" customHeight="1" x14ac:dyDescent="0.25">
      <c r="A762" s="6">
        <v>1167</v>
      </c>
      <c r="B762" s="6" t="s">
        <v>1346</v>
      </c>
    </row>
    <row r="763" spans="1:2" ht="15.75" customHeight="1" x14ac:dyDescent="0.25">
      <c r="A763" s="6">
        <v>210016</v>
      </c>
      <c r="B763" s="6" t="s">
        <v>1347</v>
      </c>
    </row>
    <row r="764" spans="1:2" ht="15.75" customHeight="1" x14ac:dyDescent="0.25">
      <c r="A764" s="6">
        <v>222014</v>
      </c>
      <c r="B764" s="6" t="s">
        <v>1347</v>
      </c>
    </row>
    <row r="765" spans="1:2" ht="15.75" customHeight="1" x14ac:dyDescent="0.25">
      <c r="A765" s="6">
        <v>26039</v>
      </c>
      <c r="B765" s="6" t="s">
        <v>1348</v>
      </c>
    </row>
    <row r="766" spans="1:2" ht="15.75" customHeight="1" x14ac:dyDescent="0.25">
      <c r="A766" s="6">
        <v>208026</v>
      </c>
      <c r="B766" s="6" t="s">
        <v>1349</v>
      </c>
    </row>
    <row r="767" spans="1:2" ht="15.75" customHeight="1" x14ac:dyDescent="0.25">
      <c r="A767" s="6">
        <v>211001</v>
      </c>
      <c r="B767" s="6" t="s">
        <v>1349</v>
      </c>
    </row>
    <row r="768" spans="1:2" ht="15.75" customHeight="1" x14ac:dyDescent="0.25">
      <c r="A768" s="6">
        <v>211004</v>
      </c>
      <c r="B768" s="6" t="s">
        <v>1350</v>
      </c>
    </row>
    <row r="769" spans="1:2" ht="15.75" customHeight="1" x14ac:dyDescent="0.25">
      <c r="A769" s="6">
        <v>220014</v>
      </c>
      <c r="B769" s="6" t="s">
        <v>1351</v>
      </c>
    </row>
    <row r="770" spans="1:2" ht="15.75" customHeight="1" x14ac:dyDescent="0.25">
      <c r="A770" s="6">
        <v>52003</v>
      </c>
      <c r="B770" s="6" t="s">
        <v>1352</v>
      </c>
    </row>
    <row r="771" spans="1:2" ht="15.75" customHeight="1" x14ac:dyDescent="0.25">
      <c r="A771" s="6">
        <v>53061</v>
      </c>
      <c r="B771" s="6" t="s">
        <v>1353</v>
      </c>
    </row>
    <row r="772" spans="1:2" ht="15.75" customHeight="1" x14ac:dyDescent="0.25">
      <c r="A772" s="6">
        <v>53062</v>
      </c>
      <c r="B772" s="6" t="s">
        <v>1354</v>
      </c>
    </row>
    <row r="773" spans="1:2" ht="15.75" customHeight="1" x14ac:dyDescent="0.25">
      <c r="A773" s="6">
        <v>53059</v>
      </c>
      <c r="B773" s="6" t="s">
        <v>1355</v>
      </c>
    </row>
    <row r="774" spans="1:2" ht="15.75" customHeight="1" x14ac:dyDescent="0.25">
      <c r="A774" s="6">
        <v>53060</v>
      </c>
      <c r="B774" s="6" t="s">
        <v>1356</v>
      </c>
    </row>
    <row r="775" spans="1:2" ht="15.75" customHeight="1" x14ac:dyDescent="0.25">
      <c r="A775" s="6">
        <v>309004</v>
      </c>
      <c r="B775" s="6" t="s">
        <v>1357</v>
      </c>
    </row>
    <row r="776" spans="1:2" ht="15.75" customHeight="1" x14ac:dyDescent="0.25">
      <c r="A776" s="6">
        <v>208022</v>
      </c>
      <c r="B776" s="6" t="s">
        <v>1358</v>
      </c>
    </row>
    <row r="777" spans="1:2" ht="15.75" customHeight="1" x14ac:dyDescent="0.25">
      <c r="A777" s="6">
        <v>210024</v>
      </c>
      <c r="B777" s="6" t="s">
        <v>1358</v>
      </c>
    </row>
    <row r="778" spans="1:2" ht="15.75" customHeight="1" x14ac:dyDescent="0.25">
      <c r="A778" s="6">
        <v>222019</v>
      </c>
      <c r="B778" s="6" t="s">
        <v>1358</v>
      </c>
    </row>
    <row r="779" spans="1:2" ht="15.75" customHeight="1" x14ac:dyDescent="0.25">
      <c r="A779" s="6">
        <v>434014</v>
      </c>
      <c r="B779" s="6" t="s">
        <v>1359</v>
      </c>
    </row>
    <row r="780" spans="1:2" ht="15.75" customHeight="1" x14ac:dyDescent="0.25">
      <c r="A780" s="6">
        <v>434015</v>
      </c>
      <c r="B780" s="6" t="s">
        <v>1360</v>
      </c>
    </row>
    <row r="781" spans="1:2" ht="15.75" customHeight="1" x14ac:dyDescent="0.25">
      <c r="A781" s="6">
        <v>51001</v>
      </c>
      <c r="B781" s="6" t="s">
        <v>1361</v>
      </c>
    </row>
    <row r="782" spans="1:2" ht="15.75" customHeight="1" x14ac:dyDescent="0.25">
      <c r="A782" s="6">
        <v>37015</v>
      </c>
      <c r="B782" s="6" t="s">
        <v>1362</v>
      </c>
    </row>
    <row r="783" spans="1:2" ht="15.75" customHeight="1" x14ac:dyDescent="0.25">
      <c r="A783" s="6">
        <v>37016</v>
      </c>
      <c r="B783" s="6" t="s">
        <v>1363</v>
      </c>
    </row>
    <row r="784" spans="1:2" ht="15.75" customHeight="1" x14ac:dyDescent="0.25">
      <c r="A784" s="6">
        <v>137017</v>
      </c>
      <c r="B784" s="6" t="s">
        <v>1364</v>
      </c>
    </row>
    <row r="785" spans="1:2" ht="15.75" customHeight="1" x14ac:dyDescent="0.25">
      <c r="A785" s="6">
        <v>434016</v>
      </c>
      <c r="B785" s="6" t="s">
        <v>1365</v>
      </c>
    </row>
    <row r="786" spans="1:2" ht="15.75" customHeight="1" x14ac:dyDescent="0.25">
      <c r="A786" s="6">
        <v>434017</v>
      </c>
      <c r="B786" s="6" t="s">
        <v>1366</v>
      </c>
    </row>
    <row r="787" spans="1:2" ht="15.75" customHeight="1" x14ac:dyDescent="0.25">
      <c r="A787" s="6">
        <v>220039</v>
      </c>
      <c r="B787" s="6" t="s">
        <v>422</v>
      </c>
    </row>
    <row r="788" spans="1:2" ht="15.75" customHeight="1" x14ac:dyDescent="0.25">
      <c r="A788" s="6">
        <v>21001</v>
      </c>
      <c r="B788" s="6" t="s">
        <v>422</v>
      </c>
    </row>
    <row r="789" spans="1:2" ht="15.75" customHeight="1" x14ac:dyDescent="0.25">
      <c r="A789" s="6">
        <v>48003</v>
      </c>
      <c r="B789" s="6" t="s">
        <v>1367</v>
      </c>
    </row>
    <row r="790" spans="1:2" ht="15.75" customHeight="1" x14ac:dyDescent="0.25">
      <c r="A790" s="6">
        <v>48004</v>
      </c>
      <c r="B790" s="6" t="s">
        <v>1368</v>
      </c>
    </row>
    <row r="791" spans="1:2" ht="15.75" customHeight="1" x14ac:dyDescent="0.25">
      <c r="A791" s="6">
        <v>220015</v>
      </c>
      <c r="B791" s="6" t="s">
        <v>1369</v>
      </c>
    </row>
    <row r="792" spans="1:2" ht="15.75" customHeight="1" x14ac:dyDescent="0.25">
      <c r="A792" s="6">
        <v>25002</v>
      </c>
      <c r="B792" s="6" t="s">
        <v>1370</v>
      </c>
    </row>
    <row r="793" spans="1:2" ht="15.75" customHeight="1" x14ac:dyDescent="0.25">
      <c r="A793" s="6">
        <v>25001</v>
      </c>
      <c r="B793" s="6" t="s">
        <v>1371</v>
      </c>
    </row>
    <row r="794" spans="1:2" ht="15.75" customHeight="1" x14ac:dyDescent="0.25">
      <c r="A794" s="6">
        <v>25004</v>
      </c>
      <c r="B794" s="6" t="s">
        <v>1372</v>
      </c>
    </row>
    <row r="795" spans="1:2" ht="15.75" customHeight="1" x14ac:dyDescent="0.25">
      <c r="A795" s="6">
        <v>25003</v>
      </c>
      <c r="B795" s="6" t="s">
        <v>1373</v>
      </c>
    </row>
    <row r="796" spans="1:2" ht="15.75" customHeight="1" x14ac:dyDescent="0.25">
      <c r="A796" s="6">
        <v>210017</v>
      </c>
      <c r="B796" s="6" t="s">
        <v>1374</v>
      </c>
    </row>
    <row r="797" spans="1:2" ht="15.75" customHeight="1" x14ac:dyDescent="0.25">
      <c r="A797" s="6">
        <v>222022</v>
      </c>
      <c r="B797" s="6" t="s">
        <v>1375</v>
      </c>
    </row>
    <row r="798" spans="1:2" ht="15.75" customHeight="1" x14ac:dyDescent="0.25">
      <c r="A798" s="6">
        <v>434018</v>
      </c>
      <c r="B798" s="6" t="s">
        <v>1376</v>
      </c>
    </row>
    <row r="799" spans="1:2" ht="15.75" customHeight="1" x14ac:dyDescent="0.25">
      <c r="A799" s="6">
        <v>434019</v>
      </c>
      <c r="B799" s="6" t="s">
        <v>1377</v>
      </c>
    </row>
    <row r="800" spans="1:2" ht="15.75" customHeight="1" x14ac:dyDescent="0.25">
      <c r="A800" s="6">
        <v>35004</v>
      </c>
      <c r="B800" s="6" t="s">
        <v>568</v>
      </c>
    </row>
    <row r="801" spans="1:2" ht="15.75" customHeight="1" x14ac:dyDescent="0.25">
      <c r="A801" s="6">
        <v>35005</v>
      </c>
      <c r="B801" s="6" t="s">
        <v>564</v>
      </c>
    </row>
    <row r="802" spans="1:2" ht="15.75" customHeight="1" x14ac:dyDescent="0.25">
      <c r="A802" s="6">
        <v>409014</v>
      </c>
      <c r="B802" s="6" t="s">
        <v>1378</v>
      </c>
    </row>
    <row r="803" spans="1:2" ht="15.75" customHeight="1" x14ac:dyDescent="0.25">
      <c r="A803" s="6">
        <v>209017</v>
      </c>
      <c r="B803" s="6" t="s">
        <v>1379</v>
      </c>
    </row>
    <row r="804" spans="1:2" ht="15.75" customHeight="1" x14ac:dyDescent="0.25">
      <c r="A804" s="6">
        <v>220016</v>
      </c>
      <c r="B804" s="6" t="s">
        <v>1380</v>
      </c>
    </row>
    <row r="805" spans="1:2" ht="15.75" customHeight="1" x14ac:dyDescent="0.25">
      <c r="A805" s="6">
        <v>221007</v>
      </c>
      <c r="B805" s="6" t="s">
        <v>1380</v>
      </c>
    </row>
    <row r="806" spans="1:2" ht="15.75" customHeight="1" x14ac:dyDescent="0.25">
      <c r="A806" s="6">
        <v>220031</v>
      </c>
      <c r="B806" s="6" t="s">
        <v>1381</v>
      </c>
    </row>
    <row r="807" spans="1:2" ht="15.75" customHeight="1" x14ac:dyDescent="0.25">
      <c r="A807" s="6">
        <v>236006</v>
      </c>
      <c r="B807" s="6" t="s">
        <v>1382</v>
      </c>
    </row>
    <row r="808" spans="1:2" ht="15.75" customHeight="1" x14ac:dyDescent="0.25">
      <c r="A808" s="6">
        <v>236005</v>
      </c>
      <c r="B808" s="6" t="s">
        <v>1383</v>
      </c>
    </row>
    <row r="809" spans="1:2" ht="15.75" customHeight="1" x14ac:dyDescent="0.25">
      <c r="A809" s="6">
        <v>236002</v>
      </c>
      <c r="B809" s="6" t="s">
        <v>1384</v>
      </c>
    </row>
    <row r="810" spans="1:2" ht="15.75" customHeight="1" x14ac:dyDescent="0.25">
      <c r="A810" s="6">
        <v>227004</v>
      </c>
      <c r="B810" s="6" t="s">
        <v>1385</v>
      </c>
    </row>
    <row r="811" spans="1:2" ht="15.75" customHeight="1" x14ac:dyDescent="0.25">
      <c r="A811" s="6">
        <v>227007</v>
      </c>
      <c r="B811" s="6" t="s">
        <v>1386</v>
      </c>
    </row>
    <row r="812" spans="1:2" ht="15.75" customHeight="1" x14ac:dyDescent="0.25">
      <c r="A812" s="6">
        <v>227003</v>
      </c>
      <c r="B812" s="6" t="s">
        <v>1387</v>
      </c>
    </row>
    <row r="813" spans="1:2" ht="15.75" customHeight="1" x14ac:dyDescent="0.25">
      <c r="A813" s="6">
        <v>227006</v>
      </c>
      <c r="B813" s="6" t="s">
        <v>1388</v>
      </c>
    </row>
    <row r="814" spans="1:2" ht="15.75" customHeight="1" x14ac:dyDescent="0.25">
      <c r="A814" s="6">
        <v>227002</v>
      </c>
      <c r="B814" s="6" t="s">
        <v>1389</v>
      </c>
    </row>
    <row r="815" spans="1:2" ht="15.75" customHeight="1" x14ac:dyDescent="0.25">
      <c r="A815" s="6">
        <v>227005</v>
      </c>
      <c r="B815" s="6" t="s">
        <v>1390</v>
      </c>
    </row>
    <row r="816" spans="1:2" ht="15.75" customHeight="1" x14ac:dyDescent="0.25">
      <c r="A816" s="6">
        <v>227001</v>
      </c>
      <c r="B816" s="6" t="s">
        <v>1391</v>
      </c>
    </row>
    <row r="817" spans="1:2" ht="15.75" customHeight="1" x14ac:dyDescent="0.25">
      <c r="A817" s="6">
        <v>227008</v>
      </c>
      <c r="B817" s="6" t="s">
        <v>1392</v>
      </c>
    </row>
    <row r="818" spans="1:2" ht="15.75" customHeight="1" x14ac:dyDescent="0.25">
      <c r="A818" s="6">
        <v>236003</v>
      </c>
      <c r="B818" s="6" t="s">
        <v>1393</v>
      </c>
    </row>
    <row r="819" spans="1:2" ht="15.75" customHeight="1" x14ac:dyDescent="0.25">
      <c r="A819" s="6">
        <v>236001</v>
      </c>
      <c r="B819" s="6" t="s">
        <v>1394</v>
      </c>
    </row>
    <row r="820" spans="1:2" ht="15.75" customHeight="1" x14ac:dyDescent="0.25">
      <c r="A820" s="6">
        <v>236004</v>
      </c>
      <c r="B820" s="6" t="s">
        <v>1395</v>
      </c>
    </row>
    <row r="821" spans="1:2" ht="15.75" customHeight="1" x14ac:dyDescent="0.25">
      <c r="A821" s="6">
        <v>227009</v>
      </c>
      <c r="B821" s="6" t="s">
        <v>1396</v>
      </c>
    </row>
    <row r="822" spans="1:2" ht="15.75" customHeight="1" x14ac:dyDescent="0.25">
      <c r="A822" s="6">
        <v>220017</v>
      </c>
      <c r="B822" s="6" t="s">
        <v>1397</v>
      </c>
    </row>
    <row r="823" spans="1:2" ht="15.75" customHeight="1" x14ac:dyDescent="0.25">
      <c r="A823" s="6">
        <v>53072</v>
      </c>
      <c r="B823" s="6" t="s">
        <v>1398</v>
      </c>
    </row>
    <row r="824" spans="1:2" ht="15.75" customHeight="1" x14ac:dyDescent="0.25">
      <c r="A824" s="6">
        <v>53074</v>
      </c>
      <c r="B824" s="6" t="s">
        <v>1399</v>
      </c>
    </row>
    <row r="825" spans="1:2" ht="15.75" customHeight="1" x14ac:dyDescent="0.25">
      <c r="A825" s="6">
        <v>53071</v>
      </c>
      <c r="B825" s="6" t="s">
        <v>1400</v>
      </c>
    </row>
    <row r="826" spans="1:2" ht="15.75" customHeight="1" x14ac:dyDescent="0.25">
      <c r="A826" s="6">
        <v>53073</v>
      </c>
      <c r="B826" s="6" t="s">
        <v>1401</v>
      </c>
    </row>
    <row r="827" spans="1:2" ht="15.75" customHeight="1" x14ac:dyDescent="0.25">
      <c r="A827" s="6">
        <v>220018</v>
      </c>
      <c r="B827" s="6" t="s">
        <v>1402</v>
      </c>
    </row>
    <row r="828" spans="1:2" ht="15.75" customHeight="1" x14ac:dyDescent="0.25">
      <c r="A828" s="6">
        <v>220019</v>
      </c>
      <c r="B828" s="6" t="s">
        <v>1403</v>
      </c>
    </row>
    <row r="829" spans="1:2" ht="15.75" customHeight="1" x14ac:dyDescent="0.25">
      <c r="A829" s="6">
        <v>1123</v>
      </c>
      <c r="B829" s="6" t="s">
        <v>1404</v>
      </c>
    </row>
    <row r="830" spans="1:2" ht="15.75" customHeight="1" x14ac:dyDescent="0.25">
      <c r="A830" s="6">
        <v>1112</v>
      </c>
      <c r="B830" s="6" t="s">
        <v>1405</v>
      </c>
    </row>
    <row r="831" spans="1:2" ht="15.75" customHeight="1" x14ac:dyDescent="0.25">
      <c r="A831" s="6">
        <v>1043</v>
      </c>
      <c r="B831" s="6" t="s">
        <v>1406</v>
      </c>
    </row>
    <row r="832" spans="1:2" ht="15.75" customHeight="1" x14ac:dyDescent="0.25">
      <c r="A832" s="6">
        <v>1113</v>
      </c>
      <c r="B832" s="6" t="s">
        <v>1407</v>
      </c>
    </row>
    <row r="833" spans="1:2" ht="15.75" customHeight="1" x14ac:dyDescent="0.25">
      <c r="A833" s="6">
        <v>1019</v>
      </c>
      <c r="B833" s="6" t="s">
        <v>1408</v>
      </c>
    </row>
    <row r="834" spans="1:2" ht="15.75" customHeight="1" x14ac:dyDescent="0.25">
      <c r="A834" s="6">
        <v>1051</v>
      </c>
      <c r="B834" s="6" t="s">
        <v>1409</v>
      </c>
    </row>
    <row r="835" spans="1:2" ht="15.75" customHeight="1" x14ac:dyDescent="0.25">
      <c r="A835" s="6">
        <v>1054</v>
      </c>
      <c r="B835" s="6" t="s">
        <v>1410</v>
      </c>
    </row>
    <row r="836" spans="1:2" ht="15.75" customHeight="1" x14ac:dyDescent="0.25">
      <c r="A836" s="6">
        <v>101018</v>
      </c>
      <c r="B836" s="6" t="s">
        <v>1411</v>
      </c>
    </row>
    <row r="837" spans="1:2" ht="15.75" customHeight="1" x14ac:dyDescent="0.25">
      <c r="A837" s="6">
        <v>1080</v>
      </c>
      <c r="B837" s="6" t="s">
        <v>1412</v>
      </c>
    </row>
    <row r="838" spans="1:2" ht="15.75" customHeight="1" x14ac:dyDescent="0.25">
      <c r="A838" s="6">
        <v>220020</v>
      </c>
      <c r="B838" s="6" t="s">
        <v>1413</v>
      </c>
    </row>
    <row r="839" spans="1:2" ht="15.75" customHeight="1" x14ac:dyDescent="0.25">
      <c r="A839" s="6">
        <v>220021</v>
      </c>
      <c r="B839" s="6" t="s">
        <v>1414</v>
      </c>
    </row>
    <row r="840" spans="1:2" ht="15.75" customHeight="1" x14ac:dyDescent="0.25">
      <c r="A840" s="6">
        <v>26020</v>
      </c>
      <c r="B840" s="6" t="s">
        <v>1415</v>
      </c>
    </row>
    <row r="841" spans="1:2" ht="15.75" customHeight="1" x14ac:dyDescent="0.25">
      <c r="A841" s="6">
        <v>26022</v>
      </c>
      <c r="B841" s="6" t="s">
        <v>1416</v>
      </c>
    </row>
    <row r="842" spans="1:2" ht="15.75" customHeight="1" x14ac:dyDescent="0.25">
      <c r="A842" s="6">
        <v>26037</v>
      </c>
      <c r="B842" s="6" t="s">
        <v>1417</v>
      </c>
    </row>
    <row r="843" spans="1:2" ht="15.75" customHeight="1" x14ac:dyDescent="0.25">
      <c r="A843" s="6">
        <v>26023</v>
      </c>
      <c r="B843" s="6" t="s">
        <v>1418</v>
      </c>
    </row>
    <row r="844" spans="1:2" ht="15.75" customHeight="1" x14ac:dyDescent="0.25">
      <c r="A844" s="6">
        <v>26021</v>
      </c>
      <c r="B844" s="6" t="s">
        <v>1419</v>
      </c>
    </row>
    <row r="845" spans="1:2" ht="15.75" customHeight="1" x14ac:dyDescent="0.25">
      <c r="A845" s="6">
        <v>26038</v>
      </c>
      <c r="B845" s="6" t="s">
        <v>1420</v>
      </c>
    </row>
    <row r="846" spans="1:2" ht="15.75" customHeight="1" x14ac:dyDescent="0.25">
      <c r="A846" s="6">
        <v>26036</v>
      </c>
      <c r="B846" s="6" t="s">
        <v>1421</v>
      </c>
    </row>
    <row r="847" spans="1:2" ht="15.75" customHeight="1" x14ac:dyDescent="0.25">
      <c r="A847" s="6">
        <v>26024</v>
      </c>
      <c r="B847" s="6" t="s">
        <v>1422</v>
      </c>
    </row>
    <row r="848" spans="1:2" ht="15.75" customHeight="1" x14ac:dyDescent="0.25">
      <c r="A848" s="6">
        <v>26026</v>
      </c>
      <c r="B848" s="6" t="s">
        <v>1423</v>
      </c>
    </row>
    <row r="849" spans="1:2" ht="15.75" customHeight="1" x14ac:dyDescent="0.25">
      <c r="A849" s="6">
        <v>26027</v>
      </c>
      <c r="B849" s="6" t="s">
        <v>1424</v>
      </c>
    </row>
    <row r="850" spans="1:2" ht="15.75" customHeight="1" x14ac:dyDescent="0.25">
      <c r="A850" s="6">
        <v>26025</v>
      </c>
      <c r="B850" s="6" t="s">
        <v>1425</v>
      </c>
    </row>
    <row r="851" spans="1:2" ht="15.75" customHeight="1" x14ac:dyDescent="0.25">
      <c r="A851" s="6">
        <v>53027</v>
      </c>
      <c r="B851" s="6" t="s">
        <v>1426</v>
      </c>
    </row>
    <row r="852" spans="1:2" ht="15.75" customHeight="1" x14ac:dyDescent="0.25">
      <c r="A852" s="6">
        <v>53028</v>
      </c>
      <c r="B852" s="6" t="s">
        <v>1427</v>
      </c>
    </row>
    <row r="853" spans="1:2" ht="15.75" customHeight="1" x14ac:dyDescent="0.25">
      <c r="A853" s="6">
        <v>53025</v>
      </c>
      <c r="B853" s="6" t="s">
        <v>1428</v>
      </c>
    </row>
    <row r="854" spans="1:2" ht="15.75" customHeight="1" x14ac:dyDescent="0.25">
      <c r="A854" s="6">
        <v>53026</v>
      </c>
      <c r="B854" s="6" t="s">
        <v>1429</v>
      </c>
    </row>
    <row r="855" spans="1:2" ht="15.75" customHeight="1" x14ac:dyDescent="0.25">
      <c r="A855" s="6">
        <v>434020</v>
      </c>
      <c r="B855" s="6" t="s">
        <v>1430</v>
      </c>
    </row>
    <row r="856" spans="1:2" ht="15.75" customHeight="1" x14ac:dyDescent="0.25">
      <c r="A856" s="6">
        <v>434021</v>
      </c>
      <c r="B856" s="6" t="s">
        <v>1431</v>
      </c>
    </row>
    <row r="857" spans="1:2" ht="15.75" customHeight="1" x14ac:dyDescent="0.25">
      <c r="A857" s="6">
        <v>434022</v>
      </c>
      <c r="B857" s="6" t="s">
        <v>1432</v>
      </c>
    </row>
    <row r="858" spans="1:2" ht="15.75" customHeight="1" x14ac:dyDescent="0.25">
      <c r="A858" s="6">
        <v>32057</v>
      </c>
      <c r="B858" s="6" t="s">
        <v>1433</v>
      </c>
    </row>
    <row r="859" spans="1:2" ht="15.75" customHeight="1" x14ac:dyDescent="0.25">
      <c r="A859" s="6">
        <v>32161</v>
      </c>
      <c r="B859" s="6" t="s">
        <v>1434</v>
      </c>
    </row>
    <row r="860" spans="1:2" ht="15.75" customHeight="1" x14ac:dyDescent="0.25">
      <c r="A860" s="6">
        <v>32213</v>
      </c>
      <c r="B860" s="6" t="s">
        <v>1435</v>
      </c>
    </row>
    <row r="861" spans="1:2" ht="15.75" customHeight="1" x14ac:dyDescent="0.25">
      <c r="A861" s="6">
        <v>29001</v>
      </c>
      <c r="B861" s="6" t="s">
        <v>1436</v>
      </c>
    </row>
    <row r="862" spans="1:2" ht="15.75" customHeight="1" x14ac:dyDescent="0.25">
      <c r="A862" s="6">
        <v>45030</v>
      </c>
      <c r="B862" s="6" t="s">
        <v>1437</v>
      </c>
    </row>
    <row r="863" spans="1:2" ht="15.75" customHeight="1" x14ac:dyDescent="0.25">
      <c r="A863" s="6">
        <v>45031</v>
      </c>
      <c r="B863" s="6" t="s">
        <v>1438</v>
      </c>
    </row>
    <row r="864" spans="1:2" ht="15.75" customHeight="1" x14ac:dyDescent="0.25">
      <c r="A864" s="6">
        <v>45029</v>
      </c>
      <c r="B864" s="6" t="s">
        <v>1439</v>
      </c>
    </row>
    <row r="865" spans="1:2" ht="15.75" customHeight="1" x14ac:dyDescent="0.25">
      <c r="A865" s="6">
        <v>220022</v>
      </c>
      <c r="B865" s="6" t="s">
        <v>1440</v>
      </c>
    </row>
    <row r="866" spans="1:2" ht="15.75" customHeight="1" x14ac:dyDescent="0.25">
      <c r="A866" s="6">
        <v>21002</v>
      </c>
      <c r="B866" s="6" t="s">
        <v>1440</v>
      </c>
    </row>
    <row r="867" spans="1:2" ht="15.75" customHeight="1" x14ac:dyDescent="0.25">
      <c r="A867" s="6">
        <v>48005</v>
      </c>
      <c r="B867" s="6" t="s">
        <v>1440</v>
      </c>
    </row>
    <row r="868" spans="1:2" ht="15.75" customHeight="1" x14ac:dyDescent="0.25">
      <c r="A868" s="6">
        <v>409026</v>
      </c>
      <c r="B868" s="6" t="s">
        <v>1441</v>
      </c>
    </row>
    <row r="869" spans="1:2" ht="15.75" customHeight="1" x14ac:dyDescent="0.25">
      <c r="A869" s="6">
        <v>408028</v>
      </c>
      <c r="B869" s="6" t="s">
        <v>1442</v>
      </c>
    </row>
    <row r="870" spans="1:2" ht="15.75" customHeight="1" x14ac:dyDescent="0.25">
      <c r="A870" s="6">
        <v>53049</v>
      </c>
      <c r="B870" s="6" t="s">
        <v>1443</v>
      </c>
    </row>
    <row r="871" spans="1:2" ht="15.75" customHeight="1" x14ac:dyDescent="0.25">
      <c r="A871" s="6">
        <v>53050</v>
      </c>
      <c r="B871" s="6" t="s">
        <v>1444</v>
      </c>
    </row>
    <row r="872" spans="1:2" ht="15.75" customHeight="1" x14ac:dyDescent="0.25">
      <c r="A872" s="6">
        <v>53047</v>
      </c>
      <c r="B872" s="6" t="s">
        <v>1445</v>
      </c>
    </row>
    <row r="873" spans="1:2" ht="15.75" customHeight="1" x14ac:dyDescent="0.25">
      <c r="A873" s="6">
        <v>53048</v>
      </c>
      <c r="B873" s="6" t="s">
        <v>1446</v>
      </c>
    </row>
    <row r="874" spans="1:2" ht="15.75" customHeight="1" x14ac:dyDescent="0.25">
      <c r="A874" s="6">
        <v>220037</v>
      </c>
      <c r="B874" s="6" t="s">
        <v>1447</v>
      </c>
    </row>
    <row r="875" spans="1:2" ht="15.75" customHeight="1" x14ac:dyDescent="0.25">
      <c r="A875" s="6">
        <v>43014</v>
      </c>
      <c r="B875" s="6" t="s">
        <v>1448</v>
      </c>
    </row>
    <row r="876" spans="1:2" ht="15.75" customHeight="1" x14ac:dyDescent="0.25">
      <c r="A876" s="6">
        <v>1018</v>
      </c>
      <c r="B876" s="6" t="s">
        <v>1449</v>
      </c>
    </row>
    <row r="877" spans="1:2" ht="15.75" customHeight="1" x14ac:dyDescent="0.25">
      <c r="A877" s="6">
        <v>1017</v>
      </c>
      <c r="B877" s="6" t="s">
        <v>1450</v>
      </c>
    </row>
    <row r="878" spans="1:2" ht="15.75" customHeight="1" x14ac:dyDescent="0.25">
      <c r="A878" s="6">
        <v>37007</v>
      </c>
      <c r="B878" s="6" t="s">
        <v>1451</v>
      </c>
    </row>
    <row r="879" spans="1:2" ht="15.75" customHeight="1" x14ac:dyDescent="0.25">
      <c r="A879" s="6">
        <v>37010</v>
      </c>
      <c r="B879" s="6" t="s">
        <v>1452</v>
      </c>
    </row>
    <row r="880" spans="1:2" ht="15.75" customHeight="1" x14ac:dyDescent="0.25">
      <c r="A880" s="6">
        <v>37006</v>
      </c>
      <c r="B880" s="6" t="s">
        <v>1453</v>
      </c>
    </row>
    <row r="881" spans="1:2" ht="15.75" customHeight="1" x14ac:dyDescent="0.25">
      <c r="A881" s="6">
        <v>37009</v>
      </c>
      <c r="B881" s="6" t="s">
        <v>1454</v>
      </c>
    </row>
    <row r="882" spans="1:2" ht="15.75" customHeight="1" x14ac:dyDescent="0.25">
      <c r="A882" s="6">
        <v>37005</v>
      </c>
      <c r="B882" s="6" t="s">
        <v>1455</v>
      </c>
    </row>
    <row r="883" spans="1:2" ht="15.75" customHeight="1" x14ac:dyDescent="0.25">
      <c r="A883" s="6">
        <v>37008</v>
      </c>
      <c r="B883" s="6" t="s">
        <v>1456</v>
      </c>
    </row>
    <row r="884" spans="1:2" ht="15.75" customHeight="1" x14ac:dyDescent="0.25">
      <c r="A884" s="6">
        <v>220025</v>
      </c>
      <c r="B884" s="6" t="s">
        <v>1457</v>
      </c>
    </row>
    <row r="885" spans="1:2" ht="15.75" customHeight="1" x14ac:dyDescent="0.25">
      <c r="A885" s="6">
        <v>220024</v>
      </c>
      <c r="B885" s="6" t="s">
        <v>1458</v>
      </c>
    </row>
    <row r="886" spans="1:2" ht="15.75" customHeight="1" x14ac:dyDescent="0.25">
      <c r="A886" s="6">
        <v>220023</v>
      </c>
      <c r="B886" s="6" t="s">
        <v>1459</v>
      </c>
    </row>
    <row r="887" spans="1:2" ht="15.75" customHeight="1" x14ac:dyDescent="0.25">
      <c r="A887" s="6">
        <v>208020</v>
      </c>
      <c r="B887" s="6" t="s">
        <v>1460</v>
      </c>
    </row>
    <row r="888" spans="1:2" ht="15.75" customHeight="1" x14ac:dyDescent="0.25">
      <c r="A888" s="6">
        <v>208001</v>
      </c>
      <c r="B888" s="6" t="s">
        <v>1461</v>
      </c>
    </row>
    <row r="889" spans="1:2" ht="15.75" customHeight="1" x14ac:dyDescent="0.25">
      <c r="A889" s="6">
        <v>45011</v>
      </c>
      <c r="B889" s="6" t="s">
        <v>1462</v>
      </c>
    </row>
    <row r="890" spans="1:2" ht="15.75" customHeight="1" x14ac:dyDescent="0.25">
      <c r="A890" s="6">
        <v>45040</v>
      </c>
      <c r="B890" s="6" t="s">
        <v>1463</v>
      </c>
    </row>
    <row r="891" spans="1:2" ht="15.75" customHeight="1" x14ac:dyDescent="0.25">
      <c r="A891" s="6">
        <v>45039</v>
      </c>
      <c r="B891" s="6" t="s">
        <v>1464</v>
      </c>
    </row>
    <row r="892" spans="1:2" ht="15.75" customHeight="1" x14ac:dyDescent="0.25">
      <c r="A892" s="6">
        <v>42002</v>
      </c>
      <c r="B892" s="6" t="s">
        <v>1465</v>
      </c>
    </row>
    <row r="893" spans="1:2" ht="15.75" customHeight="1" x14ac:dyDescent="0.25">
      <c r="A893" s="6">
        <v>42005</v>
      </c>
      <c r="B893" s="6" t="s">
        <v>1466</v>
      </c>
    </row>
    <row r="894" spans="1:2" ht="15.75" customHeight="1" x14ac:dyDescent="0.25">
      <c r="A894" s="6">
        <v>42001</v>
      </c>
      <c r="B894" s="6" t="s">
        <v>1467</v>
      </c>
    </row>
    <row r="895" spans="1:2" ht="15.75" customHeight="1" x14ac:dyDescent="0.25">
      <c r="A895" s="6">
        <v>42004</v>
      </c>
      <c r="B895" s="6" t="s">
        <v>1468</v>
      </c>
    </row>
    <row r="896" spans="1:2" ht="15.75" customHeight="1" x14ac:dyDescent="0.25">
      <c r="A896" s="6">
        <v>47011</v>
      </c>
      <c r="B896" s="6" t="s">
        <v>1469</v>
      </c>
    </row>
    <row r="897" spans="1:2" ht="15.75" customHeight="1" x14ac:dyDescent="0.25">
      <c r="A897" s="6">
        <v>47005</v>
      </c>
      <c r="B897" s="6" t="s">
        <v>1470</v>
      </c>
    </row>
    <row r="898" spans="1:2" ht="15.75" customHeight="1" x14ac:dyDescent="0.25">
      <c r="A898" s="6">
        <v>47010</v>
      </c>
      <c r="B898" s="6" t="s">
        <v>1471</v>
      </c>
    </row>
    <row r="899" spans="1:2" ht="15.75" customHeight="1" x14ac:dyDescent="0.25">
      <c r="A899" s="6">
        <v>47004</v>
      </c>
      <c r="B899" s="6" t="s">
        <v>1472</v>
      </c>
    </row>
    <row r="900" spans="1:2" ht="15.75" customHeight="1" x14ac:dyDescent="0.25">
      <c r="A900" s="6">
        <v>47012</v>
      </c>
      <c r="B900" s="6" t="s">
        <v>1473</v>
      </c>
    </row>
    <row r="901" spans="1:2" ht="15.75" customHeight="1" x14ac:dyDescent="0.25">
      <c r="A901" s="6">
        <v>47006</v>
      </c>
      <c r="B901" s="6" t="s">
        <v>1474</v>
      </c>
    </row>
    <row r="902" spans="1:2" ht="15.75" customHeight="1" x14ac:dyDescent="0.25">
      <c r="A902" s="6">
        <v>42045</v>
      </c>
      <c r="B902" s="6" t="s">
        <v>1475</v>
      </c>
    </row>
    <row r="903" spans="1:2" ht="15.75" customHeight="1" x14ac:dyDescent="0.25">
      <c r="A903" s="6">
        <v>42043</v>
      </c>
      <c r="B903" s="6" t="s">
        <v>1476</v>
      </c>
    </row>
    <row r="904" spans="1:2" ht="15.75" customHeight="1" x14ac:dyDescent="0.25">
      <c r="A904" s="6">
        <v>42044</v>
      </c>
      <c r="B904" s="6" t="s">
        <v>1477</v>
      </c>
    </row>
    <row r="905" spans="1:2" ht="15.75" customHeight="1" x14ac:dyDescent="0.25">
      <c r="A905" s="6">
        <v>42003</v>
      </c>
      <c r="B905" s="6" t="s">
        <v>1478</v>
      </c>
    </row>
    <row r="906" spans="1:2" ht="15.75" customHeight="1" x14ac:dyDescent="0.25">
      <c r="A906" s="6">
        <v>42006</v>
      </c>
      <c r="B906" s="6" t="s">
        <v>1479</v>
      </c>
    </row>
    <row r="907" spans="1:2" ht="15.75" customHeight="1" x14ac:dyDescent="0.25">
      <c r="A907" s="6">
        <v>42014</v>
      </c>
      <c r="B907" s="6" t="s">
        <v>1480</v>
      </c>
    </row>
    <row r="908" spans="1:2" ht="15.75" customHeight="1" x14ac:dyDescent="0.25">
      <c r="A908" s="6">
        <v>42017</v>
      </c>
      <c r="B908" s="6" t="s">
        <v>1481</v>
      </c>
    </row>
    <row r="909" spans="1:2" ht="15.75" customHeight="1" x14ac:dyDescent="0.25">
      <c r="A909" s="6">
        <v>42013</v>
      </c>
      <c r="B909" s="6" t="s">
        <v>1482</v>
      </c>
    </row>
    <row r="910" spans="1:2" ht="15.75" customHeight="1" x14ac:dyDescent="0.25">
      <c r="A910" s="6">
        <v>42016</v>
      </c>
      <c r="B910" s="6" t="s">
        <v>1483</v>
      </c>
    </row>
    <row r="911" spans="1:2" ht="15.75" customHeight="1" x14ac:dyDescent="0.25">
      <c r="A911" s="6">
        <v>42015</v>
      </c>
      <c r="B911" s="6" t="s">
        <v>1484</v>
      </c>
    </row>
    <row r="912" spans="1:2" ht="15.75" customHeight="1" x14ac:dyDescent="0.25">
      <c r="A912" s="6">
        <v>42018</v>
      </c>
      <c r="B912" s="6" t="s">
        <v>1485</v>
      </c>
    </row>
    <row r="913" spans="1:2" ht="15.75" customHeight="1" x14ac:dyDescent="0.25">
      <c r="A913" s="6">
        <v>53077</v>
      </c>
      <c r="B913" s="6" t="s">
        <v>1486</v>
      </c>
    </row>
    <row r="914" spans="1:2" ht="15.75" customHeight="1" x14ac:dyDescent="0.25">
      <c r="A914" s="6">
        <v>53078</v>
      </c>
      <c r="B914" s="6" t="s">
        <v>1487</v>
      </c>
    </row>
    <row r="915" spans="1:2" ht="15.75" customHeight="1" x14ac:dyDescent="0.25">
      <c r="A915" s="6">
        <v>53075</v>
      </c>
      <c r="B915" s="6" t="s">
        <v>1488</v>
      </c>
    </row>
    <row r="916" spans="1:2" ht="15.75" customHeight="1" x14ac:dyDescent="0.25">
      <c r="A916" s="6">
        <v>53076</v>
      </c>
      <c r="B916" s="6" t="s">
        <v>1489</v>
      </c>
    </row>
    <row r="917" spans="1:2" ht="15.75" customHeight="1" x14ac:dyDescent="0.25">
      <c r="A917" s="6">
        <v>39014</v>
      </c>
      <c r="B917" s="6" t="s">
        <v>1490</v>
      </c>
    </row>
    <row r="918" spans="1:2" ht="15.75" customHeight="1" x14ac:dyDescent="0.25">
      <c r="A918" s="6">
        <v>39017</v>
      </c>
      <c r="B918" s="6" t="s">
        <v>1491</v>
      </c>
    </row>
    <row r="919" spans="1:2" ht="15.75" customHeight="1" x14ac:dyDescent="0.25">
      <c r="A919" s="6">
        <v>39008</v>
      </c>
      <c r="B919" s="6" t="s">
        <v>1492</v>
      </c>
    </row>
    <row r="920" spans="1:2" ht="15.75" customHeight="1" x14ac:dyDescent="0.25">
      <c r="A920" s="6">
        <v>39011</v>
      </c>
      <c r="B920" s="6" t="s">
        <v>1493</v>
      </c>
    </row>
    <row r="921" spans="1:2" ht="15.75" customHeight="1" x14ac:dyDescent="0.25">
      <c r="A921" s="6">
        <v>39002</v>
      </c>
      <c r="B921" s="6" t="s">
        <v>1494</v>
      </c>
    </row>
    <row r="922" spans="1:2" ht="15.75" customHeight="1" x14ac:dyDescent="0.25">
      <c r="A922" s="6">
        <v>39005</v>
      </c>
      <c r="B922" s="6" t="s">
        <v>1495</v>
      </c>
    </row>
    <row r="923" spans="1:2" ht="15.75" customHeight="1" x14ac:dyDescent="0.25">
      <c r="A923" s="6">
        <v>42038</v>
      </c>
      <c r="B923" s="6" t="s">
        <v>1496</v>
      </c>
    </row>
    <row r="924" spans="1:2" ht="15.75" customHeight="1" x14ac:dyDescent="0.25">
      <c r="A924" s="6">
        <v>42032</v>
      </c>
      <c r="B924" s="6" t="s">
        <v>1497</v>
      </c>
    </row>
    <row r="925" spans="1:2" ht="15.75" customHeight="1" x14ac:dyDescent="0.25">
      <c r="A925" s="6">
        <v>42041</v>
      </c>
      <c r="B925" s="6" t="s">
        <v>1498</v>
      </c>
    </row>
    <row r="926" spans="1:2" ht="15.75" customHeight="1" x14ac:dyDescent="0.25">
      <c r="A926" s="6">
        <v>42035</v>
      </c>
      <c r="B926" s="6" t="s">
        <v>1499</v>
      </c>
    </row>
    <row r="927" spans="1:2" ht="15.75" customHeight="1" x14ac:dyDescent="0.25">
      <c r="A927" s="6">
        <v>47008</v>
      </c>
      <c r="B927" s="6" t="s">
        <v>1500</v>
      </c>
    </row>
    <row r="928" spans="1:2" ht="15.75" customHeight="1" x14ac:dyDescent="0.25">
      <c r="A928" s="6">
        <v>47002</v>
      </c>
      <c r="B928" s="6" t="s">
        <v>1501</v>
      </c>
    </row>
    <row r="929" spans="1:2" ht="15.75" customHeight="1" x14ac:dyDescent="0.25">
      <c r="A929" s="6">
        <v>47007</v>
      </c>
      <c r="B929" s="6" t="s">
        <v>1502</v>
      </c>
    </row>
    <row r="930" spans="1:2" ht="15.75" customHeight="1" x14ac:dyDescent="0.25">
      <c r="A930" s="6">
        <v>47001</v>
      </c>
      <c r="B930" s="6" t="s">
        <v>1503</v>
      </c>
    </row>
    <row r="931" spans="1:2" ht="15.75" customHeight="1" x14ac:dyDescent="0.25">
      <c r="A931" s="6">
        <v>47009</v>
      </c>
      <c r="B931" s="6" t="s">
        <v>1504</v>
      </c>
    </row>
    <row r="932" spans="1:2" ht="15.75" customHeight="1" x14ac:dyDescent="0.25">
      <c r="A932" s="6">
        <v>47003</v>
      </c>
      <c r="B932" s="6" t="s">
        <v>1505</v>
      </c>
    </row>
    <row r="933" spans="1:2" ht="15.75" customHeight="1" x14ac:dyDescent="0.25">
      <c r="A933" s="6">
        <v>39013</v>
      </c>
      <c r="B933" s="6" t="s">
        <v>1506</v>
      </c>
    </row>
    <row r="934" spans="1:2" ht="15.75" customHeight="1" x14ac:dyDescent="0.25">
      <c r="A934" s="6">
        <v>39016</v>
      </c>
      <c r="B934" s="6" t="s">
        <v>1507</v>
      </c>
    </row>
    <row r="935" spans="1:2" ht="15.75" customHeight="1" x14ac:dyDescent="0.25">
      <c r="A935" s="6">
        <v>39007</v>
      </c>
      <c r="B935" s="6" t="s">
        <v>1508</v>
      </c>
    </row>
    <row r="936" spans="1:2" ht="15.75" customHeight="1" x14ac:dyDescent="0.25">
      <c r="A936" s="6">
        <v>39010</v>
      </c>
      <c r="B936" s="6" t="s">
        <v>1509</v>
      </c>
    </row>
    <row r="937" spans="1:2" ht="15.75" customHeight="1" x14ac:dyDescent="0.25">
      <c r="A937" s="6">
        <v>39001</v>
      </c>
      <c r="B937" s="6" t="s">
        <v>1510</v>
      </c>
    </row>
    <row r="938" spans="1:2" ht="15.75" customHeight="1" x14ac:dyDescent="0.25">
      <c r="A938" s="6">
        <v>39004</v>
      </c>
      <c r="B938" s="6" t="s">
        <v>1511</v>
      </c>
    </row>
    <row r="939" spans="1:2" ht="15.75" customHeight="1" x14ac:dyDescent="0.25">
      <c r="A939" s="6">
        <v>42037</v>
      </c>
      <c r="B939" s="6" t="s">
        <v>1512</v>
      </c>
    </row>
    <row r="940" spans="1:2" ht="15.75" customHeight="1" x14ac:dyDescent="0.25">
      <c r="A940" s="6">
        <v>42031</v>
      </c>
      <c r="B940" s="6" t="s">
        <v>1513</v>
      </c>
    </row>
    <row r="941" spans="1:2" ht="15.75" customHeight="1" x14ac:dyDescent="0.25">
      <c r="A941" s="6">
        <v>42040</v>
      </c>
      <c r="B941" s="6" t="s">
        <v>1514</v>
      </c>
    </row>
    <row r="942" spans="1:2" ht="15.75" customHeight="1" x14ac:dyDescent="0.25">
      <c r="A942" s="6">
        <v>42034</v>
      </c>
      <c r="B942" s="6" t="s">
        <v>1515</v>
      </c>
    </row>
    <row r="943" spans="1:2" ht="15.75" customHeight="1" x14ac:dyDescent="0.25">
      <c r="A943" s="6">
        <v>39015</v>
      </c>
      <c r="B943" s="6" t="s">
        <v>1516</v>
      </c>
    </row>
    <row r="944" spans="1:2" ht="15.75" customHeight="1" x14ac:dyDescent="0.25">
      <c r="A944" s="6">
        <v>39018</v>
      </c>
      <c r="B944" s="6" t="s">
        <v>1517</v>
      </c>
    </row>
    <row r="945" spans="1:2" ht="15.75" customHeight="1" x14ac:dyDescent="0.25">
      <c r="A945" s="6">
        <v>39009</v>
      </c>
      <c r="B945" s="6" t="s">
        <v>1518</v>
      </c>
    </row>
    <row r="946" spans="1:2" ht="15.75" customHeight="1" x14ac:dyDescent="0.25">
      <c r="A946" s="6">
        <v>39012</v>
      </c>
      <c r="B946" s="6" t="s">
        <v>1519</v>
      </c>
    </row>
    <row r="947" spans="1:2" ht="15.75" customHeight="1" x14ac:dyDescent="0.25">
      <c r="A947" s="6">
        <v>39003</v>
      </c>
      <c r="B947" s="6" t="s">
        <v>1520</v>
      </c>
    </row>
    <row r="948" spans="1:2" ht="15.75" customHeight="1" x14ac:dyDescent="0.25">
      <c r="A948" s="6">
        <v>39006</v>
      </c>
      <c r="B948" s="6" t="s">
        <v>1521</v>
      </c>
    </row>
    <row r="949" spans="1:2" ht="15.75" customHeight="1" x14ac:dyDescent="0.25">
      <c r="A949" s="6">
        <v>42039</v>
      </c>
      <c r="B949" s="6" t="s">
        <v>1522</v>
      </c>
    </row>
    <row r="950" spans="1:2" ht="15.75" customHeight="1" x14ac:dyDescent="0.25">
      <c r="A950" s="6">
        <v>42033</v>
      </c>
      <c r="B950" s="6" t="s">
        <v>1523</v>
      </c>
    </row>
    <row r="951" spans="1:2" ht="15.75" customHeight="1" x14ac:dyDescent="0.25">
      <c r="A951" s="6">
        <v>42042</v>
      </c>
      <c r="B951" s="6" t="s">
        <v>1524</v>
      </c>
    </row>
    <row r="952" spans="1:2" ht="15.75" customHeight="1" x14ac:dyDescent="0.25">
      <c r="A952" s="6">
        <v>42036</v>
      </c>
      <c r="B952" s="6" t="s">
        <v>1525</v>
      </c>
    </row>
    <row r="953" spans="1:2" ht="15.75" customHeight="1" x14ac:dyDescent="0.25">
      <c r="A953" s="6">
        <v>409012</v>
      </c>
      <c r="B953" s="6" t="s">
        <v>1526</v>
      </c>
    </row>
    <row r="954" spans="1:2" ht="15.75" customHeight="1" x14ac:dyDescent="0.25">
      <c r="A954" s="6">
        <v>50001</v>
      </c>
      <c r="B954" s="6" t="s">
        <v>1527</v>
      </c>
    </row>
    <row r="955" spans="1:2" ht="15.75" customHeight="1" x14ac:dyDescent="0.25">
      <c r="A955" s="6">
        <v>434023</v>
      </c>
      <c r="B955" s="6" t="s">
        <v>1528</v>
      </c>
    </row>
    <row r="956" spans="1:2" ht="15.75" customHeight="1" x14ac:dyDescent="0.25">
      <c r="A956" s="6">
        <v>434024</v>
      </c>
      <c r="B956" s="6" t="s">
        <v>1529</v>
      </c>
    </row>
    <row r="957" spans="1:2" ht="15.75" customHeight="1" x14ac:dyDescent="0.25">
      <c r="A957" s="6">
        <v>434025</v>
      </c>
      <c r="B957" s="6" t="s">
        <v>1530</v>
      </c>
    </row>
    <row r="958" spans="1:2" ht="15.75" customHeight="1" x14ac:dyDescent="0.25">
      <c r="A958" s="6">
        <v>53093</v>
      </c>
      <c r="B958" s="6" t="s">
        <v>561</v>
      </c>
    </row>
    <row r="959" spans="1:2" ht="15.75" customHeight="1" x14ac:dyDescent="0.25">
      <c r="A959" s="6">
        <v>53094</v>
      </c>
      <c r="B959" s="6" t="s">
        <v>558</v>
      </c>
    </row>
    <row r="960" spans="1:2" ht="15.75" customHeight="1" x14ac:dyDescent="0.25">
      <c r="A960" s="6">
        <v>53091</v>
      </c>
      <c r="B960" s="6" t="s">
        <v>555</v>
      </c>
    </row>
    <row r="961" spans="1:2" ht="15.75" customHeight="1" x14ac:dyDescent="0.25">
      <c r="A961" s="6">
        <v>53092</v>
      </c>
      <c r="B961" s="6" t="s">
        <v>552</v>
      </c>
    </row>
    <row r="962" spans="1:2" ht="15.75" customHeight="1" x14ac:dyDescent="0.25">
      <c r="A962" s="6">
        <v>216013</v>
      </c>
      <c r="B962" s="6" t="s">
        <v>1531</v>
      </c>
    </row>
    <row r="963" spans="1:2" ht="15.75" customHeight="1" x14ac:dyDescent="0.25">
      <c r="A963" s="6">
        <v>309001</v>
      </c>
      <c r="B963" s="6" t="s">
        <v>1532</v>
      </c>
    </row>
    <row r="964" spans="1:2" ht="15.75" customHeight="1" x14ac:dyDescent="0.25">
      <c r="A964" s="6">
        <v>45007</v>
      </c>
      <c r="B964" s="6" t="s">
        <v>1533</v>
      </c>
    </row>
    <row r="965" spans="1:2" ht="15.75" customHeight="1" x14ac:dyDescent="0.25">
      <c r="A965" s="6">
        <v>45008</v>
      </c>
      <c r="B965" s="6" t="s">
        <v>1534</v>
      </c>
    </row>
    <row r="966" spans="1:2" ht="15.75" customHeight="1" x14ac:dyDescent="0.25">
      <c r="A966" s="6">
        <v>45009</v>
      </c>
      <c r="B966" s="6" t="s">
        <v>1535</v>
      </c>
    </row>
    <row r="967" spans="1:2" ht="15.75" customHeight="1" x14ac:dyDescent="0.25">
      <c r="A967" s="6">
        <v>45006</v>
      </c>
      <c r="B967" s="6" t="s">
        <v>1536</v>
      </c>
    </row>
    <row r="968" spans="1:2" ht="15.75" customHeight="1" x14ac:dyDescent="0.25">
      <c r="A968" s="6">
        <v>45010</v>
      </c>
      <c r="B968" s="6" t="s">
        <v>1537</v>
      </c>
    </row>
    <row r="969" spans="1:2" ht="15.75" customHeight="1" x14ac:dyDescent="0.25">
      <c r="A969" s="6">
        <v>220036</v>
      </c>
      <c r="B969" s="6" t="s">
        <v>1538</v>
      </c>
    </row>
    <row r="970" spans="1:2" ht="15.75" customHeight="1" x14ac:dyDescent="0.25">
      <c r="A970" s="6">
        <v>53105</v>
      </c>
      <c r="B970" s="6" t="s">
        <v>1539</v>
      </c>
    </row>
    <row r="971" spans="1:2" ht="15.75" customHeight="1" x14ac:dyDescent="0.25">
      <c r="A971" s="6">
        <v>53106</v>
      </c>
      <c r="B971" s="6" t="s">
        <v>1540</v>
      </c>
    </row>
    <row r="972" spans="1:2" ht="15.75" customHeight="1" x14ac:dyDescent="0.25">
      <c r="A972" s="6">
        <v>53103</v>
      </c>
      <c r="B972" s="6" t="s">
        <v>1541</v>
      </c>
    </row>
    <row r="973" spans="1:2" ht="15.75" customHeight="1" x14ac:dyDescent="0.25">
      <c r="A973" s="6">
        <v>53104</v>
      </c>
      <c r="B973" s="6" t="s">
        <v>1542</v>
      </c>
    </row>
    <row r="974" spans="1:2" ht="15.75" customHeight="1" x14ac:dyDescent="0.25">
      <c r="A974" s="6">
        <v>35003</v>
      </c>
      <c r="B974" s="6" t="s">
        <v>1543</v>
      </c>
    </row>
    <row r="975" spans="1:2" ht="15.75" customHeight="1" x14ac:dyDescent="0.25">
      <c r="A975" s="6">
        <v>209023</v>
      </c>
      <c r="B975" s="6" t="s">
        <v>1544</v>
      </c>
    </row>
    <row r="976" spans="1:2" ht="15.75" customHeight="1" x14ac:dyDescent="0.25">
      <c r="A976" s="6">
        <v>208025</v>
      </c>
      <c r="B976" s="6" t="s">
        <v>1545</v>
      </c>
    </row>
    <row r="977" spans="1:2" ht="15.75" customHeight="1" x14ac:dyDescent="0.25">
      <c r="A977" s="6">
        <v>409024</v>
      </c>
      <c r="B977" s="6" t="s">
        <v>1546</v>
      </c>
    </row>
    <row r="978" spans="1:2" ht="15.75" customHeight="1" x14ac:dyDescent="0.25">
      <c r="A978" s="6">
        <v>206002</v>
      </c>
      <c r="B978" s="6" t="s">
        <v>1547</v>
      </c>
    </row>
    <row r="979" spans="1:2" ht="15.75" customHeight="1" x14ac:dyDescent="0.25">
      <c r="A979" s="6">
        <v>206001</v>
      </c>
      <c r="B979" s="6" t="s">
        <v>1548</v>
      </c>
    </row>
    <row r="980" spans="1:2" ht="15.75" customHeight="1" x14ac:dyDescent="0.25">
      <c r="A980" s="6">
        <v>208017</v>
      </c>
      <c r="B980" s="6" t="s">
        <v>1549</v>
      </c>
    </row>
    <row r="981" spans="1:2" ht="15.75" customHeight="1" x14ac:dyDescent="0.25">
      <c r="A981" s="6">
        <v>54001</v>
      </c>
      <c r="B981" s="6" t="s">
        <v>1550</v>
      </c>
    </row>
    <row r="982" spans="1:2" ht="15.75" customHeight="1" x14ac:dyDescent="0.25">
      <c r="A982" s="6">
        <v>434026</v>
      </c>
      <c r="B982" s="6" t="s">
        <v>1551</v>
      </c>
    </row>
    <row r="983" spans="1:2" ht="15.75" customHeight="1" x14ac:dyDescent="0.25">
      <c r="A983" s="6">
        <v>434027</v>
      </c>
      <c r="B983" s="6" t="s">
        <v>1552</v>
      </c>
    </row>
    <row r="984" spans="1:2" ht="15.75" customHeight="1" x14ac:dyDescent="0.25">
      <c r="A984" s="6">
        <v>434028</v>
      </c>
      <c r="B984" s="6" t="s">
        <v>1553</v>
      </c>
    </row>
    <row r="985" spans="1:2" ht="15.75" customHeight="1" x14ac:dyDescent="0.25">
      <c r="A985" s="6">
        <v>220026</v>
      </c>
      <c r="B985" s="6" t="s">
        <v>1554</v>
      </c>
    </row>
    <row r="986" spans="1:2" ht="15.75" customHeight="1" x14ac:dyDescent="0.25">
      <c r="A986" s="6">
        <v>220034</v>
      </c>
      <c r="B986" s="6" t="s">
        <v>1555</v>
      </c>
    </row>
    <row r="987" spans="1:2" ht="15.75" customHeight="1" x14ac:dyDescent="0.25">
      <c r="A987" s="6">
        <v>210014</v>
      </c>
      <c r="B987" s="6" t="s">
        <v>1556</v>
      </c>
    </row>
    <row r="988" spans="1:2" ht="15.75" customHeight="1" x14ac:dyDescent="0.25">
      <c r="A988" s="6">
        <v>222012</v>
      </c>
      <c r="B988" s="6" t="s">
        <v>1556</v>
      </c>
    </row>
    <row r="989" spans="1:2" ht="15.75" customHeight="1" x14ac:dyDescent="0.25">
      <c r="A989" s="6">
        <v>28001</v>
      </c>
      <c r="B989" s="6" t="s">
        <v>1557</v>
      </c>
    </row>
    <row r="990" spans="1:2" ht="15.75" customHeight="1" x14ac:dyDescent="0.25">
      <c r="A990" s="6">
        <v>7005</v>
      </c>
      <c r="B990" s="6" t="s">
        <v>1558</v>
      </c>
    </row>
    <row r="991" spans="1:2" ht="15.75" customHeight="1" x14ac:dyDescent="0.25">
      <c r="A991" s="6">
        <v>7006</v>
      </c>
      <c r="B991" s="6" t="s">
        <v>1559</v>
      </c>
    </row>
    <row r="992" spans="1:2" ht="15.75" customHeight="1" x14ac:dyDescent="0.25">
      <c r="A992" s="6">
        <v>7007</v>
      </c>
      <c r="B992" s="6" t="s">
        <v>1560</v>
      </c>
    </row>
    <row r="993" spans="1:2" ht="15.75" customHeight="1" x14ac:dyDescent="0.25">
      <c r="A993" s="6">
        <v>7004</v>
      </c>
      <c r="B993" s="6" t="s">
        <v>1561</v>
      </c>
    </row>
    <row r="994" spans="1:2" ht="15.75" customHeight="1" x14ac:dyDescent="0.25">
      <c r="A994" s="6">
        <v>316002</v>
      </c>
      <c r="B994" s="6" t="s">
        <v>1562</v>
      </c>
    </row>
    <row r="995" spans="1:2" ht="15.75" customHeight="1" x14ac:dyDescent="0.25">
      <c r="A995" s="6">
        <v>434029</v>
      </c>
      <c r="B995" s="6" t="s">
        <v>1563</v>
      </c>
    </row>
    <row r="996" spans="1:2" ht="15.75" customHeight="1" x14ac:dyDescent="0.25">
      <c r="A996" s="6">
        <v>434030</v>
      </c>
      <c r="B996" s="6" t="s">
        <v>1564</v>
      </c>
    </row>
    <row r="997" spans="1:2" ht="15.75" customHeight="1" x14ac:dyDescent="0.25">
      <c r="A997" s="6">
        <v>434031</v>
      </c>
      <c r="B997" s="6" t="s">
        <v>1565</v>
      </c>
    </row>
    <row r="998" spans="1:2" ht="15.75" customHeight="1" x14ac:dyDescent="0.25">
      <c r="A998" s="6">
        <v>434032</v>
      </c>
      <c r="B998" s="6" t="s">
        <v>1566</v>
      </c>
    </row>
    <row r="999" spans="1:2" ht="15.75" customHeight="1" x14ac:dyDescent="0.25">
      <c r="A999" s="6">
        <v>434034</v>
      </c>
      <c r="B999" s="6" t="s">
        <v>1567</v>
      </c>
    </row>
    <row r="1000" spans="1:2" ht="15.75" customHeight="1" x14ac:dyDescent="0.25">
      <c r="A1000" s="6">
        <v>434033</v>
      </c>
      <c r="B1000" s="6" t="s">
        <v>1568</v>
      </c>
    </row>
    <row r="1001" spans="1:2" ht="15.75" customHeight="1" x14ac:dyDescent="0.25">
      <c r="A1001" s="6">
        <v>208007</v>
      </c>
      <c r="B1001" s="6" t="s">
        <v>1569</v>
      </c>
    </row>
    <row r="1002" spans="1:2" ht="15.75" customHeight="1" x14ac:dyDescent="0.25">
      <c r="A1002" s="6">
        <v>53053</v>
      </c>
      <c r="B1002" s="6" t="s">
        <v>1570</v>
      </c>
    </row>
    <row r="1003" spans="1:2" ht="15.75" customHeight="1" x14ac:dyDescent="0.25">
      <c r="A1003" s="6">
        <v>53054</v>
      </c>
      <c r="B1003" s="6" t="s">
        <v>1571</v>
      </c>
    </row>
    <row r="1004" spans="1:2" ht="15.75" customHeight="1" x14ac:dyDescent="0.25">
      <c r="A1004" s="6">
        <v>53051</v>
      </c>
      <c r="B1004" s="6" t="s">
        <v>1572</v>
      </c>
    </row>
    <row r="1005" spans="1:2" ht="15.75" customHeight="1" x14ac:dyDescent="0.25">
      <c r="A1005" s="6">
        <v>53052</v>
      </c>
      <c r="B1005" s="6" t="s">
        <v>1573</v>
      </c>
    </row>
    <row r="1006" spans="1:2" ht="15.75" customHeight="1" x14ac:dyDescent="0.25">
      <c r="A1006" s="6">
        <v>121006</v>
      </c>
      <c r="B1006" s="6" t="s">
        <v>1574</v>
      </c>
    </row>
    <row r="1007" spans="1:2" ht="15.75" customHeight="1" x14ac:dyDescent="0.25">
      <c r="A1007" s="6">
        <v>220027</v>
      </c>
      <c r="B1007" s="6" t="s">
        <v>1575</v>
      </c>
    </row>
    <row r="1008" spans="1:2" ht="15.75" customHeight="1" x14ac:dyDescent="0.25">
      <c r="A1008" s="6">
        <v>220028</v>
      </c>
      <c r="B1008" s="6" t="s">
        <v>1576</v>
      </c>
    </row>
    <row r="1009" spans="1:2" ht="15.75" customHeight="1" x14ac:dyDescent="0.25">
      <c r="A1009" s="6">
        <v>208008</v>
      </c>
      <c r="B1009" s="6" t="s">
        <v>1577</v>
      </c>
    </row>
    <row r="1010" spans="1:2" ht="15.75" customHeight="1" x14ac:dyDescent="0.25">
      <c r="A1010" s="6">
        <v>210020</v>
      </c>
      <c r="B1010" s="6" t="s">
        <v>1578</v>
      </c>
    </row>
    <row r="1011" spans="1:2" ht="15.75" customHeight="1" x14ac:dyDescent="0.25">
      <c r="A1011" s="6">
        <v>222016</v>
      </c>
      <c r="B1011" s="6" t="s">
        <v>1578</v>
      </c>
    </row>
    <row r="1012" spans="1:2" ht="15.75" customHeight="1" x14ac:dyDescent="0.25">
      <c r="A1012" s="6">
        <v>338002</v>
      </c>
      <c r="B1012" s="6" t="s">
        <v>1579</v>
      </c>
    </row>
    <row r="1013" spans="1:2" ht="15.75" customHeight="1" x14ac:dyDescent="0.25">
      <c r="A1013" s="6">
        <v>1045</v>
      </c>
      <c r="B1013" s="6" t="s">
        <v>1580</v>
      </c>
    </row>
    <row r="1014" spans="1:2" ht="15.75" customHeight="1" x14ac:dyDescent="0.25">
      <c r="A1014" s="6">
        <v>1040</v>
      </c>
      <c r="B1014" s="6" t="s">
        <v>1581</v>
      </c>
    </row>
    <row r="1015" spans="1:2" ht="15.75" customHeight="1" x14ac:dyDescent="0.25">
      <c r="A1015" s="6">
        <v>209030</v>
      </c>
      <c r="B1015" s="6" t="s">
        <v>1582</v>
      </c>
    </row>
    <row r="1016" spans="1:2" ht="15.75" customHeight="1" x14ac:dyDescent="0.25">
      <c r="A1016" s="6">
        <v>7002</v>
      </c>
      <c r="B1016" s="6" t="s">
        <v>1583</v>
      </c>
    </row>
    <row r="1017" spans="1:2" ht="15.75" customHeight="1" x14ac:dyDescent="0.25">
      <c r="A1017" s="6">
        <v>7003</v>
      </c>
      <c r="B1017" s="6" t="s">
        <v>1584</v>
      </c>
    </row>
    <row r="1018" spans="1:2" ht="15.75" customHeight="1" x14ac:dyDescent="0.25">
      <c r="A1018" s="6">
        <v>7001</v>
      </c>
      <c r="B1018" s="6" t="s">
        <v>1585</v>
      </c>
    </row>
    <row r="1019" spans="1:2" ht="15.75" customHeight="1" x14ac:dyDescent="0.25">
      <c r="A1019" s="6">
        <v>216014</v>
      </c>
      <c r="B1019" s="6" t="s">
        <v>1586</v>
      </c>
    </row>
    <row r="1020" spans="1:2" ht="15.75" customHeight="1" x14ac:dyDescent="0.25">
      <c r="A1020" s="6">
        <v>32139</v>
      </c>
      <c r="B1020" s="6" t="s">
        <v>1587</v>
      </c>
    </row>
    <row r="1021" spans="1:2" ht="15.75" customHeight="1" x14ac:dyDescent="0.25">
      <c r="A1021" s="6">
        <v>32140</v>
      </c>
      <c r="B1021" s="6" t="s">
        <v>1588</v>
      </c>
    </row>
    <row r="1022" spans="1:2" ht="15.75" customHeight="1" x14ac:dyDescent="0.25">
      <c r="A1022" s="6">
        <v>316003</v>
      </c>
      <c r="B1022" s="6" t="s">
        <v>1589</v>
      </c>
    </row>
    <row r="1023" spans="1:2" ht="15.75" customHeight="1" x14ac:dyDescent="0.25">
      <c r="A1023" s="6">
        <v>338009</v>
      </c>
      <c r="B1023" s="6" t="s">
        <v>1590</v>
      </c>
    </row>
    <row r="1024" spans="1:2" ht="15.75" customHeight="1" x14ac:dyDescent="0.25">
      <c r="A1024" s="6">
        <v>338011</v>
      </c>
      <c r="B1024" s="6" t="s">
        <v>1591</v>
      </c>
    </row>
    <row r="1025" spans="1:2" ht="15.75" customHeight="1" x14ac:dyDescent="0.25">
      <c r="A1025" s="6">
        <v>338010</v>
      </c>
      <c r="B1025" s="6" t="s">
        <v>1592</v>
      </c>
    </row>
    <row r="1026" spans="1:2" ht="15.75" customHeight="1" x14ac:dyDescent="0.25">
      <c r="A1026" s="6">
        <v>338012</v>
      </c>
      <c r="B1026" s="6" t="s">
        <v>1593</v>
      </c>
    </row>
    <row r="1027" spans="1:2" ht="15.75" customHeight="1" x14ac:dyDescent="0.25">
      <c r="A1027" s="6">
        <v>338014</v>
      </c>
      <c r="B1027" s="6" t="s">
        <v>1594</v>
      </c>
    </row>
    <row r="1028" spans="1:2" ht="15.75" customHeight="1" x14ac:dyDescent="0.25">
      <c r="A1028" s="6">
        <v>338013</v>
      </c>
      <c r="B1028" s="6" t="s">
        <v>1595</v>
      </c>
    </row>
    <row r="1029" spans="1:2" ht="15.75" customHeight="1" x14ac:dyDescent="0.25">
      <c r="A1029" s="6">
        <v>216020</v>
      </c>
      <c r="B1029" s="6" t="s">
        <v>1596</v>
      </c>
    </row>
    <row r="1030" spans="1:2" ht="15.75" customHeight="1" x14ac:dyDescent="0.25">
      <c r="A1030" s="6">
        <v>216021</v>
      </c>
      <c r="B1030" s="6" t="s">
        <v>1597</v>
      </c>
    </row>
    <row r="1031" spans="1:2" ht="15.75" customHeight="1" x14ac:dyDescent="0.25">
      <c r="A1031" s="6">
        <v>216016</v>
      </c>
      <c r="B1031" s="6" t="s">
        <v>1598</v>
      </c>
    </row>
    <row r="1032" spans="1:2" ht="15.75" customHeight="1" x14ac:dyDescent="0.25">
      <c r="A1032" s="6">
        <v>216015</v>
      </c>
      <c r="B1032" s="6" t="s">
        <v>1599</v>
      </c>
    </row>
    <row r="1033" spans="1:2" ht="15.75" customHeight="1" x14ac:dyDescent="0.25">
      <c r="A1033" s="6">
        <v>43001</v>
      </c>
      <c r="B1033" s="6" t="s">
        <v>1600</v>
      </c>
    </row>
    <row r="1034" spans="1:2" ht="15.75" customHeight="1" x14ac:dyDescent="0.25">
      <c r="A1034" s="6">
        <v>43003</v>
      </c>
      <c r="B1034" s="6" t="s">
        <v>1601</v>
      </c>
    </row>
    <row r="1035" spans="1:2" ht="15.75" customHeight="1" x14ac:dyDescent="0.25">
      <c r="A1035" s="6">
        <v>409009</v>
      </c>
      <c r="B1035" s="6" t="s">
        <v>1602</v>
      </c>
    </row>
    <row r="1036" spans="1:2" ht="15.75" customHeight="1" x14ac:dyDescent="0.25">
      <c r="A1036" s="6">
        <v>43002</v>
      </c>
      <c r="B1036" s="6" t="s">
        <v>1603</v>
      </c>
    </row>
    <row r="1037" spans="1:2" ht="15.75" customHeight="1" x14ac:dyDescent="0.25">
      <c r="A1037" s="6">
        <v>43004</v>
      </c>
      <c r="B1037" s="6" t="s">
        <v>1604</v>
      </c>
    </row>
    <row r="1038" spans="1:2" ht="15.75" customHeight="1" x14ac:dyDescent="0.25">
      <c r="A1038" s="6">
        <v>43007</v>
      </c>
      <c r="B1038" s="6" t="s">
        <v>1605</v>
      </c>
    </row>
    <row r="1039" spans="1:2" ht="15.75" customHeight="1" x14ac:dyDescent="0.25">
      <c r="A1039" s="6">
        <v>43006</v>
      </c>
      <c r="B1039" s="6" t="s">
        <v>1606</v>
      </c>
    </row>
    <row r="1040" spans="1:2" ht="15.75" customHeight="1" x14ac:dyDescent="0.25">
      <c r="A1040" s="6">
        <v>43005</v>
      </c>
      <c r="B1040" s="6" t="s">
        <v>1607</v>
      </c>
    </row>
    <row r="1041" spans="1:2" ht="15.75" customHeight="1" x14ac:dyDescent="0.25">
      <c r="A1041" s="6">
        <v>446002</v>
      </c>
      <c r="B1041" s="6" t="s">
        <v>1608</v>
      </c>
    </row>
    <row r="1042" spans="1:2" ht="15.75" customHeight="1" x14ac:dyDescent="0.25">
      <c r="A1042" s="6">
        <v>446004</v>
      </c>
      <c r="B1042" s="6" t="s">
        <v>1609</v>
      </c>
    </row>
    <row r="1043" spans="1:2" ht="15.75" customHeight="1" x14ac:dyDescent="0.25">
      <c r="A1043" s="6">
        <v>446003</v>
      </c>
      <c r="B1043" s="6" t="s">
        <v>1610</v>
      </c>
    </row>
    <row r="1044" spans="1:2" ht="15.75" customHeight="1" x14ac:dyDescent="0.25">
      <c r="A1044" s="6">
        <v>446001</v>
      </c>
      <c r="B1044" s="6" t="s">
        <v>1611</v>
      </c>
    </row>
    <row r="1045" spans="1:2" ht="15.75" customHeight="1" x14ac:dyDescent="0.25">
      <c r="A1045" s="6">
        <v>210001</v>
      </c>
      <c r="B1045" s="6" t="s">
        <v>1612</v>
      </c>
    </row>
    <row r="1046" spans="1:2" ht="15.75" customHeight="1" x14ac:dyDescent="0.25">
      <c r="A1046" s="6">
        <v>222020</v>
      </c>
      <c r="B1046" s="6" t="s">
        <v>1612</v>
      </c>
    </row>
    <row r="1047" spans="1:2" ht="15.75" customHeight="1" x14ac:dyDescent="0.25">
      <c r="A1047" s="6">
        <v>209018</v>
      </c>
      <c r="B1047" s="6" t="s">
        <v>1613</v>
      </c>
    </row>
  </sheetData>
  <autoFilter ref="A1:B1047" xr:uid="{00000000-0009-0000-0000-000001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08"/>
  <sheetViews>
    <sheetView workbookViewId="0"/>
  </sheetViews>
  <sheetFormatPr defaultColWidth="14.42578125" defaultRowHeight="15" customHeight="1" x14ac:dyDescent="0.25"/>
  <cols>
    <col min="1" max="26" width="10.7109375" customWidth="1"/>
  </cols>
  <sheetData>
    <row r="1" spans="1:2" x14ac:dyDescent="0.25">
      <c r="A1" s="6" t="s">
        <v>1614</v>
      </c>
      <c r="B1" s="6" t="s">
        <v>1615</v>
      </c>
    </row>
    <row r="2" spans="1:2" x14ac:dyDescent="0.25">
      <c r="A2" s="6">
        <v>1001</v>
      </c>
      <c r="B2" s="6" t="s">
        <v>1120</v>
      </c>
    </row>
    <row r="3" spans="1:2" x14ac:dyDescent="0.25">
      <c r="A3" s="6">
        <v>1006</v>
      </c>
      <c r="B3" s="6" t="s">
        <v>1089</v>
      </c>
    </row>
    <row r="4" spans="1:2" x14ac:dyDescent="0.25">
      <c r="A4" s="6">
        <v>1008</v>
      </c>
      <c r="B4" s="6" t="s">
        <v>1322</v>
      </c>
    </row>
    <row r="5" spans="1:2" x14ac:dyDescent="0.25">
      <c r="A5" s="6">
        <v>1010</v>
      </c>
      <c r="B5" s="6" t="s">
        <v>954</v>
      </c>
    </row>
    <row r="6" spans="1:2" x14ac:dyDescent="0.25">
      <c r="A6" s="6">
        <v>1013</v>
      </c>
      <c r="B6" s="6" t="s">
        <v>1304</v>
      </c>
    </row>
    <row r="7" spans="1:2" x14ac:dyDescent="0.25">
      <c r="A7" s="6">
        <v>1014</v>
      </c>
      <c r="B7" s="6" t="s">
        <v>827</v>
      </c>
    </row>
    <row r="8" spans="1:2" x14ac:dyDescent="0.25">
      <c r="A8" s="6">
        <v>1015</v>
      </c>
      <c r="B8" s="6" t="s">
        <v>835</v>
      </c>
    </row>
    <row r="9" spans="1:2" x14ac:dyDescent="0.25">
      <c r="A9" s="6">
        <v>1016</v>
      </c>
      <c r="B9" s="6" t="s">
        <v>849</v>
      </c>
    </row>
    <row r="10" spans="1:2" x14ac:dyDescent="0.25">
      <c r="A10" s="6">
        <v>1017</v>
      </c>
      <c r="B10" s="6" t="s">
        <v>1450</v>
      </c>
    </row>
    <row r="11" spans="1:2" x14ac:dyDescent="0.25">
      <c r="A11" s="6">
        <v>1018</v>
      </c>
      <c r="B11" s="6" t="s">
        <v>1449</v>
      </c>
    </row>
    <row r="12" spans="1:2" x14ac:dyDescent="0.25">
      <c r="A12" s="6">
        <v>1019</v>
      </c>
      <c r="B12" s="6" t="s">
        <v>1408</v>
      </c>
    </row>
    <row r="13" spans="1:2" x14ac:dyDescent="0.25">
      <c r="A13" s="6">
        <v>1020</v>
      </c>
      <c r="B13" s="6" t="s">
        <v>846</v>
      </c>
    </row>
    <row r="14" spans="1:2" x14ac:dyDescent="0.25">
      <c r="A14" s="6">
        <v>1021</v>
      </c>
      <c r="B14" s="6" t="s">
        <v>990</v>
      </c>
    </row>
    <row r="15" spans="1:2" x14ac:dyDescent="0.25">
      <c r="A15" s="6">
        <v>1022</v>
      </c>
      <c r="B15" s="6" t="s">
        <v>847</v>
      </c>
    </row>
    <row r="16" spans="1:2" x14ac:dyDescent="0.25">
      <c r="A16" s="6">
        <v>1024</v>
      </c>
      <c r="B16" s="6" t="s">
        <v>1243</v>
      </c>
    </row>
    <row r="17" spans="1:2" x14ac:dyDescent="0.25">
      <c r="A17" s="6">
        <v>1025</v>
      </c>
      <c r="B17" s="6" t="s">
        <v>1242</v>
      </c>
    </row>
    <row r="18" spans="1:2" x14ac:dyDescent="0.25">
      <c r="A18" s="6">
        <v>1026</v>
      </c>
      <c r="B18" s="6" t="s">
        <v>1241</v>
      </c>
    </row>
    <row r="19" spans="1:2" x14ac:dyDescent="0.25">
      <c r="A19" s="6">
        <v>1027</v>
      </c>
      <c r="B19" s="6" t="s">
        <v>1254</v>
      </c>
    </row>
    <row r="20" spans="1:2" x14ac:dyDescent="0.25">
      <c r="A20" s="6">
        <v>1028</v>
      </c>
      <c r="B20" s="6" t="s">
        <v>1252</v>
      </c>
    </row>
    <row r="21" spans="1:2" ht="15.75" customHeight="1" x14ac:dyDescent="0.25">
      <c r="A21" s="6">
        <v>1029</v>
      </c>
      <c r="B21" s="6" t="s">
        <v>851</v>
      </c>
    </row>
    <row r="22" spans="1:2" ht="15.75" customHeight="1" x14ac:dyDescent="0.25">
      <c r="A22" s="6">
        <v>1033</v>
      </c>
      <c r="B22" s="6" t="s">
        <v>1244</v>
      </c>
    </row>
    <row r="23" spans="1:2" ht="15.75" customHeight="1" x14ac:dyDescent="0.25">
      <c r="A23" s="6">
        <v>1034</v>
      </c>
      <c r="B23" s="6" t="s">
        <v>1245</v>
      </c>
    </row>
    <row r="24" spans="1:2" ht="15.75" customHeight="1" x14ac:dyDescent="0.25">
      <c r="A24" s="6">
        <v>1039</v>
      </c>
      <c r="B24" s="6" t="s">
        <v>1246</v>
      </c>
    </row>
    <row r="25" spans="1:2" ht="15.75" customHeight="1" x14ac:dyDescent="0.25">
      <c r="A25" s="6">
        <v>1040</v>
      </c>
      <c r="B25" s="6" t="s">
        <v>1581</v>
      </c>
    </row>
    <row r="26" spans="1:2" ht="15.75" customHeight="1" x14ac:dyDescent="0.25">
      <c r="A26" s="6">
        <v>1043</v>
      </c>
      <c r="B26" s="6" t="s">
        <v>1406</v>
      </c>
    </row>
    <row r="27" spans="1:2" ht="15.75" customHeight="1" x14ac:dyDescent="0.25">
      <c r="A27" s="6">
        <v>1045</v>
      </c>
      <c r="B27" s="6" t="s">
        <v>1580</v>
      </c>
    </row>
    <row r="28" spans="1:2" ht="15.75" customHeight="1" x14ac:dyDescent="0.25">
      <c r="A28" s="6">
        <v>1048</v>
      </c>
      <c r="B28" s="6" t="s">
        <v>666</v>
      </c>
    </row>
    <row r="29" spans="1:2" ht="15.75" customHeight="1" x14ac:dyDescent="0.25">
      <c r="A29" s="6">
        <v>1051</v>
      </c>
      <c r="B29" s="6" t="s">
        <v>1409</v>
      </c>
    </row>
    <row r="30" spans="1:2" ht="15.75" customHeight="1" x14ac:dyDescent="0.25">
      <c r="A30" s="6">
        <v>1054</v>
      </c>
      <c r="B30" s="6" t="s">
        <v>1410</v>
      </c>
    </row>
    <row r="31" spans="1:2" ht="15.75" customHeight="1" x14ac:dyDescent="0.25">
      <c r="A31" s="6">
        <v>1070</v>
      </c>
      <c r="B31" s="6" t="s">
        <v>1305</v>
      </c>
    </row>
    <row r="32" spans="1:2" ht="15.75" customHeight="1" x14ac:dyDescent="0.25">
      <c r="A32" s="6">
        <v>1071</v>
      </c>
      <c r="B32" s="6" t="s">
        <v>1324</v>
      </c>
    </row>
    <row r="33" spans="1:2" ht="15.75" customHeight="1" x14ac:dyDescent="0.25">
      <c r="A33" s="6">
        <v>1072</v>
      </c>
      <c r="B33" s="6" t="s">
        <v>1327</v>
      </c>
    </row>
    <row r="34" spans="1:2" ht="15.75" customHeight="1" x14ac:dyDescent="0.25">
      <c r="A34" s="6">
        <v>1073</v>
      </c>
      <c r="B34" s="6" t="s">
        <v>1314</v>
      </c>
    </row>
    <row r="35" spans="1:2" ht="15.75" customHeight="1" x14ac:dyDescent="0.25">
      <c r="A35" s="6">
        <v>1074</v>
      </c>
      <c r="B35" s="6" t="s">
        <v>1315</v>
      </c>
    </row>
    <row r="36" spans="1:2" ht="15.75" customHeight="1" x14ac:dyDescent="0.25">
      <c r="A36" s="6">
        <v>1075</v>
      </c>
      <c r="B36" s="6" t="s">
        <v>1319</v>
      </c>
    </row>
    <row r="37" spans="1:2" ht="15.75" customHeight="1" x14ac:dyDescent="0.25">
      <c r="A37" s="6">
        <v>1076</v>
      </c>
      <c r="B37" s="6" t="s">
        <v>1320</v>
      </c>
    </row>
    <row r="38" spans="1:2" ht="15.75" customHeight="1" x14ac:dyDescent="0.25">
      <c r="A38" s="6">
        <v>1077</v>
      </c>
      <c r="B38" s="6" t="s">
        <v>845</v>
      </c>
    </row>
    <row r="39" spans="1:2" ht="15.75" customHeight="1" x14ac:dyDescent="0.25">
      <c r="A39" s="6">
        <v>1078</v>
      </c>
      <c r="B39" s="6" t="s">
        <v>1129</v>
      </c>
    </row>
    <row r="40" spans="1:2" ht="15.75" customHeight="1" x14ac:dyDescent="0.25">
      <c r="A40" s="6">
        <v>1079</v>
      </c>
      <c r="B40" s="6" t="s">
        <v>1139</v>
      </c>
    </row>
    <row r="41" spans="1:2" ht="15.75" customHeight="1" x14ac:dyDescent="0.25">
      <c r="A41" s="6">
        <v>1080</v>
      </c>
      <c r="B41" s="6" t="s">
        <v>1412</v>
      </c>
    </row>
    <row r="42" spans="1:2" ht="15.75" customHeight="1" x14ac:dyDescent="0.25">
      <c r="A42" s="6">
        <v>1081</v>
      </c>
      <c r="B42" s="6" t="s">
        <v>1011</v>
      </c>
    </row>
    <row r="43" spans="1:2" ht="15.75" customHeight="1" x14ac:dyDescent="0.25">
      <c r="A43" s="6">
        <v>1084</v>
      </c>
      <c r="B43" s="6" t="s">
        <v>836</v>
      </c>
    </row>
    <row r="44" spans="1:2" ht="15.75" customHeight="1" x14ac:dyDescent="0.25">
      <c r="A44" s="6">
        <v>1085</v>
      </c>
      <c r="B44" s="6" t="s">
        <v>837</v>
      </c>
    </row>
    <row r="45" spans="1:2" ht="15.75" customHeight="1" x14ac:dyDescent="0.25">
      <c r="A45" s="6">
        <v>1086</v>
      </c>
      <c r="B45" s="6" t="s">
        <v>1130</v>
      </c>
    </row>
    <row r="46" spans="1:2" ht="15.75" customHeight="1" x14ac:dyDescent="0.25">
      <c r="A46" s="6">
        <v>1087</v>
      </c>
      <c r="B46" s="6" t="s">
        <v>1140</v>
      </c>
    </row>
    <row r="47" spans="1:2" ht="15.75" customHeight="1" x14ac:dyDescent="0.25">
      <c r="A47" s="6">
        <v>1093</v>
      </c>
      <c r="B47" s="6" t="s">
        <v>1247</v>
      </c>
    </row>
    <row r="48" spans="1:2" ht="15.75" customHeight="1" x14ac:dyDescent="0.25">
      <c r="A48" s="6">
        <v>1094</v>
      </c>
      <c r="B48" s="6" t="s">
        <v>1248</v>
      </c>
    </row>
    <row r="49" spans="1:2" ht="15.75" customHeight="1" x14ac:dyDescent="0.25">
      <c r="A49" s="6">
        <v>1095</v>
      </c>
      <c r="B49" s="6" t="s">
        <v>1082</v>
      </c>
    </row>
    <row r="50" spans="1:2" ht="15.75" customHeight="1" x14ac:dyDescent="0.25">
      <c r="A50" s="6">
        <v>1096</v>
      </c>
      <c r="B50" s="6" t="s">
        <v>1086</v>
      </c>
    </row>
    <row r="51" spans="1:2" ht="15.75" customHeight="1" x14ac:dyDescent="0.25">
      <c r="A51" s="6">
        <v>1097</v>
      </c>
      <c r="B51" s="6" t="s">
        <v>1084</v>
      </c>
    </row>
    <row r="52" spans="1:2" ht="15.75" customHeight="1" x14ac:dyDescent="0.25">
      <c r="A52" s="6">
        <v>1100</v>
      </c>
      <c r="B52" s="6" t="s">
        <v>1311</v>
      </c>
    </row>
    <row r="53" spans="1:2" ht="15.75" customHeight="1" x14ac:dyDescent="0.25">
      <c r="A53" s="6">
        <v>1101</v>
      </c>
      <c r="B53" s="6" t="s">
        <v>1312</v>
      </c>
    </row>
    <row r="54" spans="1:2" ht="15.75" customHeight="1" x14ac:dyDescent="0.25">
      <c r="A54" s="6">
        <v>1102</v>
      </c>
      <c r="B54" s="6" t="s">
        <v>1313</v>
      </c>
    </row>
    <row r="55" spans="1:2" ht="15.75" customHeight="1" x14ac:dyDescent="0.25">
      <c r="A55" s="6">
        <v>1103</v>
      </c>
      <c r="B55" s="6" t="s">
        <v>1326</v>
      </c>
    </row>
    <row r="56" spans="1:2" ht="15.75" customHeight="1" x14ac:dyDescent="0.25">
      <c r="A56" s="6">
        <v>1104</v>
      </c>
      <c r="B56" s="6" t="s">
        <v>1318</v>
      </c>
    </row>
    <row r="57" spans="1:2" ht="15.75" customHeight="1" x14ac:dyDescent="0.25">
      <c r="A57" s="6">
        <v>1105</v>
      </c>
      <c r="B57" s="6" t="s">
        <v>1321</v>
      </c>
    </row>
    <row r="58" spans="1:2" ht="15.75" customHeight="1" x14ac:dyDescent="0.25">
      <c r="A58" s="6">
        <v>1106</v>
      </c>
      <c r="B58" s="6" t="s">
        <v>1239</v>
      </c>
    </row>
    <row r="59" spans="1:2" ht="15.75" customHeight="1" x14ac:dyDescent="0.25">
      <c r="A59" s="6">
        <v>1107</v>
      </c>
      <c r="B59" s="6" t="s">
        <v>834</v>
      </c>
    </row>
    <row r="60" spans="1:2" ht="15.75" customHeight="1" x14ac:dyDescent="0.25">
      <c r="A60" s="6">
        <v>1108</v>
      </c>
      <c r="B60" s="6" t="s">
        <v>1249</v>
      </c>
    </row>
    <row r="61" spans="1:2" ht="15.75" customHeight="1" x14ac:dyDescent="0.25">
      <c r="A61" s="6">
        <v>1109</v>
      </c>
      <c r="B61" s="6" t="s">
        <v>1253</v>
      </c>
    </row>
    <row r="62" spans="1:2" ht="15.75" customHeight="1" x14ac:dyDescent="0.25">
      <c r="A62" s="6">
        <v>1110</v>
      </c>
      <c r="B62" s="6" t="s">
        <v>1323</v>
      </c>
    </row>
    <row r="63" spans="1:2" ht="15.75" customHeight="1" x14ac:dyDescent="0.25">
      <c r="A63" s="6">
        <v>1111</v>
      </c>
      <c r="B63" s="6" t="s">
        <v>848</v>
      </c>
    </row>
    <row r="64" spans="1:2" ht="15.75" customHeight="1" x14ac:dyDescent="0.25">
      <c r="A64" s="6">
        <v>1112</v>
      </c>
      <c r="B64" s="6" t="s">
        <v>1405</v>
      </c>
    </row>
    <row r="65" spans="1:2" ht="15.75" customHeight="1" x14ac:dyDescent="0.25">
      <c r="A65" s="6">
        <v>1113</v>
      </c>
      <c r="B65" s="6" t="s">
        <v>1407</v>
      </c>
    </row>
    <row r="66" spans="1:2" ht="15.75" customHeight="1" x14ac:dyDescent="0.25">
      <c r="A66" s="6">
        <v>1114</v>
      </c>
      <c r="B66" s="6" t="s">
        <v>950</v>
      </c>
    </row>
    <row r="67" spans="1:2" ht="15.75" customHeight="1" x14ac:dyDescent="0.25">
      <c r="A67" s="6">
        <v>1115</v>
      </c>
      <c r="B67" s="6" t="s">
        <v>956</v>
      </c>
    </row>
    <row r="68" spans="1:2" ht="15.75" customHeight="1" x14ac:dyDescent="0.25">
      <c r="A68" s="6">
        <v>1116</v>
      </c>
      <c r="B68" s="6" t="s">
        <v>955</v>
      </c>
    </row>
    <row r="69" spans="1:2" ht="15.75" customHeight="1" x14ac:dyDescent="0.25">
      <c r="A69" s="6">
        <v>1117</v>
      </c>
      <c r="B69" s="6" t="s">
        <v>839</v>
      </c>
    </row>
    <row r="70" spans="1:2" ht="15.75" customHeight="1" x14ac:dyDescent="0.25">
      <c r="A70" s="6">
        <v>1118</v>
      </c>
      <c r="B70" s="6" t="s">
        <v>1337</v>
      </c>
    </row>
    <row r="71" spans="1:2" ht="15.75" customHeight="1" x14ac:dyDescent="0.25">
      <c r="A71" s="6">
        <v>1119</v>
      </c>
      <c r="B71" s="6" t="s">
        <v>1236</v>
      </c>
    </row>
    <row r="72" spans="1:2" ht="15.75" customHeight="1" x14ac:dyDescent="0.25">
      <c r="A72" s="6">
        <v>1120</v>
      </c>
      <c r="B72" s="6" t="s">
        <v>1237</v>
      </c>
    </row>
    <row r="73" spans="1:2" ht="15.75" customHeight="1" x14ac:dyDescent="0.25">
      <c r="A73" s="6">
        <v>1121</v>
      </c>
      <c r="B73" s="6" t="s">
        <v>1238</v>
      </c>
    </row>
    <row r="74" spans="1:2" ht="15.75" customHeight="1" x14ac:dyDescent="0.25">
      <c r="A74" s="6">
        <v>1122</v>
      </c>
      <c r="B74" s="6" t="s">
        <v>1309</v>
      </c>
    </row>
    <row r="75" spans="1:2" ht="15.75" customHeight="1" x14ac:dyDescent="0.25">
      <c r="A75" s="6">
        <v>1123</v>
      </c>
      <c r="B75" s="6" t="s">
        <v>1404</v>
      </c>
    </row>
    <row r="76" spans="1:2" ht="15.75" customHeight="1" x14ac:dyDescent="0.25">
      <c r="A76" s="6">
        <v>1124</v>
      </c>
      <c r="B76" s="6" t="s">
        <v>840</v>
      </c>
    </row>
    <row r="77" spans="1:2" ht="15.75" customHeight="1" x14ac:dyDescent="0.25">
      <c r="A77" s="6">
        <v>1125</v>
      </c>
      <c r="B77" s="6" t="s">
        <v>953</v>
      </c>
    </row>
    <row r="78" spans="1:2" ht="15.75" customHeight="1" x14ac:dyDescent="0.25">
      <c r="A78" s="6">
        <v>1126</v>
      </c>
      <c r="B78" s="6" t="s">
        <v>1341</v>
      </c>
    </row>
    <row r="79" spans="1:2" ht="15.75" customHeight="1" x14ac:dyDescent="0.25">
      <c r="A79" s="6">
        <v>1127</v>
      </c>
      <c r="B79" s="6" t="s">
        <v>1336</v>
      </c>
    </row>
    <row r="80" spans="1:2" ht="15.75" customHeight="1" x14ac:dyDescent="0.25">
      <c r="A80" s="6">
        <v>1128</v>
      </c>
      <c r="B80" s="6" t="s">
        <v>838</v>
      </c>
    </row>
    <row r="81" spans="1:2" ht="15.75" customHeight="1" x14ac:dyDescent="0.25">
      <c r="A81" s="6">
        <v>1129</v>
      </c>
      <c r="B81" s="6" t="s">
        <v>751</v>
      </c>
    </row>
    <row r="82" spans="1:2" ht="15.75" customHeight="1" x14ac:dyDescent="0.25">
      <c r="A82" s="6">
        <v>1130</v>
      </c>
      <c r="B82" s="6" t="s">
        <v>752</v>
      </c>
    </row>
    <row r="83" spans="1:2" ht="15.75" customHeight="1" x14ac:dyDescent="0.25">
      <c r="A83" s="6">
        <v>1131</v>
      </c>
      <c r="B83" s="6" t="s">
        <v>1012</v>
      </c>
    </row>
    <row r="84" spans="1:2" ht="15.75" customHeight="1" x14ac:dyDescent="0.25">
      <c r="A84" s="6">
        <v>1132</v>
      </c>
      <c r="B84" s="6" t="s">
        <v>1340</v>
      </c>
    </row>
    <row r="85" spans="1:2" ht="15.75" customHeight="1" x14ac:dyDescent="0.25">
      <c r="A85" s="6">
        <v>1133</v>
      </c>
      <c r="B85" s="6" t="s">
        <v>1335</v>
      </c>
    </row>
    <row r="86" spans="1:2" ht="15.75" customHeight="1" x14ac:dyDescent="0.25">
      <c r="A86" s="6">
        <v>1134</v>
      </c>
      <c r="B86" s="6" t="s">
        <v>1329</v>
      </c>
    </row>
    <row r="87" spans="1:2" ht="15.75" customHeight="1" x14ac:dyDescent="0.25">
      <c r="A87" s="6">
        <v>1135</v>
      </c>
      <c r="B87" s="6" t="s">
        <v>1343</v>
      </c>
    </row>
    <row r="88" spans="1:2" ht="15.75" customHeight="1" x14ac:dyDescent="0.25">
      <c r="A88" s="6">
        <v>1136</v>
      </c>
      <c r="B88" s="6" t="s">
        <v>951</v>
      </c>
    </row>
    <row r="89" spans="1:2" ht="15.75" customHeight="1" x14ac:dyDescent="0.25">
      <c r="A89" s="6">
        <v>1137</v>
      </c>
      <c r="B89" s="6" t="s">
        <v>957</v>
      </c>
    </row>
    <row r="90" spans="1:2" ht="15.75" customHeight="1" x14ac:dyDescent="0.25">
      <c r="A90" s="6">
        <v>1138</v>
      </c>
      <c r="B90" s="6" t="s">
        <v>952</v>
      </c>
    </row>
    <row r="91" spans="1:2" ht="15.75" customHeight="1" x14ac:dyDescent="0.25">
      <c r="A91" s="6">
        <v>1139</v>
      </c>
      <c r="B91" s="6" t="s">
        <v>1328</v>
      </c>
    </row>
    <row r="92" spans="1:2" ht="15.75" customHeight="1" x14ac:dyDescent="0.25">
      <c r="A92" s="6">
        <v>1140</v>
      </c>
      <c r="B92" s="6" t="s">
        <v>1330</v>
      </c>
    </row>
    <row r="93" spans="1:2" ht="15.75" customHeight="1" x14ac:dyDescent="0.25">
      <c r="A93" s="6">
        <v>1141</v>
      </c>
      <c r="B93" s="6" t="s">
        <v>828</v>
      </c>
    </row>
    <row r="94" spans="1:2" ht="15.75" customHeight="1" x14ac:dyDescent="0.25">
      <c r="A94" s="6">
        <v>1142</v>
      </c>
      <c r="B94" s="6" t="s">
        <v>831</v>
      </c>
    </row>
    <row r="95" spans="1:2" ht="15.75" customHeight="1" x14ac:dyDescent="0.25">
      <c r="A95" s="6">
        <v>1143</v>
      </c>
      <c r="B95" s="6" t="s">
        <v>1308</v>
      </c>
    </row>
    <row r="96" spans="1:2" ht="15.75" customHeight="1" x14ac:dyDescent="0.25">
      <c r="A96" s="6">
        <v>1144</v>
      </c>
      <c r="B96" s="6" t="s">
        <v>1018</v>
      </c>
    </row>
    <row r="97" spans="1:2" ht="15.75" customHeight="1" x14ac:dyDescent="0.25">
      <c r="A97" s="6">
        <v>1145</v>
      </c>
      <c r="B97" s="6" t="s">
        <v>1240</v>
      </c>
    </row>
    <row r="98" spans="1:2" ht="15.75" customHeight="1" x14ac:dyDescent="0.25">
      <c r="A98" s="6">
        <v>1146</v>
      </c>
      <c r="B98" s="6" t="s">
        <v>829</v>
      </c>
    </row>
    <row r="99" spans="1:2" ht="15.75" customHeight="1" x14ac:dyDescent="0.25">
      <c r="A99" s="6">
        <v>1147</v>
      </c>
      <c r="B99" s="6" t="s">
        <v>832</v>
      </c>
    </row>
    <row r="100" spans="1:2" ht="15.75" customHeight="1" x14ac:dyDescent="0.25">
      <c r="A100" s="6">
        <v>1148</v>
      </c>
      <c r="B100" s="6" t="s">
        <v>1316</v>
      </c>
    </row>
    <row r="101" spans="1:2" ht="15.75" customHeight="1" x14ac:dyDescent="0.25">
      <c r="A101" s="6">
        <v>1149</v>
      </c>
      <c r="B101" s="6" t="s">
        <v>1317</v>
      </c>
    </row>
    <row r="102" spans="1:2" ht="15.75" customHeight="1" x14ac:dyDescent="0.25">
      <c r="A102" s="6">
        <v>1150</v>
      </c>
      <c r="B102" s="6" t="s">
        <v>1250</v>
      </c>
    </row>
    <row r="103" spans="1:2" ht="15.75" customHeight="1" x14ac:dyDescent="0.25">
      <c r="A103" s="6">
        <v>1151</v>
      </c>
      <c r="B103" s="6" t="s">
        <v>1123</v>
      </c>
    </row>
    <row r="104" spans="1:2" ht="15.75" customHeight="1" x14ac:dyDescent="0.25">
      <c r="A104" s="6">
        <v>1152</v>
      </c>
      <c r="B104" s="6" t="s">
        <v>1122</v>
      </c>
    </row>
    <row r="105" spans="1:2" ht="15.75" customHeight="1" x14ac:dyDescent="0.25">
      <c r="A105" s="6">
        <v>1153</v>
      </c>
      <c r="B105" s="6" t="s">
        <v>1124</v>
      </c>
    </row>
    <row r="106" spans="1:2" ht="15.75" customHeight="1" x14ac:dyDescent="0.25">
      <c r="A106" s="6">
        <v>1154</v>
      </c>
      <c r="B106" s="6" t="s">
        <v>1125</v>
      </c>
    </row>
    <row r="107" spans="1:2" ht="15.75" customHeight="1" x14ac:dyDescent="0.25">
      <c r="A107" s="6">
        <v>1155</v>
      </c>
      <c r="B107" s="6" t="s">
        <v>841</v>
      </c>
    </row>
    <row r="108" spans="1:2" ht="15.75" customHeight="1" x14ac:dyDescent="0.25">
      <c r="A108" s="6">
        <v>1156</v>
      </c>
      <c r="B108" s="6" t="s">
        <v>1251</v>
      </c>
    </row>
    <row r="109" spans="1:2" ht="15.75" customHeight="1" x14ac:dyDescent="0.25">
      <c r="A109" s="6">
        <v>1157</v>
      </c>
      <c r="B109" s="6" t="s">
        <v>1147</v>
      </c>
    </row>
    <row r="110" spans="1:2" ht="15.75" customHeight="1" x14ac:dyDescent="0.25">
      <c r="A110" s="6">
        <v>1158</v>
      </c>
      <c r="B110" s="6" t="s">
        <v>1307</v>
      </c>
    </row>
    <row r="111" spans="1:2" ht="15.75" customHeight="1" x14ac:dyDescent="0.25">
      <c r="A111" s="6">
        <v>1159</v>
      </c>
      <c r="B111" s="6" t="s">
        <v>1138</v>
      </c>
    </row>
    <row r="112" spans="1:2" ht="15.75" customHeight="1" x14ac:dyDescent="0.25">
      <c r="A112" s="6">
        <v>1160</v>
      </c>
      <c r="B112" s="6" t="s">
        <v>1306</v>
      </c>
    </row>
    <row r="113" spans="1:2" ht="15.75" customHeight="1" x14ac:dyDescent="0.25">
      <c r="A113" s="6">
        <v>1161</v>
      </c>
      <c r="B113" s="6" t="s">
        <v>1146</v>
      </c>
    </row>
    <row r="114" spans="1:2" ht="15.75" customHeight="1" x14ac:dyDescent="0.25">
      <c r="A114" s="6">
        <v>1162</v>
      </c>
      <c r="B114" s="6" t="s">
        <v>1339</v>
      </c>
    </row>
    <row r="115" spans="1:2" ht="15.75" customHeight="1" x14ac:dyDescent="0.25">
      <c r="A115" s="6">
        <v>1163</v>
      </c>
      <c r="B115" s="6" t="s">
        <v>1333</v>
      </c>
    </row>
    <row r="116" spans="1:2" ht="15.75" customHeight="1" x14ac:dyDescent="0.25">
      <c r="A116" s="6">
        <v>1164</v>
      </c>
      <c r="B116" s="6" t="s">
        <v>1141</v>
      </c>
    </row>
    <row r="117" spans="1:2" ht="15.75" customHeight="1" x14ac:dyDescent="0.25">
      <c r="A117" s="6">
        <v>1165</v>
      </c>
      <c r="B117" s="6" t="s">
        <v>1131</v>
      </c>
    </row>
    <row r="118" spans="1:2" ht="15.75" customHeight="1" x14ac:dyDescent="0.25">
      <c r="A118" s="6">
        <v>1166</v>
      </c>
      <c r="B118" s="6" t="s">
        <v>1338</v>
      </c>
    </row>
    <row r="119" spans="1:2" ht="15.75" customHeight="1" x14ac:dyDescent="0.25">
      <c r="A119" s="6">
        <v>1167</v>
      </c>
      <c r="B119" s="6" t="s">
        <v>1346</v>
      </c>
    </row>
    <row r="120" spans="1:2" ht="15.75" customHeight="1" x14ac:dyDescent="0.25">
      <c r="A120" s="6">
        <v>1168</v>
      </c>
      <c r="B120" s="6" t="s">
        <v>1133</v>
      </c>
    </row>
    <row r="121" spans="1:2" ht="15.75" customHeight="1" x14ac:dyDescent="0.25">
      <c r="A121" s="6">
        <v>1169</v>
      </c>
      <c r="B121" s="6" t="s">
        <v>1142</v>
      </c>
    </row>
    <row r="122" spans="1:2" ht="15.75" customHeight="1" x14ac:dyDescent="0.25">
      <c r="A122" s="6">
        <v>1170</v>
      </c>
      <c r="B122" s="6" t="s">
        <v>989</v>
      </c>
    </row>
    <row r="123" spans="1:2" ht="15.75" customHeight="1" x14ac:dyDescent="0.25">
      <c r="A123" s="6">
        <v>1171</v>
      </c>
      <c r="B123" s="6" t="s">
        <v>1342</v>
      </c>
    </row>
    <row r="124" spans="1:2" ht="15.75" customHeight="1" x14ac:dyDescent="0.25">
      <c r="A124" s="6">
        <v>1172</v>
      </c>
      <c r="B124" s="6" t="s">
        <v>1310</v>
      </c>
    </row>
    <row r="125" spans="1:2" ht="15.75" customHeight="1" x14ac:dyDescent="0.25">
      <c r="A125" s="6">
        <v>1173</v>
      </c>
      <c r="B125" s="6" t="s">
        <v>755</v>
      </c>
    </row>
    <row r="126" spans="1:2" ht="15.75" customHeight="1" x14ac:dyDescent="0.25">
      <c r="A126" s="6">
        <v>1174</v>
      </c>
      <c r="B126" s="6" t="s">
        <v>754</v>
      </c>
    </row>
    <row r="127" spans="1:2" ht="15.75" customHeight="1" x14ac:dyDescent="0.25">
      <c r="A127" s="6">
        <v>1175</v>
      </c>
      <c r="B127" s="6" t="s">
        <v>1143</v>
      </c>
    </row>
    <row r="128" spans="1:2" ht="15.75" customHeight="1" x14ac:dyDescent="0.25">
      <c r="A128" s="6">
        <v>1176</v>
      </c>
      <c r="B128" s="6" t="s">
        <v>1121</v>
      </c>
    </row>
    <row r="129" spans="1:2" ht="15.75" customHeight="1" x14ac:dyDescent="0.25">
      <c r="A129" s="6">
        <v>1177</v>
      </c>
      <c r="B129" s="6" t="s">
        <v>1136</v>
      </c>
    </row>
    <row r="130" spans="1:2" ht="15.75" customHeight="1" x14ac:dyDescent="0.25">
      <c r="A130" s="6">
        <v>1178</v>
      </c>
      <c r="B130" s="6" t="s">
        <v>1134</v>
      </c>
    </row>
    <row r="131" spans="1:2" ht="15.75" customHeight="1" x14ac:dyDescent="0.25">
      <c r="A131" s="6">
        <v>1179</v>
      </c>
      <c r="B131" s="6" t="s">
        <v>1344</v>
      </c>
    </row>
    <row r="132" spans="1:2" ht="15.75" customHeight="1" x14ac:dyDescent="0.25">
      <c r="A132" s="6">
        <v>1180</v>
      </c>
      <c r="B132" s="6" t="s">
        <v>1334</v>
      </c>
    </row>
    <row r="133" spans="1:2" ht="15.75" customHeight="1" x14ac:dyDescent="0.25">
      <c r="A133" s="6">
        <v>1181</v>
      </c>
      <c r="B133" s="6" t="s">
        <v>1127</v>
      </c>
    </row>
    <row r="134" spans="1:2" ht="15.75" customHeight="1" x14ac:dyDescent="0.25">
      <c r="A134" s="6">
        <v>1182</v>
      </c>
      <c r="B134" s="6" t="s">
        <v>1126</v>
      </c>
    </row>
    <row r="135" spans="1:2" ht="15.75" customHeight="1" x14ac:dyDescent="0.25">
      <c r="A135" s="6">
        <v>1183</v>
      </c>
      <c r="B135" s="6" t="s">
        <v>1135</v>
      </c>
    </row>
    <row r="136" spans="1:2" ht="15.75" customHeight="1" x14ac:dyDescent="0.25">
      <c r="A136" s="6">
        <v>1184</v>
      </c>
      <c r="B136" s="6" t="s">
        <v>1144</v>
      </c>
    </row>
    <row r="137" spans="1:2" ht="15.75" customHeight="1" x14ac:dyDescent="0.25">
      <c r="A137" s="6">
        <v>1185</v>
      </c>
      <c r="B137" s="6" t="s">
        <v>1345</v>
      </c>
    </row>
    <row r="138" spans="1:2" ht="15.75" customHeight="1" x14ac:dyDescent="0.25">
      <c r="A138" s="6">
        <v>1186</v>
      </c>
      <c r="B138" s="6" t="s">
        <v>1325</v>
      </c>
    </row>
    <row r="139" spans="1:2" ht="15.75" customHeight="1" x14ac:dyDescent="0.25">
      <c r="A139" s="6">
        <v>1187</v>
      </c>
      <c r="B139" s="6" t="s">
        <v>1132</v>
      </c>
    </row>
    <row r="140" spans="1:2" ht="15.75" customHeight="1" x14ac:dyDescent="0.25">
      <c r="A140" s="6">
        <v>1188</v>
      </c>
      <c r="B140" s="6" t="s">
        <v>1332</v>
      </c>
    </row>
    <row r="141" spans="1:2" ht="15.75" customHeight="1" x14ac:dyDescent="0.25">
      <c r="A141" s="6">
        <v>1189</v>
      </c>
      <c r="B141" s="6" t="s">
        <v>1145</v>
      </c>
    </row>
    <row r="142" spans="1:2" ht="15.75" customHeight="1" x14ac:dyDescent="0.25">
      <c r="A142" s="6">
        <v>1190</v>
      </c>
      <c r="B142" s="6" t="s">
        <v>1137</v>
      </c>
    </row>
    <row r="143" spans="1:2" ht="15.75" customHeight="1" x14ac:dyDescent="0.25">
      <c r="A143" s="6">
        <v>1191</v>
      </c>
      <c r="B143" s="6" t="s">
        <v>1128</v>
      </c>
    </row>
    <row r="144" spans="1:2" ht="15.75" customHeight="1" x14ac:dyDescent="0.25">
      <c r="A144" s="6">
        <v>1192</v>
      </c>
      <c r="B144" s="6" t="s">
        <v>1331</v>
      </c>
    </row>
    <row r="145" spans="1:2" ht="15.75" customHeight="1" x14ac:dyDescent="0.25">
      <c r="A145" s="6">
        <v>1193</v>
      </c>
      <c r="B145" s="6" t="s">
        <v>1616</v>
      </c>
    </row>
    <row r="146" spans="1:2" ht="15.75" customHeight="1" x14ac:dyDescent="0.25">
      <c r="A146" s="6">
        <v>1194</v>
      </c>
      <c r="B146" s="6" t="s">
        <v>1617</v>
      </c>
    </row>
    <row r="147" spans="1:2" ht="15.75" customHeight="1" x14ac:dyDescent="0.25">
      <c r="A147" s="6">
        <v>1195</v>
      </c>
      <c r="B147" s="6" t="s">
        <v>1618</v>
      </c>
    </row>
    <row r="148" spans="1:2" ht="15.75" customHeight="1" x14ac:dyDescent="0.25">
      <c r="A148" s="6">
        <v>1196</v>
      </c>
      <c r="B148" s="6" t="s">
        <v>1619</v>
      </c>
    </row>
    <row r="149" spans="1:2" ht="15.75" customHeight="1" x14ac:dyDescent="0.25">
      <c r="A149" s="6">
        <v>1197</v>
      </c>
      <c r="B149" s="6" t="s">
        <v>1620</v>
      </c>
    </row>
    <row r="150" spans="1:2" ht="15.75" customHeight="1" x14ac:dyDescent="0.25">
      <c r="A150" s="6">
        <v>1198</v>
      </c>
      <c r="B150" s="6" t="s">
        <v>1621</v>
      </c>
    </row>
    <row r="151" spans="1:2" ht="15.75" customHeight="1" x14ac:dyDescent="0.25">
      <c r="A151" s="6">
        <v>1199</v>
      </c>
      <c r="B151" s="6" t="s">
        <v>1622</v>
      </c>
    </row>
    <row r="152" spans="1:2" ht="15.75" customHeight="1" x14ac:dyDescent="0.25">
      <c r="A152" s="6">
        <v>1200</v>
      </c>
      <c r="B152" s="6" t="s">
        <v>1623</v>
      </c>
    </row>
    <row r="153" spans="1:2" ht="15.75" customHeight="1" x14ac:dyDescent="0.25">
      <c r="A153" s="6">
        <v>1201</v>
      </c>
      <c r="B153" s="6" t="s">
        <v>1624</v>
      </c>
    </row>
    <row r="154" spans="1:2" ht="15.75" customHeight="1" x14ac:dyDescent="0.25">
      <c r="A154" s="6">
        <v>101001</v>
      </c>
      <c r="B154" s="6" t="s">
        <v>667</v>
      </c>
    </row>
    <row r="155" spans="1:2" ht="15.75" customHeight="1" x14ac:dyDescent="0.25">
      <c r="A155" s="6">
        <v>101004</v>
      </c>
      <c r="B155" s="6" t="s">
        <v>24</v>
      </c>
    </row>
    <row r="156" spans="1:2" ht="15.75" customHeight="1" x14ac:dyDescent="0.25">
      <c r="A156" s="6">
        <v>101006</v>
      </c>
      <c r="B156" s="6" t="s">
        <v>240</v>
      </c>
    </row>
    <row r="157" spans="1:2" ht="15.75" customHeight="1" x14ac:dyDescent="0.25">
      <c r="A157" s="6">
        <v>101012</v>
      </c>
      <c r="B157" s="6" t="s">
        <v>669</v>
      </c>
    </row>
    <row r="158" spans="1:2" ht="15.75" customHeight="1" x14ac:dyDescent="0.25">
      <c r="A158" s="6">
        <v>101018</v>
      </c>
      <c r="B158" s="6" t="s">
        <v>1411</v>
      </c>
    </row>
    <row r="159" spans="1:2" ht="15.75" customHeight="1" x14ac:dyDescent="0.25">
      <c r="A159" s="6">
        <v>4001</v>
      </c>
      <c r="B159" s="6" t="s">
        <v>1083</v>
      </c>
    </row>
    <row r="160" spans="1:2" ht="15.75" customHeight="1" x14ac:dyDescent="0.25">
      <c r="A160" s="6">
        <v>4002</v>
      </c>
      <c r="B160" s="6" t="s">
        <v>1087</v>
      </c>
    </row>
    <row r="161" spans="1:2" ht="15.75" customHeight="1" x14ac:dyDescent="0.25">
      <c r="A161" s="6">
        <v>4003</v>
      </c>
      <c r="B161" s="6" t="s">
        <v>1088</v>
      </c>
    </row>
    <row r="162" spans="1:2" ht="15.75" customHeight="1" x14ac:dyDescent="0.25">
      <c r="A162" s="6">
        <v>4004</v>
      </c>
      <c r="B162" s="6" t="s">
        <v>1085</v>
      </c>
    </row>
    <row r="163" spans="1:2" ht="15.75" customHeight="1" x14ac:dyDescent="0.25">
      <c r="A163" s="6">
        <v>206001</v>
      </c>
      <c r="B163" s="6" t="s">
        <v>1548</v>
      </c>
    </row>
    <row r="164" spans="1:2" ht="15.75" customHeight="1" x14ac:dyDescent="0.25">
      <c r="A164" s="6">
        <v>206002</v>
      </c>
      <c r="B164" s="6" t="s">
        <v>1547</v>
      </c>
    </row>
    <row r="165" spans="1:2" ht="15.75" customHeight="1" x14ac:dyDescent="0.25">
      <c r="A165" s="6">
        <v>206003</v>
      </c>
      <c r="B165" s="6" t="s">
        <v>1108</v>
      </c>
    </row>
    <row r="166" spans="1:2" ht="15.75" customHeight="1" x14ac:dyDescent="0.25">
      <c r="A166" s="6">
        <v>206004</v>
      </c>
      <c r="B166" s="6" t="s">
        <v>963</v>
      </c>
    </row>
    <row r="167" spans="1:2" ht="15.75" customHeight="1" x14ac:dyDescent="0.25">
      <c r="A167" s="6">
        <v>206005</v>
      </c>
      <c r="B167" s="6" t="s">
        <v>1213</v>
      </c>
    </row>
    <row r="168" spans="1:2" ht="15.75" customHeight="1" x14ac:dyDescent="0.25">
      <c r="A168" s="6">
        <v>206006</v>
      </c>
      <c r="B168" s="6" t="s">
        <v>1041</v>
      </c>
    </row>
    <row r="169" spans="1:2" ht="15.75" customHeight="1" x14ac:dyDescent="0.25">
      <c r="A169" s="6">
        <v>206007</v>
      </c>
      <c r="B169" s="6" t="s">
        <v>1228</v>
      </c>
    </row>
    <row r="170" spans="1:2" ht="15.75" customHeight="1" x14ac:dyDescent="0.25">
      <c r="A170" s="6">
        <v>7001</v>
      </c>
      <c r="B170" s="6" t="s">
        <v>1585</v>
      </c>
    </row>
    <row r="171" spans="1:2" ht="15.75" customHeight="1" x14ac:dyDescent="0.25">
      <c r="A171" s="6">
        <v>7002</v>
      </c>
      <c r="B171" s="6" t="s">
        <v>1583</v>
      </c>
    </row>
    <row r="172" spans="1:2" ht="15.75" customHeight="1" x14ac:dyDescent="0.25">
      <c r="A172" s="6">
        <v>7003</v>
      </c>
      <c r="B172" s="6" t="s">
        <v>1584</v>
      </c>
    </row>
    <row r="173" spans="1:2" ht="15.75" customHeight="1" x14ac:dyDescent="0.25">
      <c r="A173" s="6">
        <v>7004</v>
      </c>
      <c r="B173" s="6" t="s">
        <v>1561</v>
      </c>
    </row>
    <row r="174" spans="1:2" ht="15.75" customHeight="1" x14ac:dyDescent="0.25">
      <c r="A174" s="6">
        <v>7005</v>
      </c>
      <c r="B174" s="6" t="s">
        <v>1558</v>
      </c>
    </row>
    <row r="175" spans="1:2" ht="15.75" customHeight="1" x14ac:dyDescent="0.25">
      <c r="A175" s="6">
        <v>7006</v>
      </c>
      <c r="B175" s="6" t="s">
        <v>1559</v>
      </c>
    </row>
    <row r="176" spans="1:2" ht="15.75" customHeight="1" x14ac:dyDescent="0.25">
      <c r="A176" s="6">
        <v>7007</v>
      </c>
      <c r="B176" s="6" t="s">
        <v>1560</v>
      </c>
    </row>
    <row r="177" spans="1:2" ht="15.75" customHeight="1" x14ac:dyDescent="0.25">
      <c r="A177" s="6">
        <v>7008</v>
      </c>
      <c r="B177" s="6" t="s">
        <v>1225</v>
      </c>
    </row>
    <row r="178" spans="1:2" ht="15.75" customHeight="1" x14ac:dyDescent="0.25">
      <c r="A178" s="6">
        <v>7009</v>
      </c>
      <c r="B178" s="6" t="s">
        <v>1222</v>
      </c>
    </row>
    <row r="179" spans="1:2" ht="15.75" customHeight="1" x14ac:dyDescent="0.25">
      <c r="A179" s="6">
        <v>7010</v>
      </c>
      <c r="B179" s="6" t="s">
        <v>1223</v>
      </c>
    </row>
    <row r="180" spans="1:2" ht="15.75" customHeight="1" x14ac:dyDescent="0.25">
      <c r="A180" s="6">
        <v>7011</v>
      </c>
      <c r="B180" s="6" t="s">
        <v>1224</v>
      </c>
    </row>
    <row r="181" spans="1:2" ht="15.75" customHeight="1" x14ac:dyDescent="0.25">
      <c r="A181" s="6">
        <v>208001</v>
      </c>
      <c r="B181" s="6" t="s">
        <v>1461</v>
      </c>
    </row>
    <row r="182" spans="1:2" ht="15.75" customHeight="1" x14ac:dyDescent="0.25">
      <c r="A182" s="6">
        <v>208002</v>
      </c>
      <c r="B182" s="6" t="s">
        <v>695</v>
      </c>
    </row>
    <row r="183" spans="1:2" ht="15.75" customHeight="1" x14ac:dyDescent="0.25">
      <c r="A183" s="6">
        <v>208003</v>
      </c>
      <c r="B183" s="6" t="s">
        <v>622</v>
      </c>
    </row>
    <row r="184" spans="1:2" ht="15.75" customHeight="1" x14ac:dyDescent="0.25">
      <c r="A184" s="6">
        <v>208004</v>
      </c>
      <c r="B184" s="6" t="s">
        <v>1293</v>
      </c>
    </row>
    <row r="185" spans="1:2" ht="15.75" customHeight="1" x14ac:dyDescent="0.25">
      <c r="A185" s="6">
        <v>208005</v>
      </c>
      <c r="B185" s="6" t="s">
        <v>1232</v>
      </c>
    </row>
    <row r="186" spans="1:2" ht="15.75" customHeight="1" x14ac:dyDescent="0.25">
      <c r="A186" s="6">
        <v>208006</v>
      </c>
      <c r="B186" s="6" t="s">
        <v>1039</v>
      </c>
    </row>
    <row r="187" spans="1:2" ht="15.75" customHeight="1" x14ac:dyDescent="0.25">
      <c r="A187" s="6">
        <v>208007</v>
      </c>
      <c r="B187" s="6" t="s">
        <v>1569</v>
      </c>
    </row>
    <row r="188" spans="1:2" ht="15.75" customHeight="1" x14ac:dyDescent="0.25">
      <c r="A188" s="6">
        <v>208008</v>
      </c>
      <c r="B188" s="6" t="s">
        <v>1577</v>
      </c>
    </row>
    <row r="189" spans="1:2" ht="15.75" customHeight="1" x14ac:dyDescent="0.25">
      <c r="A189" s="6">
        <v>208009</v>
      </c>
      <c r="B189" s="6" t="s">
        <v>853</v>
      </c>
    </row>
    <row r="190" spans="1:2" ht="15.75" customHeight="1" x14ac:dyDescent="0.25">
      <c r="A190" s="6">
        <v>208010</v>
      </c>
      <c r="B190" s="6" t="s">
        <v>699</v>
      </c>
    </row>
    <row r="191" spans="1:2" ht="15.75" customHeight="1" x14ac:dyDescent="0.25">
      <c r="A191" s="6">
        <v>208011</v>
      </c>
      <c r="B191" s="6" t="s">
        <v>720</v>
      </c>
    </row>
    <row r="192" spans="1:2" ht="15.75" customHeight="1" x14ac:dyDescent="0.25">
      <c r="A192" s="6">
        <v>208012</v>
      </c>
      <c r="B192" s="6" t="s">
        <v>863</v>
      </c>
    </row>
    <row r="193" spans="1:2" ht="15.75" customHeight="1" x14ac:dyDescent="0.25">
      <c r="A193" s="6">
        <v>208013</v>
      </c>
      <c r="B193" s="6" t="s">
        <v>1022</v>
      </c>
    </row>
    <row r="194" spans="1:2" ht="15.75" customHeight="1" x14ac:dyDescent="0.25">
      <c r="A194" s="6">
        <v>208014</v>
      </c>
      <c r="B194" s="6" t="s">
        <v>1033</v>
      </c>
    </row>
    <row r="195" spans="1:2" ht="15.75" customHeight="1" x14ac:dyDescent="0.25">
      <c r="A195" s="6">
        <v>208015</v>
      </c>
      <c r="B195" s="6" t="s">
        <v>1226</v>
      </c>
    </row>
    <row r="196" spans="1:2" ht="15.75" customHeight="1" x14ac:dyDescent="0.25">
      <c r="A196" s="6">
        <v>208016</v>
      </c>
      <c r="B196" s="6" t="s">
        <v>1295</v>
      </c>
    </row>
    <row r="197" spans="1:2" ht="15.75" customHeight="1" x14ac:dyDescent="0.25">
      <c r="A197" s="6">
        <v>208017</v>
      </c>
      <c r="B197" s="6" t="s">
        <v>1549</v>
      </c>
    </row>
    <row r="198" spans="1:2" ht="15.75" customHeight="1" x14ac:dyDescent="0.25">
      <c r="A198" s="6">
        <v>208018</v>
      </c>
      <c r="B198" s="6" t="s">
        <v>1054</v>
      </c>
    </row>
    <row r="199" spans="1:2" ht="15.75" customHeight="1" x14ac:dyDescent="0.25">
      <c r="A199" s="6">
        <v>208019</v>
      </c>
      <c r="B199" s="6" t="s">
        <v>685</v>
      </c>
    </row>
    <row r="200" spans="1:2" ht="15.75" customHeight="1" x14ac:dyDescent="0.25">
      <c r="A200" s="6">
        <v>208020</v>
      </c>
      <c r="B200" s="6" t="s">
        <v>1460</v>
      </c>
    </row>
    <row r="201" spans="1:2" ht="15.75" customHeight="1" x14ac:dyDescent="0.25">
      <c r="A201" s="6">
        <v>208021</v>
      </c>
      <c r="B201" s="6" t="s">
        <v>1178</v>
      </c>
    </row>
    <row r="202" spans="1:2" ht="15.75" customHeight="1" x14ac:dyDescent="0.25">
      <c r="A202" s="6">
        <v>208022</v>
      </c>
      <c r="B202" s="6" t="s">
        <v>1358</v>
      </c>
    </row>
    <row r="203" spans="1:2" ht="15.75" customHeight="1" x14ac:dyDescent="0.25">
      <c r="A203" s="6">
        <v>208023</v>
      </c>
      <c r="B203" s="6" t="s">
        <v>967</v>
      </c>
    </row>
    <row r="204" spans="1:2" ht="15.75" customHeight="1" x14ac:dyDescent="0.25">
      <c r="A204" s="6">
        <v>208024</v>
      </c>
      <c r="B204" s="6" t="s">
        <v>968</v>
      </c>
    </row>
    <row r="205" spans="1:2" ht="15.75" customHeight="1" x14ac:dyDescent="0.25">
      <c r="A205" s="6">
        <v>208025</v>
      </c>
      <c r="B205" s="6" t="s">
        <v>1545</v>
      </c>
    </row>
    <row r="206" spans="1:2" ht="15.75" customHeight="1" x14ac:dyDescent="0.25">
      <c r="A206" s="6">
        <v>208026</v>
      </c>
      <c r="B206" s="6" t="s">
        <v>1349</v>
      </c>
    </row>
    <row r="207" spans="1:2" ht="15.75" customHeight="1" x14ac:dyDescent="0.25">
      <c r="A207" s="6">
        <v>208027</v>
      </c>
      <c r="B207" s="6" t="s">
        <v>942</v>
      </c>
    </row>
    <row r="208" spans="1:2" ht="15.75" customHeight="1" x14ac:dyDescent="0.25">
      <c r="A208" s="6">
        <v>408028</v>
      </c>
      <c r="B208" s="6" t="s">
        <v>1442</v>
      </c>
    </row>
    <row r="209" spans="1:2" ht="15.75" customHeight="1" x14ac:dyDescent="0.25">
      <c r="A209" s="6">
        <v>408029</v>
      </c>
      <c r="B209" s="6" t="s">
        <v>1256</v>
      </c>
    </row>
    <row r="210" spans="1:2" ht="15.75" customHeight="1" x14ac:dyDescent="0.25">
      <c r="A210" s="6">
        <v>408030</v>
      </c>
      <c r="B210" s="6" t="s">
        <v>1162</v>
      </c>
    </row>
    <row r="211" spans="1:2" ht="15.75" customHeight="1" x14ac:dyDescent="0.25">
      <c r="A211" s="6">
        <v>408031</v>
      </c>
      <c r="B211" s="6" t="s">
        <v>1032</v>
      </c>
    </row>
    <row r="212" spans="1:2" ht="15.75" customHeight="1" x14ac:dyDescent="0.25">
      <c r="A212" s="6">
        <v>408032</v>
      </c>
      <c r="B212" s="6" t="s">
        <v>1023</v>
      </c>
    </row>
    <row r="213" spans="1:2" ht="15.75" customHeight="1" x14ac:dyDescent="0.25">
      <c r="A213" s="6">
        <v>408033</v>
      </c>
      <c r="B213" s="6" t="s">
        <v>1163</v>
      </c>
    </row>
    <row r="214" spans="1:2" ht="15.75" customHeight="1" x14ac:dyDescent="0.25">
      <c r="A214" s="6">
        <v>408034</v>
      </c>
      <c r="B214" s="6" t="s">
        <v>742</v>
      </c>
    </row>
    <row r="215" spans="1:2" ht="15.75" customHeight="1" x14ac:dyDescent="0.25">
      <c r="A215" s="6">
        <v>408035</v>
      </c>
      <c r="B215" s="6" t="s">
        <v>1026</v>
      </c>
    </row>
    <row r="216" spans="1:2" ht="15.75" customHeight="1" x14ac:dyDescent="0.25">
      <c r="A216" s="6">
        <v>408036</v>
      </c>
      <c r="B216" s="6" t="s">
        <v>854</v>
      </c>
    </row>
    <row r="217" spans="1:2" ht="15.75" customHeight="1" x14ac:dyDescent="0.25">
      <c r="A217" s="6">
        <v>408037</v>
      </c>
      <c r="B217" s="6" t="s">
        <v>1095</v>
      </c>
    </row>
    <row r="218" spans="1:2" ht="15.75" customHeight="1" x14ac:dyDescent="0.25">
      <c r="A218" s="6">
        <v>408038</v>
      </c>
      <c r="B218" s="6" t="s">
        <v>1093</v>
      </c>
    </row>
    <row r="219" spans="1:2" ht="15.75" customHeight="1" x14ac:dyDescent="0.25">
      <c r="A219" s="6">
        <v>408039</v>
      </c>
      <c r="B219" s="6" t="s">
        <v>115</v>
      </c>
    </row>
    <row r="220" spans="1:2" ht="15.75" customHeight="1" x14ac:dyDescent="0.25">
      <c r="A220" s="6">
        <v>209007</v>
      </c>
      <c r="B220" s="6" t="s">
        <v>1157</v>
      </c>
    </row>
    <row r="221" spans="1:2" ht="15.75" customHeight="1" x14ac:dyDescent="0.25">
      <c r="A221" s="6">
        <v>209011</v>
      </c>
      <c r="B221" s="6" t="s">
        <v>1040</v>
      </c>
    </row>
    <row r="222" spans="1:2" ht="15.75" customHeight="1" x14ac:dyDescent="0.25">
      <c r="A222" s="6">
        <v>209015</v>
      </c>
      <c r="B222" s="6" t="s">
        <v>914</v>
      </c>
    </row>
    <row r="223" spans="1:2" ht="15.75" customHeight="1" x14ac:dyDescent="0.25">
      <c r="A223" s="6">
        <v>209016</v>
      </c>
      <c r="B223" s="6" t="s">
        <v>1019</v>
      </c>
    </row>
    <row r="224" spans="1:2" ht="15.75" customHeight="1" x14ac:dyDescent="0.25">
      <c r="A224" s="6">
        <v>209017</v>
      </c>
      <c r="B224" s="6" t="s">
        <v>1379</v>
      </c>
    </row>
    <row r="225" spans="1:2" ht="15.75" customHeight="1" x14ac:dyDescent="0.25">
      <c r="A225" s="6">
        <v>209018</v>
      </c>
      <c r="B225" s="6" t="s">
        <v>1613</v>
      </c>
    </row>
    <row r="226" spans="1:2" ht="15.75" customHeight="1" x14ac:dyDescent="0.25">
      <c r="A226" s="6">
        <v>209020</v>
      </c>
      <c r="B226" s="6" t="s">
        <v>750</v>
      </c>
    </row>
    <row r="227" spans="1:2" ht="15.75" customHeight="1" x14ac:dyDescent="0.25">
      <c r="A227" s="6">
        <v>209021</v>
      </c>
      <c r="B227" s="6" t="s">
        <v>1092</v>
      </c>
    </row>
    <row r="228" spans="1:2" ht="15.75" customHeight="1" x14ac:dyDescent="0.25">
      <c r="A228" s="6">
        <v>209023</v>
      </c>
      <c r="B228" s="6" t="s">
        <v>1544</v>
      </c>
    </row>
    <row r="229" spans="1:2" ht="15.75" customHeight="1" x14ac:dyDescent="0.25">
      <c r="A229" s="6">
        <v>209027</v>
      </c>
      <c r="B229" s="6" t="s">
        <v>698</v>
      </c>
    </row>
    <row r="230" spans="1:2" ht="15.75" customHeight="1" x14ac:dyDescent="0.25">
      <c r="A230" s="6">
        <v>209030</v>
      </c>
      <c r="B230" s="6" t="s">
        <v>1582</v>
      </c>
    </row>
    <row r="231" spans="1:2" ht="15.75" customHeight="1" x14ac:dyDescent="0.25">
      <c r="A231" s="6">
        <v>309001</v>
      </c>
      <c r="B231" s="6" t="s">
        <v>1532</v>
      </c>
    </row>
    <row r="232" spans="1:2" ht="15.75" customHeight="1" x14ac:dyDescent="0.25">
      <c r="A232" s="6">
        <v>309002</v>
      </c>
      <c r="B232" s="6" t="s">
        <v>914</v>
      </c>
    </row>
    <row r="233" spans="1:2" ht="15.75" customHeight="1" x14ac:dyDescent="0.25">
      <c r="A233" s="6">
        <v>309003</v>
      </c>
      <c r="B233" s="6" t="s">
        <v>756</v>
      </c>
    </row>
    <row r="234" spans="1:2" ht="15.75" customHeight="1" x14ac:dyDescent="0.25">
      <c r="A234" s="6">
        <v>309004</v>
      </c>
      <c r="B234" s="6" t="s">
        <v>1357</v>
      </c>
    </row>
    <row r="235" spans="1:2" ht="15.75" customHeight="1" x14ac:dyDescent="0.25">
      <c r="A235" s="6">
        <v>309005</v>
      </c>
      <c r="B235" s="6" t="s">
        <v>1074</v>
      </c>
    </row>
    <row r="236" spans="1:2" ht="15.75" customHeight="1" x14ac:dyDescent="0.25">
      <c r="A236" s="6">
        <v>409001</v>
      </c>
      <c r="B236" s="6" t="s">
        <v>805</v>
      </c>
    </row>
    <row r="237" spans="1:2" ht="15.75" customHeight="1" x14ac:dyDescent="0.25">
      <c r="A237" s="6">
        <v>409005</v>
      </c>
      <c r="B237" s="6" t="s">
        <v>1066</v>
      </c>
    </row>
    <row r="238" spans="1:2" ht="15.75" customHeight="1" x14ac:dyDescent="0.25">
      <c r="A238" s="6">
        <v>409006</v>
      </c>
      <c r="B238" s="6" t="s">
        <v>1107</v>
      </c>
    </row>
    <row r="239" spans="1:2" ht="15.75" customHeight="1" x14ac:dyDescent="0.25">
      <c r="A239" s="6">
        <v>409009</v>
      </c>
      <c r="B239" s="6" t="s">
        <v>1602</v>
      </c>
    </row>
    <row r="240" spans="1:2" ht="15.75" customHeight="1" x14ac:dyDescent="0.25">
      <c r="A240" s="6">
        <v>409010</v>
      </c>
      <c r="B240" s="6" t="s">
        <v>1094</v>
      </c>
    </row>
    <row r="241" spans="1:2" ht="15.75" customHeight="1" x14ac:dyDescent="0.25">
      <c r="A241" s="6">
        <v>409011</v>
      </c>
      <c r="B241" s="6" t="s">
        <v>1105</v>
      </c>
    </row>
    <row r="242" spans="1:2" ht="15.75" customHeight="1" x14ac:dyDescent="0.25">
      <c r="A242" s="6">
        <v>409012</v>
      </c>
      <c r="B242" s="6" t="s">
        <v>1526</v>
      </c>
    </row>
    <row r="243" spans="1:2" ht="15.75" customHeight="1" x14ac:dyDescent="0.25">
      <c r="A243" s="6">
        <v>409013</v>
      </c>
      <c r="B243" s="6" t="s">
        <v>826</v>
      </c>
    </row>
    <row r="244" spans="1:2" ht="15.75" customHeight="1" x14ac:dyDescent="0.25">
      <c r="A244" s="6">
        <v>409014</v>
      </c>
      <c r="B244" s="6" t="s">
        <v>1378</v>
      </c>
    </row>
    <row r="245" spans="1:2" ht="15.75" customHeight="1" x14ac:dyDescent="0.25">
      <c r="A245" s="6">
        <v>409016</v>
      </c>
      <c r="B245" s="6" t="s">
        <v>971</v>
      </c>
    </row>
    <row r="246" spans="1:2" ht="15.75" customHeight="1" x14ac:dyDescent="0.25">
      <c r="A246" s="6">
        <v>409018</v>
      </c>
      <c r="B246" s="6" t="s">
        <v>870</v>
      </c>
    </row>
    <row r="247" spans="1:2" ht="15.75" customHeight="1" x14ac:dyDescent="0.25">
      <c r="A247" s="6">
        <v>409019</v>
      </c>
      <c r="B247" s="6" t="s">
        <v>944</v>
      </c>
    </row>
    <row r="248" spans="1:2" ht="15.75" customHeight="1" x14ac:dyDescent="0.25">
      <c r="A248" s="6">
        <v>409020</v>
      </c>
      <c r="B248" s="6" t="s">
        <v>997</v>
      </c>
    </row>
    <row r="249" spans="1:2" ht="15.75" customHeight="1" x14ac:dyDescent="0.25">
      <c r="A249" s="6">
        <v>409021</v>
      </c>
      <c r="B249" s="6" t="s">
        <v>1046</v>
      </c>
    </row>
    <row r="250" spans="1:2" ht="15.75" customHeight="1" x14ac:dyDescent="0.25">
      <c r="A250" s="6">
        <v>409022</v>
      </c>
      <c r="B250" s="6" t="s">
        <v>1097</v>
      </c>
    </row>
    <row r="251" spans="1:2" ht="15.75" customHeight="1" x14ac:dyDescent="0.25">
      <c r="A251" s="6">
        <v>409023</v>
      </c>
      <c r="B251" s="6" t="s">
        <v>1260</v>
      </c>
    </row>
    <row r="252" spans="1:2" ht="15.75" customHeight="1" x14ac:dyDescent="0.25">
      <c r="A252" s="6">
        <v>409024</v>
      </c>
      <c r="B252" s="6" t="s">
        <v>1546</v>
      </c>
    </row>
    <row r="253" spans="1:2" ht="15.75" customHeight="1" x14ac:dyDescent="0.25">
      <c r="A253" s="6">
        <v>409025</v>
      </c>
      <c r="B253" s="6" t="s">
        <v>1100</v>
      </c>
    </row>
    <row r="254" spans="1:2" ht="15.75" customHeight="1" x14ac:dyDescent="0.25">
      <c r="A254" s="6">
        <v>409026</v>
      </c>
      <c r="B254" s="6" t="s">
        <v>1441</v>
      </c>
    </row>
    <row r="255" spans="1:2" ht="15.75" customHeight="1" x14ac:dyDescent="0.25">
      <c r="A255" s="6">
        <v>210001</v>
      </c>
      <c r="B255" s="6" t="s">
        <v>1612</v>
      </c>
    </row>
    <row r="256" spans="1:2" ht="15.75" customHeight="1" x14ac:dyDescent="0.25">
      <c r="A256" s="6">
        <v>210002</v>
      </c>
      <c r="B256" s="6" t="s">
        <v>1280</v>
      </c>
    </row>
    <row r="257" spans="1:2" ht="15.75" customHeight="1" x14ac:dyDescent="0.25">
      <c r="A257" s="6">
        <v>210003</v>
      </c>
      <c r="B257" s="6" t="s">
        <v>1281</v>
      </c>
    </row>
    <row r="258" spans="1:2" ht="15.75" customHeight="1" x14ac:dyDescent="0.25">
      <c r="A258" s="6">
        <v>210004</v>
      </c>
      <c r="B258" s="6" t="s">
        <v>1282</v>
      </c>
    </row>
    <row r="259" spans="1:2" ht="15.75" customHeight="1" x14ac:dyDescent="0.25">
      <c r="A259" s="6">
        <v>210005</v>
      </c>
      <c r="B259" s="6" t="s">
        <v>1283</v>
      </c>
    </row>
    <row r="260" spans="1:2" ht="15.75" customHeight="1" x14ac:dyDescent="0.25">
      <c r="A260" s="6">
        <v>210006</v>
      </c>
      <c r="B260" s="6" t="s">
        <v>1284</v>
      </c>
    </row>
    <row r="261" spans="1:2" ht="15.75" customHeight="1" x14ac:dyDescent="0.25">
      <c r="A261" s="6">
        <v>210007</v>
      </c>
      <c r="B261" s="6" t="s">
        <v>1285</v>
      </c>
    </row>
    <row r="262" spans="1:2" ht="15.75" customHeight="1" x14ac:dyDescent="0.25">
      <c r="A262" s="6">
        <v>210008</v>
      </c>
      <c r="B262" s="6" t="s">
        <v>1286</v>
      </c>
    </row>
    <row r="263" spans="1:2" ht="15.75" customHeight="1" x14ac:dyDescent="0.25">
      <c r="A263" s="6">
        <v>210009</v>
      </c>
      <c r="B263" s="6" t="s">
        <v>1287</v>
      </c>
    </row>
    <row r="264" spans="1:2" ht="15.75" customHeight="1" x14ac:dyDescent="0.25">
      <c r="A264" s="6">
        <v>210010</v>
      </c>
      <c r="B264" s="6" t="s">
        <v>1288</v>
      </c>
    </row>
    <row r="265" spans="1:2" ht="15.75" customHeight="1" x14ac:dyDescent="0.25">
      <c r="A265" s="6">
        <v>210011</v>
      </c>
      <c r="B265" s="6" t="s">
        <v>1289</v>
      </c>
    </row>
    <row r="266" spans="1:2" ht="15.75" customHeight="1" x14ac:dyDescent="0.25">
      <c r="A266" s="6">
        <v>210012</v>
      </c>
      <c r="B266" s="6" t="s">
        <v>1290</v>
      </c>
    </row>
    <row r="267" spans="1:2" ht="15.75" customHeight="1" x14ac:dyDescent="0.25">
      <c r="A267" s="6">
        <v>210013</v>
      </c>
      <c r="B267" s="6" t="s">
        <v>970</v>
      </c>
    </row>
    <row r="268" spans="1:2" ht="15.75" customHeight="1" x14ac:dyDescent="0.25">
      <c r="A268" s="6">
        <v>210014</v>
      </c>
      <c r="B268" s="6" t="s">
        <v>1556</v>
      </c>
    </row>
    <row r="269" spans="1:2" ht="15.75" customHeight="1" x14ac:dyDescent="0.25">
      <c r="A269" s="6">
        <v>210015</v>
      </c>
      <c r="B269" s="6" t="s">
        <v>869</v>
      </c>
    </row>
    <row r="270" spans="1:2" ht="15.75" customHeight="1" x14ac:dyDescent="0.25">
      <c r="A270" s="6">
        <v>210016</v>
      </c>
      <c r="B270" s="6" t="s">
        <v>1347</v>
      </c>
    </row>
    <row r="271" spans="1:2" ht="15.75" customHeight="1" x14ac:dyDescent="0.25">
      <c r="A271" s="6">
        <v>210017</v>
      </c>
      <c r="B271" s="6" t="s">
        <v>1374</v>
      </c>
    </row>
    <row r="272" spans="1:2" ht="15.75" customHeight="1" x14ac:dyDescent="0.25">
      <c r="A272" s="6">
        <v>210018</v>
      </c>
      <c r="B272" s="6" t="s">
        <v>978</v>
      </c>
    </row>
    <row r="273" spans="1:2" ht="15.75" customHeight="1" x14ac:dyDescent="0.25">
      <c r="A273" s="6">
        <v>210019</v>
      </c>
      <c r="B273" s="6" t="s">
        <v>966</v>
      </c>
    </row>
    <row r="274" spans="1:2" ht="15.75" customHeight="1" x14ac:dyDescent="0.25">
      <c r="A274" s="6">
        <v>210020</v>
      </c>
      <c r="B274" s="6" t="s">
        <v>1578</v>
      </c>
    </row>
    <row r="275" spans="1:2" ht="15.75" customHeight="1" x14ac:dyDescent="0.25">
      <c r="A275" s="6">
        <v>210021</v>
      </c>
      <c r="B275" s="6" t="s">
        <v>864</v>
      </c>
    </row>
    <row r="276" spans="1:2" ht="15.75" customHeight="1" x14ac:dyDescent="0.25">
      <c r="A276" s="6">
        <v>210022</v>
      </c>
      <c r="B276" s="6" t="s">
        <v>867</v>
      </c>
    </row>
    <row r="277" spans="1:2" ht="15.75" customHeight="1" x14ac:dyDescent="0.25">
      <c r="A277" s="6">
        <v>210023</v>
      </c>
      <c r="B277" s="6" t="s">
        <v>1052</v>
      </c>
    </row>
    <row r="278" spans="1:2" ht="15.75" customHeight="1" x14ac:dyDescent="0.25">
      <c r="A278" s="6">
        <v>210024</v>
      </c>
      <c r="B278" s="6" t="s">
        <v>1358</v>
      </c>
    </row>
    <row r="279" spans="1:2" ht="15.75" customHeight="1" x14ac:dyDescent="0.25">
      <c r="A279" s="6">
        <v>210025</v>
      </c>
      <c r="B279" s="6" t="s">
        <v>866</v>
      </c>
    </row>
    <row r="280" spans="1:2" ht="15.75" customHeight="1" x14ac:dyDescent="0.25">
      <c r="A280" s="6">
        <v>211001</v>
      </c>
      <c r="B280" s="6" t="s">
        <v>1349</v>
      </c>
    </row>
    <row r="281" spans="1:2" ht="15.75" customHeight="1" x14ac:dyDescent="0.25">
      <c r="A281" s="6">
        <v>211002</v>
      </c>
      <c r="B281" s="6" t="s">
        <v>697</v>
      </c>
    </row>
    <row r="282" spans="1:2" ht="15.75" customHeight="1" x14ac:dyDescent="0.25">
      <c r="A282" s="6">
        <v>211003</v>
      </c>
      <c r="B282" s="6" t="s">
        <v>1005</v>
      </c>
    </row>
    <row r="283" spans="1:2" ht="15.75" customHeight="1" x14ac:dyDescent="0.25">
      <c r="A283" s="6">
        <v>211004</v>
      </c>
      <c r="B283" s="6" t="s">
        <v>1350</v>
      </c>
    </row>
    <row r="284" spans="1:2" ht="15.75" customHeight="1" x14ac:dyDescent="0.25">
      <c r="A284" s="6">
        <v>211005</v>
      </c>
      <c r="B284" s="6" t="s">
        <v>1053</v>
      </c>
    </row>
    <row r="285" spans="1:2" ht="15.75" customHeight="1" x14ac:dyDescent="0.25">
      <c r="A285" s="6">
        <v>311001</v>
      </c>
      <c r="B285" s="6" t="s">
        <v>673</v>
      </c>
    </row>
    <row r="286" spans="1:2" ht="15.75" customHeight="1" x14ac:dyDescent="0.25">
      <c r="A286" s="6">
        <v>212001</v>
      </c>
      <c r="B286" s="6" t="s">
        <v>1231</v>
      </c>
    </row>
    <row r="287" spans="1:2" ht="15.75" customHeight="1" x14ac:dyDescent="0.25">
      <c r="A287" s="6">
        <v>212002</v>
      </c>
      <c r="B287" s="6" t="s">
        <v>910</v>
      </c>
    </row>
    <row r="288" spans="1:2" ht="15.75" customHeight="1" x14ac:dyDescent="0.25">
      <c r="A288" s="6">
        <v>212003</v>
      </c>
      <c r="B288" s="6" t="s">
        <v>856</v>
      </c>
    </row>
    <row r="289" spans="1:2" ht="15.75" customHeight="1" x14ac:dyDescent="0.25">
      <c r="A289" s="6">
        <v>212004</v>
      </c>
      <c r="B289" s="6" t="s">
        <v>1257</v>
      </c>
    </row>
    <row r="290" spans="1:2" ht="15.75" customHeight="1" x14ac:dyDescent="0.25">
      <c r="A290" s="6">
        <v>212005</v>
      </c>
      <c r="B290" s="6" t="s">
        <v>1294</v>
      </c>
    </row>
    <row r="291" spans="1:2" ht="15.75" customHeight="1" x14ac:dyDescent="0.25">
      <c r="A291" s="6">
        <v>212006</v>
      </c>
      <c r="B291" s="6" t="s">
        <v>991</v>
      </c>
    </row>
    <row r="292" spans="1:2" ht="15.75" customHeight="1" x14ac:dyDescent="0.25">
      <c r="A292" s="6">
        <v>212007</v>
      </c>
      <c r="B292" s="6" t="s">
        <v>865</v>
      </c>
    </row>
    <row r="293" spans="1:2" ht="15.75" customHeight="1" x14ac:dyDescent="0.25">
      <c r="A293" s="6">
        <v>212008</v>
      </c>
      <c r="B293" s="6" t="s">
        <v>947</v>
      </c>
    </row>
    <row r="294" spans="1:2" ht="15.75" customHeight="1" x14ac:dyDescent="0.25">
      <c r="A294" s="6">
        <v>212009</v>
      </c>
      <c r="B294" s="6" t="s">
        <v>904</v>
      </c>
    </row>
    <row r="295" spans="1:2" ht="15.75" customHeight="1" x14ac:dyDescent="0.25">
      <c r="A295" s="6">
        <v>212010</v>
      </c>
      <c r="B295" s="6" t="s">
        <v>945</v>
      </c>
    </row>
    <row r="296" spans="1:2" ht="15.75" customHeight="1" x14ac:dyDescent="0.25">
      <c r="A296" s="6">
        <v>212011</v>
      </c>
      <c r="B296" s="6" t="s">
        <v>1020</v>
      </c>
    </row>
    <row r="297" spans="1:2" ht="15.75" customHeight="1" x14ac:dyDescent="0.25">
      <c r="A297" s="6">
        <v>212012</v>
      </c>
      <c r="B297" s="6" t="s">
        <v>1296</v>
      </c>
    </row>
    <row r="298" spans="1:2" ht="15.75" customHeight="1" x14ac:dyDescent="0.25">
      <c r="A298" s="6">
        <v>212013</v>
      </c>
      <c r="B298" s="6" t="s">
        <v>1261</v>
      </c>
    </row>
    <row r="299" spans="1:2" ht="15.75" customHeight="1" x14ac:dyDescent="0.25">
      <c r="A299" s="6">
        <v>412001</v>
      </c>
      <c r="B299" s="6" t="s">
        <v>1231</v>
      </c>
    </row>
    <row r="300" spans="1:2" ht="15.75" customHeight="1" x14ac:dyDescent="0.25">
      <c r="A300" s="6">
        <v>314013</v>
      </c>
      <c r="B300" s="6" t="s">
        <v>1153</v>
      </c>
    </row>
    <row r="301" spans="1:2" ht="15.75" customHeight="1" x14ac:dyDescent="0.25">
      <c r="A301" s="6">
        <v>314014</v>
      </c>
      <c r="B301" s="6" t="s">
        <v>1154</v>
      </c>
    </row>
    <row r="302" spans="1:2" ht="15.75" customHeight="1" x14ac:dyDescent="0.25">
      <c r="A302" s="6">
        <v>314015</v>
      </c>
      <c r="B302" s="6" t="s">
        <v>1156</v>
      </c>
    </row>
    <row r="303" spans="1:2" ht="15.75" customHeight="1" x14ac:dyDescent="0.25">
      <c r="A303" s="6">
        <v>314016</v>
      </c>
      <c r="B303" s="6" t="s">
        <v>1155</v>
      </c>
    </row>
    <row r="304" spans="1:2" ht="15.75" customHeight="1" x14ac:dyDescent="0.25">
      <c r="A304" s="6">
        <v>314017</v>
      </c>
      <c r="B304" s="6" t="s">
        <v>1152</v>
      </c>
    </row>
    <row r="305" spans="1:2" ht="15.75" customHeight="1" x14ac:dyDescent="0.25">
      <c r="A305" s="6">
        <v>314041</v>
      </c>
      <c r="B305" s="6" t="s">
        <v>1151</v>
      </c>
    </row>
    <row r="306" spans="1:2" ht="15.75" customHeight="1" x14ac:dyDescent="0.25">
      <c r="A306" s="6">
        <v>215001</v>
      </c>
      <c r="B306" s="6" t="s">
        <v>1098</v>
      </c>
    </row>
    <row r="307" spans="1:2" ht="15.75" customHeight="1" x14ac:dyDescent="0.25">
      <c r="A307" s="6">
        <v>216001</v>
      </c>
      <c r="B307" s="6" t="s">
        <v>1234</v>
      </c>
    </row>
    <row r="308" spans="1:2" ht="15.75" customHeight="1" x14ac:dyDescent="0.25">
      <c r="A308" s="6">
        <v>216002</v>
      </c>
      <c r="B308" s="6" t="s">
        <v>1235</v>
      </c>
    </row>
    <row r="309" spans="1:2" ht="15.75" customHeight="1" x14ac:dyDescent="0.25">
      <c r="A309" s="6">
        <v>216003</v>
      </c>
      <c r="B309" s="6" t="s">
        <v>1233</v>
      </c>
    </row>
    <row r="310" spans="1:2" ht="15.75" customHeight="1" x14ac:dyDescent="0.25">
      <c r="A310" s="6">
        <v>216004</v>
      </c>
      <c r="B310" s="6" t="s">
        <v>905</v>
      </c>
    </row>
    <row r="311" spans="1:2" ht="15.75" customHeight="1" x14ac:dyDescent="0.25">
      <c r="A311" s="6">
        <v>216005</v>
      </c>
      <c r="B311" s="6" t="s">
        <v>1025</v>
      </c>
    </row>
    <row r="312" spans="1:2" ht="15.75" customHeight="1" x14ac:dyDescent="0.25">
      <c r="A312" s="6">
        <v>216006</v>
      </c>
      <c r="B312" s="6" t="s">
        <v>1115</v>
      </c>
    </row>
    <row r="313" spans="1:2" ht="15.75" customHeight="1" x14ac:dyDescent="0.25">
      <c r="A313" s="6">
        <v>216007</v>
      </c>
      <c r="B313" s="6" t="s">
        <v>1059</v>
      </c>
    </row>
    <row r="314" spans="1:2" ht="15.75" customHeight="1" x14ac:dyDescent="0.25">
      <c r="A314" s="6">
        <v>216008</v>
      </c>
      <c r="B314" s="6" t="s">
        <v>972</v>
      </c>
    </row>
    <row r="315" spans="1:2" ht="15.75" customHeight="1" x14ac:dyDescent="0.25">
      <c r="A315" s="6">
        <v>216009</v>
      </c>
      <c r="B315" s="6" t="s">
        <v>1292</v>
      </c>
    </row>
    <row r="316" spans="1:2" ht="15.75" customHeight="1" x14ac:dyDescent="0.25">
      <c r="A316" s="6">
        <v>216010</v>
      </c>
      <c r="B316" s="6" t="s">
        <v>1291</v>
      </c>
    </row>
    <row r="317" spans="1:2" ht="15.75" customHeight="1" x14ac:dyDescent="0.25">
      <c r="A317" s="6">
        <v>216011</v>
      </c>
      <c r="B317" s="6" t="s">
        <v>1302</v>
      </c>
    </row>
    <row r="318" spans="1:2" ht="15.75" customHeight="1" x14ac:dyDescent="0.25">
      <c r="A318" s="6">
        <v>216012</v>
      </c>
      <c r="B318" s="6" t="s">
        <v>1303</v>
      </c>
    </row>
    <row r="319" spans="1:2" ht="15.75" customHeight="1" x14ac:dyDescent="0.25">
      <c r="A319" s="6">
        <v>216013</v>
      </c>
      <c r="B319" s="6" t="s">
        <v>1531</v>
      </c>
    </row>
    <row r="320" spans="1:2" ht="15.75" customHeight="1" x14ac:dyDescent="0.25">
      <c r="A320" s="6">
        <v>216014</v>
      </c>
      <c r="B320" s="6" t="s">
        <v>1586</v>
      </c>
    </row>
    <row r="321" spans="1:2" ht="15.75" customHeight="1" x14ac:dyDescent="0.25">
      <c r="A321" s="6">
        <v>216015</v>
      </c>
      <c r="B321" s="6" t="s">
        <v>1599</v>
      </c>
    </row>
    <row r="322" spans="1:2" ht="15.75" customHeight="1" x14ac:dyDescent="0.25">
      <c r="A322" s="6">
        <v>216016</v>
      </c>
      <c r="B322" s="6" t="s">
        <v>1598</v>
      </c>
    </row>
    <row r="323" spans="1:2" ht="15.75" customHeight="1" x14ac:dyDescent="0.25">
      <c r="A323" s="6">
        <v>216017</v>
      </c>
      <c r="B323" s="6" t="s">
        <v>1017</v>
      </c>
    </row>
    <row r="324" spans="1:2" ht="15.75" customHeight="1" x14ac:dyDescent="0.25">
      <c r="A324" s="6">
        <v>216018</v>
      </c>
      <c r="B324" s="6" t="s">
        <v>1016</v>
      </c>
    </row>
    <row r="325" spans="1:2" ht="15.75" customHeight="1" x14ac:dyDescent="0.25">
      <c r="A325" s="6">
        <v>216019</v>
      </c>
      <c r="B325" s="6" t="s">
        <v>1229</v>
      </c>
    </row>
    <row r="326" spans="1:2" ht="15.75" customHeight="1" x14ac:dyDescent="0.25">
      <c r="A326" s="6">
        <v>216020</v>
      </c>
      <c r="B326" s="6" t="s">
        <v>1596</v>
      </c>
    </row>
    <row r="327" spans="1:2" ht="15.75" customHeight="1" x14ac:dyDescent="0.25">
      <c r="A327" s="6">
        <v>216021</v>
      </c>
      <c r="B327" s="6" t="s">
        <v>1597</v>
      </c>
    </row>
    <row r="328" spans="1:2" ht="15.75" customHeight="1" x14ac:dyDescent="0.25">
      <c r="A328" s="6">
        <v>316001</v>
      </c>
      <c r="B328" s="6" t="s">
        <v>103</v>
      </c>
    </row>
    <row r="329" spans="1:2" ht="15.75" customHeight="1" x14ac:dyDescent="0.25">
      <c r="A329" s="6">
        <v>316002</v>
      </c>
      <c r="B329" s="6" t="s">
        <v>1562</v>
      </c>
    </row>
    <row r="330" spans="1:2" ht="15.75" customHeight="1" x14ac:dyDescent="0.25">
      <c r="A330" s="6">
        <v>316003</v>
      </c>
      <c r="B330" s="6" t="s">
        <v>1589</v>
      </c>
    </row>
    <row r="331" spans="1:2" ht="15.75" customHeight="1" x14ac:dyDescent="0.25">
      <c r="A331" s="6">
        <v>316004</v>
      </c>
      <c r="B331" s="6" t="s">
        <v>1297</v>
      </c>
    </row>
    <row r="332" spans="1:2" ht="15.75" customHeight="1" x14ac:dyDescent="0.25">
      <c r="A332" s="6">
        <v>316005</v>
      </c>
      <c r="B332" s="6" t="s">
        <v>1024</v>
      </c>
    </row>
    <row r="333" spans="1:2" ht="15.75" customHeight="1" x14ac:dyDescent="0.25">
      <c r="A333" s="6">
        <v>217001</v>
      </c>
      <c r="B333" s="6" t="s">
        <v>946</v>
      </c>
    </row>
    <row r="334" spans="1:2" ht="15.75" customHeight="1" x14ac:dyDescent="0.25">
      <c r="A334" s="6">
        <v>217002</v>
      </c>
      <c r="B334" s="6" t="s">
        <v>1227</v>
      </c>
    </row>
    <row r="335" spans="1:2" ht="15.75" customHeight="1" x14ac:dyDescent="0.25">
      <c r="A335" s="6">
        <v>218001</v>
      </c>
      <c r="B335" s="6" t="s">
        <v>668</v>
      </c>
    </row>
    <row r="336" spans="1:2" ht="15.75" customHeight="1" x14ac:dyDescent="0.25">
      <c r="A336" s="6">
        <v>219001</v>
      </c>
      <c r="B336" s="6" t="s">
        <v>943</v>
      </c>
    </row>
    <row r="337" spans="1:2" ht="15.75" customHeight="1" x14ac:dyDescent="0.25">
      <c r="A337" s="6">
        <v>219002</v>
      </c>
      <c r="B337" s="6" t="s">
        <v>852</v>
      </c>
    </row>
    <row r="338" spans="1:2" ht="15.75" customHeight="1" x14ac:dyDescent="0.25">
      <c r="A338" s="6">
        <v>220001</v>
      </c>
      <c r="B338" s="6" t="s">
        <v>753</v>
      </c>
    </row>
    <row r="339" spans="1:2" ht="15.75" customHeight="1" x14ac:dyDescent="0.25">
      <c r="A339" s="6">
        <v>220002</v>
      </c>
      <c r="B339" s="6" t="s">
        <v>810</v>
      </c>
    </row>
    <row r="340" spans="1:2" ht="15.75" customHeight="1" x14ac:dyDescent="0.25">
      <c r="A340" s="6">
        <v>220003</v>
      </c>
      <c r="B340" s="6" t="s">
        <v>115</v>
      </c>
    </row>
    <row r="341" spans="1:2" ht="15.75" customHeight="1" x14ac:dyDescent="0.25">
      <c r="A341" s="6">
        <v>220004</v>
      </c>
      <c r="B341" s="6" t="s">
        <v>909</v>
      </c>
    </row>
    <row r="342" spans="1:2" ht="15.75" customHeight="1" x14ac:dyDescent="0.25">
      <c r="A342" s="6">
        <v>220005</v>
      </c>
      <c r="B342" s="6" t="s">
        <v>941</v>
      </c>
    </row>
    <row r="343" spans="1:2" ht="15.75" customHeight="1" x14ac:dyDescent="0.25">
      <c r="A343" s="6">
        <v>220006</v>
      </c>
      <c r="B343" s="6" t="s">
        <v>996</v>
      </c>
    </row>
    <row r="344" spans="1:2" ht="15.75" customHeight="1" x14ac:dyDescent="0.25">
      <c r="A344" s="6">
        <v>220007</v>
      </c>
      <c r="B344" s="6" t="s">
        <v>998</v>
      </c>
    </row>
    <row r="345" spans="1:2" ht="15.75" customHeight="1" x14ac:dyDescent="0.25">
      <c r="A345" s="6">
        <v>220008</v>
      </c>
      <c r="B345" s="6" t="s">
        <v>624</v>
      </c>
    </row>
    <row r="346" spans="1:2" ht="15.75" customHeight="1" x14ac:dyDescent="0.25">
      <c r="A346" s="6">
        <v>220009</v>
      </c>
      <c r="B346" s="6" t="s">
        <v>1040</v>
      </c>
    </row>
    <row r="347" spans="1:2" ht="15.75" customHeight="1" x14ac:dyDescent="0.25">
      <c r="A347" s="6">
        <v>220010</v>
      </c>
      <c r="B347" s="6" t="s">
        <v>1067</v>
      </c>
    </row>
    <row r="348" spans="1:2" ht="15.75" customHeight="1" x14ac:dyDescent="0.25">
      <c r="A348" s="6">
        <v>220011</v>
      </c>
      <c r="B348" s="6" t="s">
        <v>1065</v>
      </c>
    </row>
    <row r="349" spans="1:2" ht="15.75" customHeight="1" x14ac:dyDescent="0.25">
      <c r="A349" s="6">
        <v>220012</v>
      </c>
      <c r="B349" s="6" t="s">
        <v>1099</v>
      </c>
    </row>
    <row r="350" spans="1:2" ht="15.75" customHeight="1" x14ac:dyDescent="0.25">
      <c r="A350" s="6">
        <v>220013</v>
      </c>
      <c r="B350" s="6" t="s">
        <v>1255</v>
      </c>
    </row>
    <row r="351" spans="1:2" ht="15.75" customHeight="1" x14ac:dyDescent="0.25">
      <c r="A351" s="6">
        <v>220014</v>
      </c>
      <c r="B351" s="6" t="s">
        <v>1351</v>
      </c>
    </row>
    <row r="352" spans="1:2" ht="15.75" customHeight="1" x14ac:dyDescent="0.25">
      <c r="A352" s="6">
        <v>220015</v>
      </c>
      <c r="B352" s="6" t="s">
        <v>1369</v>
      </c>
    </row>
    <row r="353" spans="1:2" ht="15.75" customHeight="1" x14ac:dyDescent="0.25">
      <c r="A353" s="6">
        <v>220016</v>
      </c>
      <c r="B353" s="6" t="s">
        <v>1380</v>
      </c>
    </row>
    <row r="354" spans="1:2" ht="15.75" customHeight="1" x14ac:dyDescent="0.25">
      <c r="A354" s="6">
        <v>220017</v>
      </c>
      <c r="B354" s="6" t="s">
        <v>1397</v>
      </c>
    </row>
    <row r="355" spans="1:2" ht="15.75" customHeight="1" x14ac:dyDescent="0.25">
      <c r="A355" s="6">
        <v>220018</v>
      </c>
      <c r="B355" s="6" t="s">
        <v>1402</v>
      </c>
    </row>
    <row r="356" spans="1:2" ht="15.75" customHeight="1" x14ac:dyDescent="0.25">
      <c r="A356" s="6">
        <v>220019</v>
      </c>
      <c r="B356" s="6" t="s">
        <v>1403</v>
      </c>
    </row>
    <row r="357" spans="1:2" ht="15.75" customHeight="1" x14ac:dyDescent="0.25">
      <c r="A357" s="6">
        <v>220020</v>
      </c>
      <c r="B357" s="6" t="s">
        <v>1413</v>
      </c>
    </row>
    <row r="358" spans="1:2" ht="15.75" customHeight="1" x14ac:dyDescent="0.25">
      <c r="A358" s="6">
        <v>220021</v>
      </c>
      <c r="B358" s="6" t="s">
        <v>1414</v>
      </c>
    </row>
    <row r="359" spans="1:2" ht="15.75" customHeight="1" x14ac:dyDescent="0.25">
      <c r="A359" s="6">
        <v>220022</v>
      </c>
      <c r="B359" s="6" t="s">
        <v>1440</v>
      </c>
    </row>
    <row r="360" spans="1:2" ht="15.75" customHeight="1" x14ac:dyDescent="0.25">
      <c r="A360" s="6">
        <v>220023</v>
      </c>
      <c r="B360" s="6" t="s">
        <v>1459</v>
      </c>
    </row>
    <row r="361" spans="1:2" ht="15.75" customHeight="1" x14ac:dyDescent="0.25">
      <c r="A361" s="6">
        <v>220024</v>
      </c>
      <c r="B361" s="6" t="s">
        <v>1458</v>
      </c>
    </row>
    <row r="362" spans="1:2" ht="15.75" customHeight="1" x14ac:dyDescent="0.25">
      <c r="A362" s="6">
        <v>220025</v>
      </c>
      <c r="B362" s="6" t="s">
        <v>1457</v>
      </c>
    </row>
    <row r="363" spans="1:2" ht="15.75" customHeight="1" x14ac:dyDescent="0.25">
      <c r="A363" s="6">
        <v>220026</v>
      </c>
      <c r="B363" s="6" t="s">
        <v>1554</v>
      </c>
    </row>
    <row r="364" spans="1:2" ht="15.75" customHeight="1" x14ac:dyDescent="0.25">
      <c r="A364" s="6">
        <v>220027</v>
      </c>
      <c r="B364" s="6" t="s">
        <v>1575</v>
      </c>
    </row>
    <row r="365" spans="1:2" ht="15.75" customHeight="1" x14ac:dyDescent="0.25">
      <c r="A365" s="6">
        <v>220028</v>
      </c>
      <c r="B365" s="6" t="s">
        <v>1576</v>
      </c>
    </row>
    <row r="366" spans="1:2" ht="15.75" customHeight="1" x14ac:dyDescent="0.25">
      <c r="A366" s="6">
        <v>220029</v>
      </c>
      <c r="B366" s="6" t="s">
        <v>1230</v>
      </c>
    </row>
    <row r="367" spans="1:2" ht="15.75" customHeight="1" x14ac:dyDescent="0.25">
      <c r="A367" s="6">
        <v>220030</v>
      </c>
      <c r="B367" s="6" t="s">
        <v>902</v>
      </c>
    </row>
    <row r="368" spans="1:2" ht="15.75" customHeight="1" x14ac:dyDescent="0.25">
      <c r="A368" s="6">
        <v>220031</v>
      </c>
      <c r="B368" s="6" t="s">
        <v>1381</v>
      </c>
    </row>
    <row r="369" spans="1:2" ht="15.75" customHeight="1" x14ac:dyDescent="0.25">
      <c r="A369" s="6">
        <v>220032</v>
      </c>
      <c r="B369" s="6" t="s">
        <v>1021</v>
      </c>
    </row>
    <row r="370" spans="1:2" ht="15.75" customHeight="1" x14ac:dyDescent="0.25">
      <c r="A370" s="6">
        <v>220033</v>
      </c>
      <c r="B370" s="6" t="s">
        <v>719</v>
      </c>
    </row>
    <row r="371" spans="1:2" ht="15.75" customHeight="1" x14ac:dyDescent="0.25">
      <c r="A371" s="6">
        <v>220034</v>
      </c>
      <c r="B371" s="6" t="s">
        <v>1555</v>
      </c>
    </row>
    <row r="372" spans="1:2" ht="15.75" customHeight="1" x14ac:dyDescent="0.25">
      <c r="A372" s="6">
        <v>220035</v>
      </c>
      <c r="B372" s="6" t="s">
        <v>962</v>
      </c>
    </row>
    <row r="373" spans="1:2" ht="15.75" customHeight="1" x14ac:dyDescent="0.25">
      <c r="A373" s="6">
        <v>220036</v>
      </c>
      <c r="B373" s="6" t="s">
        <v>1538</v>
      </c>
    </row>
    <row r="374" spans="1:2" ht="15.75" customHeight="1" x14ac:dyDescent="0.25">
      <c r="A374" s="6">
        <v>220037</v>
      </c>
      <c r="B374" s="6" t="s">
        <v>1447</v>
      </c>
    </row>
    <row r="375" spans="1:2" ht="15.75" customHeight="1" x14ac:dyDescent="0.25">
      <c r="A375" s="6">
        <v>220038</v>
      </c>
      <c r="B375" s="6" t="s">
        <v>1096</v>
      </c>
    </row>
    <row r="376" spans="1:2" ht="15.75" customHeight="1" x14ac:dyDescent="0.25">
      <c r="A376" s="6">
        <v>220039</v>
      </c>
      <c r="B376" s="6" t="s">
        <v>422</v>
      </c>
    </row>
    <row r="377" spans="1:2" ht="15.75" customHeight="1" x14ac:dyDescent="0.25">
      <c r="A377" s="6">
        <v>21001</v>
      </c>
      <c r="B377" s="6" t="s">
        <v>422</v>
      </c>
    </row>
    <row r="378" spans="1:2" ht="15.75" customHeight="1" x14ac:dyDescent="0.25">
      <c r="A378" s="6">
        <v>21002</v>
      </c>
      <c r="B378" s="6" t="s">
        <v>1440</v>
      </c>
    </row>
    <row r="379" spans="1:2" ht="15.75" customHeight="1" x14ac:dyDescent="0.25">
      <c r="A379" s="6">
        <v>21003</v>
      </c>
      <c r="B379" s="6" t="s">
        <v>115</v>
      </c>
    </row>
    <row r="380" spans="1:2" ht="15.75" customHeight="1" x14ac:dyDescent="0.25">
      <c r="A380" s="6">
        <v>21004</v>
      </c>
      <c r="B380" s="6" t="s">
        <v>1040</v>
      </c>
    </row>
    <row r="381" spans="1:2" ht="15.75" customHeight="1" x14ac:dyDescent="0.25">
      <c r="A381" s="6">
        <v>121005</v>
      </c>
      <c r="B381" s="6" t="s">
        <v>1040</v>
      </c>
    </row>
    <row r="382" spans="1:2" ht="15.75" customHeight="1" x14ac:dyDescent="0.25">
      <c r="A382" s="6">
        <v>121006</v>
      </c>
      <c r="B382" s="6" t="s">
        <v>1574</v>
      </c>
    </row>
    <row r="383" spans="1:2" ht="15.75" customHeight="1" x14ac:dyDescent="0.25">
      <c r="A383" s="6">
        <v>221007</v>
      </c>
      <c r="B383" s="6" t="s">
        <v>1380</v>
      </c>
    </row>
    <row r="384" spans="1:2" ht="15.75" customHeight="1" x14ac:dyDescent="0.25">
      <c r="A384" s="6">
        <v>222001</v>
      </c>
      <c r="B384" s="6" t="s">
        <v>1269</v>
      </c>
    </row>
    <row r="385" spans="1:2" ht="15.75" customHeight="1" x14ac:dyDescent="0.25">
      <c r="A385" s="6">
        <v>222002</v>
      </c>
      <c r="B385" s="6" t="s">
        <v>1270</v>
      </c>
    </row>
    <row r="386" spans="1:2" ht="15.75" customHeight="1" x14ac:dyDescent="0.25">
      <c r="A386" s="6">
        <v>222003</v>
      </c>
      <c r="B386" s="6" t="s">
        <v>1271</v>
      </c>
    </row>
    <row r="387" spans="1:2" ht="15.75" customHeight="1" x14ac:dyDescent="0.25">
      <c r="A387" s="6">
        <v>222004</v>
      </c>
      <c r="B387" s="6" t="s">
        <v>1272</v>
      </c>
    </row>
    <row r="388" spans="1:2" ht="15.75" customHeight="1" x14ac:dyDescent="0.25">
      <c r="A388" s="6">
        <v>222005</v>
      </c>
      <c r="B388" s="6" t="s">
        <v>1273</v>
      </c>
    </row>
    <row r="389" spans="1:2" ht="15.75" customHeight="1" x14ac:dyDescent="0.25">
      <c r="A389" s="6">
        <v>222006</v>
      </c>
      <c r="B389" s="6" t="s">
        <v>1274</v>
      </c>
    </row>
    <row r="390" spans="1:2" ht="15.75" customHeight="1" x14ac:dyDescent="0.25">
      <c r="A390" s="6">
        <v>222007</v>
      </c>
      <c r="B390" s="6" t="s">
        <v>1275</v>
      </c>
    </row>
    <row r="391" spans="1:2" ht="15.75" customHeight="1" x14ac:dyDescent="0.25">
      <c r="A391" s="6">
        <v>222008</v>
      </c>
      <c r="B391" s="6" t="s">
        <v>1276</v>
      </c>
    </row>
    <row r="392" spans="1:2" ht="15.75" customHeight="1" x14ac:dyDescent="0.25">
      <c r="A392" s="6">
        <v>222009</v>
      </c>
      <c r="B392" s="6" t="s">
        <v>1277</v>
      </c>
    </row>
    <row r="393" spans="1:2" ht="15.75" customHeight="1" x14ac:dyDescent="0.25">
      <c r="A393" s="6">
        <v>222010</v>
      </c>
      <c r="B393" s="6" t="s">
        <v>1278</v>
      </c>
    </row>
    <row r="394" spans="1:2" ht="15.75" customHeight="1" x14ac:dyDescent="0.25">
      <c r="A394" s="6">
        <v>222011</v>
      </c>
      <c r="B394" s="6" t="s">
        <v>969</v>
      </c>
    </row>
    <row r="395" spans="1:2" ht="15.75" customHeight="1" x14ac:dyDescent="0.25">
      <c r="A395" s="6">
        <v>222012</v>
      </c>
      <c r="B395" s="6" t="s">
        <v>1556</v>
      </c>
    </row>
    <row r="396" spans="1:2" ht="15.75" customHeight="1" x14ac:dyDescent="0.25">
      <c r="A396" s="6">
        <v>222013</v>
      </c>
      <c r="B396" s="6" t="s">
        <v>868</v>
      </c>
    </row>
    <row r="397" spans="1:2" ht="15.75" customHeight="1" x14ac:dyDescent="0.25">
      <c r="A397" s="6">
        <v>222014</v>
      </c>
      <c r="B397" s="6" t="s">
        <v>1347</v>
      </c>
    </row>
    <row r="398" spans="1:2" ht="15.75" customHeight="1" x14ac:dyDescent="0.25">
      <c r="A398" s="6">
        <v>222015</v>
      </c>
      <c r="B398" s="6" t="s">
        <v>966</v>
      </c>
    </row>
    <row r="399" spans="1:2" ht="15.75" customHeight="1" x14ac:dyDescent="0.25">
      <c r="A399" s="6">
        <v>222016</v>
      </c>
      <c r="B399" s="6" t="s">
        <v>1578</v>
      </c>
    </row>
    <row r="400" spans="1:2" ht="15.75" customHeight="1" x14ac:dyDescent="0.25">
      <c r="A400" s="6">
        <v>222017</v>
      </c>
      <c r="B400" s="6" t="s">
        <v>864</v>
      </c>
    </row>
    <row r="401" spans="1:2" ht="15.75" customHeight="1" x14ac:dyDescent="0.25">
      <c r="A401" s="6">
        <v>222018</v>
      </c>
      <c r="B401" s="6" t="s">
        <v>1052</v>
      </c>
    </row>
    <row r="402" spans="1:2" ht="15.75" customHeight="1" x14ac:dyDescent="0.25">
      <c r="A402" s="6">
        <v>222019</v>
      </c>
      <c r="B402" s="6" t="s">
        <v>1358</v>
      </c>
    </row>
    <row r="403" spans="1:2" ht="15.75" customHeight="1" x14ac:dyDescent="0.25">
      <c r="A403" s="6">
        <v>222020</v>
      </c>
      <c r="B403" s="6" t="s">
        <v>1612</v>
      </c>
    </row>
    <row r="404" spans="1:2" ht="15.75" customHeight="1" x14ac:dyDescent="0.25">
      <c r="A404" s="6">
        <v>222021</v>
      </c>
      <c r="B404" s="6" t="s">
        <v>867</v>
      </c>
    </row>
    <row r="405" spans="1:2" ht="15.75" customHeight="1" x14ac:dyDescent="0.25">
      <c r="A405" s="6">
        <v>222022</v>
      </c>
      <c r="B405" s="6" t="s">
        <v>1375</v>
      </c>
    </row>
    <row r="406" spans="1:2" ht="15.75" customHeight="1" x14ac:dyDescent="0.25">
      <c r="A406" s="6">
        <v>222023</v>
      </c>
      <c r="B406" s="6" t="s">
        <v>866</v>
      </c>
    </row>
    <row r="407" spans="1:2" ht="15.75" customHeight="1" x14ac:dyDescent="0.25">
      <c r="A407" s="6">
        <v>223001</v>
      </c>
      <c r="B407" s="6" t="s">
        <v>1037</v>
      </c>
    </row>
    <row r="408" spans="1:2" ht="15.75" customHeight="1" x14ac:dyDescent="0.25">
      <c r="A408" s="6">
        <v>223002</v>
      </c>
      <c r="B408" s="6" t="s">
        <v>1034</v>
      </c>
    </row>
    <row r="409" spans="1:2" ht="15.75" customHeight="1" x14ac:dyDescent="0.25">
      <c r="A409" s="6">
        <v>223003</v>
      </c>
      <c r="B409" s="6" t="s">
        <v>1035</v>
      </c>
    </row>
    <row r="410" spans="1:2" ht="15.75" customHeight="1" x14ac:dyDescent="0.25">
      <c r="A410" s="6">
        <v>223004</v>
      </c>
      <c r="B410" s="6" t="s">
        <v>1036</v>
      </c>
    </row>
    <row r="411" spans="1:2" ht="15.75" customHeight="1" x14ac:dyDescent="0.25">
      <c r="A411" s="6">
        <v>223005</v>
      </c>
      <c r="B411" s="6" t="s">
        <v>1038</v>
      </c>
    </row>
    <row r="412" spans="1:2" ht="15.75" customHeight="1" x14ac:dyDescent="0.25">
      <c r="A412" s="6">
        <v>224001</v>
      </c>
      <c r="B412" s="6" t="s">
        <v>1221</v>
      </c>
    </row>
    <row r="413" spans="1:2" ht="15.75" customHeight="1" x14ac:dyDescent="0.25">
      <c r="A413" s="6">
        <v>224002</v>
      </c>
      <c r="B413" s="6" t="s">
        <v>1220</v>
      </c>
    </row>
    <row r="414" spans="1:2" ht="15.75" customHeight="1" x14ac:dyDescent="0.25">
      <c r="A414" s="6">
        <v>25001</v>
      </c>
      <c r="B414" s="6" t="s">
        <v>1371</v>
      </c>
    </row>
    <row r="415" spans="1:2" ht="15.75" customHeight="1" x14ac:dyDescent="0.25">
      <c r="A415" s="6">
        <v>25002</v>
      </c>
      <c r="B415" s="6" t="s">
        <v>1370</v>
      </c>
    </row>
    <row r="416" spans="1:2" ht="15.75" customHeight="1" x14ac:dyDescent="0.25">
      <c r="A416" s="6">
        <v>25003</v>
      </c>
      <c r="B416" s="6" t="s">
        <v>1373</v>
      </c>
    </row>
    <row r="417" spans="1:2" ht="15.75" customHeight="1" x14ac:dyDescent="0.25">
      <c r="A417" s="6">
        <v>25004</v>
      </c>
      <c r="B417" s="6" t="s">
        <v>1372</v>
      </c>
    </row>
    <row r="418" spans="1:2" ht="15.75" customHeight="1" x14ac:dyDescent="0.25">
      <c r="A418" s="6">
        <v>26020</v>
      </c>
      <c r="B418" s="6" t="s">
        <v>1415</v>
      </c>
    </row>
    <row r="419" spans="1:2" ht="15.75" customHeight="1" x14ac:dyDescent="0.25">
      <c r="A419" s="6">
        <v>26021</v>
      </c>
      <c r="B419" s="6" t="s">
        <v>1419</v>
      </c>
    </row>
    <row r="420" spans="1:2" ht="15.75" customHeight="1" x14ac:dyDescent="0.25">
      <c r="A420" s="6">
        <v>26022</v>
      </c>
      <c r="B420" s="6" t="s">
        <v>1416</v>
      </c>
    </row>
    <row r="421" spans="1:2" ht="15.75" customHeight="1" x14ac:dyDescent="0.25">
      <c r="A421" s="6">
        <v>26023</v>
      </c>
      <c r="B421" s="6" t="s">
        <v>1418</v>
      </c>
    </row>
    <row r="422" spans="1:2" ht="15.75" customHeight="1" x14ac:dyDescent="0.25">
      <c r="A422" s="6">
        <v>26024</v>
      </c>
      <c r="B422" s="6" t="s">
        <v>1422</v>
      </c>
    </row>
    <row r="423" spans="1:2" ht="15.75" customHeight="1" x14ac:dyDescent="0.25">
      <c r="A423" s="6">
        <v>26025</v>
      </c>
      <c r="B423" s="6" t="s">
        <v>1425</v>
      </c>
    </row>
    <row r="424" spans="1:2" ht="15.75" customHeight="1" x14ac:dyDescent="0.25">
      <c r="A424" s="6">
        <v>26026</v>
      </c>
      <c r="B424" s="6" t="s">
        <v>1423</v>
      </c>
    </row>
    <row r="425" spans="1:2" ht="15.75" customHeight="1" x14ac:dyDescent="0.25">
      <c r="A425" s="6">
        <v>26027</v>
      </c>
      <c r="B425" s="6" t="s">
        <v>1424</v>
      </c>
    </row>
    <row r="426" spans="1:2" ht="15.75" customHeight="1" x14ac:dyDescent="0.25">
      <c r="A426" s="6">
        <v>26028</v>
      </c>
      <c r="B426" s="6" t="s">
        <v>1027</v>
      </c>
    </row>
    <row r="427" spans="1:2" ht="15.75" customHeight="1" x14ac:dyDescent="0.25">
      <c r="A427" s="6">
        <v>26029</v>
      </c>
      <c r="B427" s="6" t="s">
        <v>1028</v>
      </c>
    </row>
    <row r="428" spans="1:2" ht="15.75" customHeight="1" x14ac:dyDescent="0.25">
      <c r="A428" s="6">
        <v>26030</v>
      </c>
      <c r="B428" s="6" t="s">
        <v>1030</v>
      </c>
    </row>
    <row r="429" spans="1:2" ht="15.75" customHeight="1" x14ac:dyDescent="0.25">
      <c r="A429" s="6">
        <v>26031</v>
      </c>
      <c r="B429" s="6" t="s">
        <v>1031</v>
      </c>
    </row>
    <row r="430" spans="1:2" ht="15.75" customHeight="1" x14ac:dyDescent="0.25">
      <c r="A430" s="6">
        <v>26032</v>
      </c>
      <c r="B430" s="6" t="s">
        <v>1029</v>
      </c>
    </row>
    <row r="431" spans="1:2" ht="15.75" customHeight="1" x14ac:dyDescent="0.25">
      <c r="A431" s="6">
        <v>26033</v>
      </c>
      <c r="B431" s="6" t="s">
        <v>992</v>
      </c>
    </row>
    <row r="432" spans="1:2" ht="15.75" customHeight="1" x14ac:dyDescent="0.25">
      <c r="A432" s="6">
        <v>26034</v>
      </c>
      <c r="B432" s="6" t="s">
        <v>993</v>
      </c>
    </row>
    <row r="433" spans="1:2" ht="15.75" customHeight="1" x14ac:dyDescent="0.25">
      <c r="A433" s="6">
        <v>26035</v>
      </c>
      <c r="B433" s="6" t="s">
        <v>994</v>
      </c>
    </row>
    <row r="434" spans="1:2" ht="15.75" customHeight="1" x14ac:dyDescent="0.25">
      <c r="A434" s="6">
        <v>26036</v>
      </c>
      <c r="B434" s="6" t="s">
        <v>1421</v>
      </c>
    </row>
    <row r="435" spans="1:2" ht="15.75" customHeight="1" x14ac:dyDescent="0.25">
      <c r="A435" s="6">
        <v>26037</v>
      </c>
      <c r="B435" s="6" t="s">
        <v>1417</v>
      </c>
    </row>
    <row r="436" spans="1:2" ht="15.75" customHeight="1" x14ac:dyDescent="0.25">
      <c r="A436" s="6">
        <v>26038</v>
      </c>
      <c r="B436" s="6" t="s">
        <v>1420</v>
      </c>
    </row>
    <row r="437" spans="1:2" ht="15.75" customHeight="1" x14ac:dyDescent="0.25">
      <c r="A437" s="6">
        <v>26039</v>
      </c>
      <c r="B437" s="6" t="s">
        <v>1348</v>
      </c>
    </row>
    <row r="438" spans="1:2" ht="15.75" customHeight="1" x14ac:dyDescent="0.25">
      <c r="A438" s="6">
        <v>227001</v>
      </c>
      <c r="B438" s="6" t="s">
        <v>1391</v>
      </c>
    </row>
    <row r="439" spans="1:2" ht="15.75" customHeight="1" x14ac:dyDescent="0.25">
      <c r="A439" s="6">
        <v>227002</v>
      </c>
      <c r="B439" s="6" t="s">
        <v>1389</v>
      </c>
    </row>
    <row r="440" spans="1:2" ht="15.75" customHeight="1" x14ac:dyDescent="0.25">
      <c r="A440" s="6">
        <v>227003</v>
      </c>
      <c r="B440" s="6" t="s">
        <v>1387</v>
      </c>
    </row>
    <row r="441" spans="1:2" ht="15.75" customHeight="1" x14ac:dyDescent="0.25">
      <c r="A441" s="6">
        <v>227004</v>
      </c>
      <c r="B441" s="6" t="s">
        <v>1385</v>
      </c>
    </row>
    <row r="442" spans="1:2" ht="15.75" customHeight="1" x14ac:dyDescent="0.25">
      <c r="A442" s="6">
        <v>227005</v>
      </c>
      <c r="B442" s="6" t="s">
        <v>1390</v>
      </c>
    </row>
    <row r="443" spans="1:2" ht="15.75" customHeight="1" x14ac:dyDescent="0.25">
      <c r="A443" s="6">
        <v>227006</v>
      </c>
      <c r="B443" s="6" t="s">
        <v>1388</v>
      </c>
    </row>
    <row r="444" spans="1:2" ht="15.75" customHeight="1" x14ac:dyDescent="0.25">
      <c r="A444" s="6">
        <v>227007</v>
      </c>
      <c r="B444" s="6" t="s">
        <v>1386</v>
      </c>
    </row>
    <row r="445" spans="1:2" ht="15.75" customHeight="1" x14ac:dyDescent="0.25">
      <c r="A445" s="6">
        <v>227008</v>
      </c>
      <c r="B445" s="6" t="s">
        <v>1392</v>
      </c>
    </row>
    <row r="446" spans="1:2" ht="15.75" customHeight="1" x14ac:dyDescent="0.25">
      <c r="A446" s="6">
        <v>227009</v>
      </c>
      <c r="B446" s="6" t="s">
        <v>1396</v>
      </c>
    </row>
    <row r="447" spans="1:2" ht="15.75" customHeight="1" x14ac:dyDescent="0.25">
      <c r="A447" s="6">
        <v>28001</v>
      </c>
      <c r="B447" s="6" t="s">
        <v>1557</v>
      </c>
    </row>
    <row r="448" spans="1:2" ht="15.75" customHeight="1" x14ac:dyDescent="0.25">
      <c r="A448" s="6">
        <v>29001</v>
      </c>
      <c r="B448" s="6" t="s">
        <v>1436</v>
      </c>
    </row>
    <row r="449" spans="1:2" ht="15.75" customHeight="1" x14ac:dyDescent="0.25">
      <c r="A449" s="6">
        <v>30001</v>
      </c>
      <c r="B449" s="6" t="s">
        <v>1268</v>
      </c>
    </row>
    <row r="450" spans="1:2" ht="15.75" customHeight="1" x14ac:dyDescent="0.25">
      <c r="A450" s="6">
        <v>30002</v>
      </c>
      <c r="B450" s="6" t="s">
        <v>1267</v>
      </c>
    </row>
    <row r="451" spans="1:2" ht="15.75" customHeight="1" x14ac:dyDescent="0.25">
      <c r="A451" s="6">
        <v>32004</v>
      </c>
      <c r="B451" s="6" t="s">
        <v>911</v>
      </c>
    </row>
    <row r="452" spans="1:2" ht="15.75" customHeight="1" x14ac:dyDescent="0.25">
      <c r="A452" s="6">
        <v>32005</v>
      </c>
      <c r="B452" s="6" t="s">
        <v>708</v>
      </c>
    </row>
    <row r="453" spans="1:2" ht="15.75" customHeight="1" x14ac:dyDescent="0.25">
      <c r="A453" s="6">
        <v>32011</v>
      </c>
      <c r="B453" s="6" t="s">
        <v>1182</v>
      </c>
    </row>
    <row r="454" spans="1:2" ht="15.75" customHeight="1" x14ac:dyDescent="0.25">
      <c r="A454" s="6">
        <v>32017</v>
      </c>
      <c r="B454" s="6" t="s">
        <v>1187</v>
      </c>
    </row>
    <row r="455" spans="1:2" ht="15.75" customHeight="1" x14ac:dyDescent="0.25">
      <c r="A455" s="6">
        <v>32018</v>
      </c>
      <c r="B455" s="6" t="s">
        <v>1186</v>
      </c>
    </row>
    <row r="456" spans="1:2" ht="15.75" customHeight="1" x14ac:dyDescent="0.25">
      <c r="A456" s="6">
        <v>32024</v>
      </c>
      <c r="B456" s="6" t="s">
        <v>721</v>
      </c>
    </row>
    <row r="457" spans="1:2" ht="15.75" customHeight="1" x14ac:dyDescent="0.25">
      <c r="A457" s="6">
        <v>32026</v>
      </c>
      <c r="B457" s="6" t="s">
        <v>980</v>
      </c>
    </row>
    <row r="458" spans="1:2" ht="15.75" customHeight="1" x14ac:dyDescent="0.25">
      <c r="A458" s="6">
        <v>32030</v>
      </c>
      <c r="B458" s="6" t="s">
        <v>729</v>
      </c>
    </row>
    <row r="459" spans="1:2" ht="15.75" customHeight="1" x14ac:dyDescent="0.25">
      <c r="A459" s="6">
        <v>32031</v>
      </c>
      <c r="B459" s="6" t="s">
        <v>1181</v>
      </c>
    </row>
    <row r="460" spans="1:2" ht="15.75" customHeight="1" x14ac:dyDescent="0.25">
      <c r="A460" s="6">
        <v>32032</v>
      </c>
      <c r="B460" s="6" t="s">
        <v>1188</v>
      </c>
    </row>
    <row r="461" spans="1:2" ht="15.75" customHeight="1" x14ac:dyDescent="0.25">
      <c r="A461" s="6">
        <v>32054</v>
      </c>
      <c r="B461" s="6" t="s">
        <v>1266</v>
      </c>
    </row>
    <row r="462" spans="1:2" ht="15.75" customHeight="1" x14ac:dyDescent="0.25">
      <c r="A462" s="6">
        <v>32057</v>
      </c>
      <c r="B462" s="6" t="s">
        <v>1433</v>
      </c>
    </row>
    <row r="463" spans="1:2" ht="15.75" customHeight="1" x14ac:dyDescent="0.25">
      <c r="A463" s="6">
        <v>32063</v>
      </c>
      <c r="B463" s="6" t="s">
        <v>1106</v>
      </c>
    </row>
    <row r="464" spans="1:2" ht="15.75" customHeight="1" x14ac:dyDescent="0.25">
      <c r="A464" s="6">
        <v>32068</v>
      </c>
      <c r="B464" s="6" t="s">
        <v>1002</v>
      </c>
    </row>
    <row r="465" spans="1:2" ht="15.75" customHeight="1" x14ac:dyDescent="0.25">
      <c r="A465" s="6">
        <v>32069</v>
      </c>
      <c r="B465" s="6" t="s">
        <v>1004</v>
      </c>
    </row>
    <row r="466" spans="1:2" ht="15.75" customHeight="1" x14ac:dyDescent="0.25">
      <c r="A466" s="6">
        <v>32070</v>
      </c>
      <c r="B466" s="6" t="s">
        <v>938</v>
      </c>
    </row>
    <row r="467" spans="1:2" ht="15.75" customHeight="1" x14ac:dyDescent="0.25">
      <c r="A467" s="6">
        <v>32071</v>
      </c>
      <c r="B467" s="6" t="s">
        <v>706</v>
      </c>
    </row>
    <row r="468" spans="1:2" ht="15.75" customHeight="1" x14ac:dyDescent="0.25">
      <c r="A468" s="6">
        <v>32072</v>
      </c>
      <c r="B468" s="6" t="s">
        <v>1207</v>
      </c>
    </row>
    <row r="469" spans="1:2" ht="15.75" customHeight="1" x14ac:dyDescent="0.25">
      <c r="A469" s="6">
        <v>32089</v>
      </c>
      <c r="B469" s="6" t="s">
        <v>964</v>
      </c>
    </row>
    <row r="470" spans="1:2" ht="15.75" customHeight="1" x14ac:dyDescent="0.25">
      <c r="A470" s="6">
        <v>32090</v>
      </c>
      <c r="B470" s="6" t="s">
        <v>965</v>
      </c>
    </row>
    <row r="471" spans="1:2" ht="15.75" customHeight="1" x14ac:dyDescent="0.25">
      <c r="A471" s="6">
        <v>32102</v>
      </c>
      <c r="B471" s="6" t="s">
        <v>855</v>
      </c>
    </row>
    <row r="472" spans="1:2" ht="15.75" customHeight="1" x14ac:dyDescent="0.25">
      <c r="A472" s="6">
        <v>32103</v>
      </c>
      <c r="B472" s="6" t="s">
        <v>757</v>
      </c>
    </row>
    <row r="473" spans="1:2" ht="15.75" customHeight="1" x14ac:dyDescent="0.25">
      <c r="A473" s="6">
        <v>32110</v>
      </c>
      <c r="B473" s="6" t="s">
        <v>1177</v>
      </c>
    </row>
    <row r="474" spans="1:2" ht="15.75" customHeight="1" x14ac:dyDescent="0.25">
      <c r="A474" s="6">
        <v>32118</v>
      </c>
      <c r="B474" s="6" t="s">
        <v>726</v>
      </c>
    </row>
    <row r="475" spans="1:2" ht="15.75" customHeight="1" x14ac:dyDescent="0.25">
      <c r="A475" s="6">
        <v>32119</v>
      </c>
      <c r="B475" s="6" t="s">
        <v>724</v>
      </c>
    </row>
    <row r="476" spans="1:2" ht="15.75" customHeight="1" x14ac:dyDescent="0.25">
      <c r="A476" s="6">
        <v>32120</v>
      </c>
      <c r="B476" s="6" t="s">
        <v>725</v>
      </c>
    </row>
    <row r="477" spans="1:2" ht="15.75" customHeight="1" x14ac:dyDescent="0.25">
      <c r="A477" s="6">
        <v>32122</v>
      </c>
      <c r="B477" s="6" t="s">
        <v>1205</v>
      </c>
    </row>
    <row r="478" spans="1:2" ht="15.75" customHeight="1" x14ac:dyDescent="0.25">
      <c r="A478" s="6">
        <v>32124</v>
      </c>
      <c r="B478" s="6" t="s">
        <v>1185</v>
      </c>
    </row>
    <row r="479" spans="1:2" ht="15.75" customHeight="1" x14ac:dyDescent="0.25">
      <c r="A479" s="6">
        <v>32128</v>
      </c>
      <c r="B479" s="6" t="s">
        <v>1259</v>
      </c>
    </row>
    <row r="480" spans="1:2" ht="15.75" customHeight="1" x14ac:dyDescent="0.25">
      <c r="A480" s="6">
        <v>32129</v>
      </c>
      <c r="B480" s="6" t="s">
        <v>1258</v>
      </c>
    </row>
    <row r="481" spans="1:2" ht="15.75" customHeight="1" x14ac:dyDescent="0.25">
      <c r="A481" s="6">
        <v>32131</v>
      </c>
      <c r="B481" s="6" t="s">
        <v>1197</v>
      </c>
    </row>
    <row r="482" spans="1:2" ht="15.75" customHeight="1" x14ac:dyDescent="0.25">
      <c r="A482" s="6">
        <v>32132</v>
      </c>
      <c r="B482" s="6" t="s">
        <v>1198</v>
      </c>
    </row>
    <row r="483" spans="1:2" ht="15.75" customHeight="1" x14ac:dyDescent="0.25">
      <c r="A483" s="6">
        <v>32133</v>
      </c>
      <c r="B483" s="6" t="s">
        <v>1195</v>
      </c>
    </row>
    <row r="484" spans="1:2" ht="15.75" customHeight="1" x14ac:dyDescent="0.25">
      <c r="A484" s="6">
        <v>32134</v>
      </c>
      <c r="B484" s="6" t="s">
        <v>1200</v>
      </c>
    </row>
    <row r="485" spans="1:2" ht="15.75" customHeight="1" x14ac:dyDescent="0.25">
      <c r="A485" s="6">
        <v>32135</v>
      </c>
      <c r="B485" s="6" t="s">
        <v>936</v>
      </c>
    </row>
    <row r="486" spans="1:2" ht="15.75" customHeight="1" x14ac:dyDescent="0.25">
      <c r="A486" s="6">
        <v>32136</v>
      </c>
      <c r="B486" s="6" t="s">
        <v>931</v>
      </c>
    </row>
    <row r="487" spans="1:2" ht="15.75" customHeight="1" x14ac:dyDescent="0.25">
      <c r="A487" s="6">
        <v>32139</v>
      </c>
      <c r="B487" s="6" t="s">
        <v>1587</v>
      </c>
    </row>
    <row r="488" spans="1:2" ht="15.75" customHeight="1" x14ac:dyDescent="0.25">
      <c r="A488" s="6">
        <v>32140</v>
      </c>
      <c r="B488" s="6" t="s">
        <v>1588</v>
      </c>
    </row>
    <row r="489" spans="1:2" ht="15.75" customHeight="1" x14ac:dyDescent="0.25">
      <c r="A489" s="6">
        <v>32141</v>
      </c>
      <c r="B489" s="6" t="s">
        <v>1193</v>
      </c>
    </row>
    <row r="490" spans="1:2" ht="15.75" customHeight="1" x14ac:dyDescent="0.25">
      <c r="A490" s="6">
        <v>32142</v>
      </c>
      <c r="B490" s="6" t="s">
        <v>915</v>
      </c>
    </row>
    <row r="491" spans="1:2" ht="15.75" customHeight="1" x14ac:dyDescent="0.25">
      <c r="A491" s="6">
        <v>32143</v>
      </c>
      <c r="B491" s="6" t="s">
        <v>916</v>
      </c>
    </row>
    <row r="492" spans="1:2" ht="15.75" customHeight="1" x14ac:dyDescent="0.25">
      <c r="A492" s="6">
        <v>32144</v>
      </c>
      <c r="B492" s="6" t="s">
        <v>926</v>
      </c>
    </row>
    <row r="493" spans="1:2" ht="15.75" customHeight="1" x14ac:dyDescent="0.25">
      <c r="A493" s="6">
        <v>32145</v>
      </c>
      <c r="B493" s="6" t="s">
        <v>1003</v>
      </c>
    </row>
    <row r="494" spans="1:2" ht="15.75" customHeight="1" x14ac:dyDescent="0.25">
      <c r="A494" s="6">
        <v>32146</v>
      </c>
      <c r="B494" s="6" t="s">
        <v>999</v>
      </c>
    </row>
    <row r="495" spans="1:2" ht="15.75" customHeight="1" x14ac:dyDescent="0.25">
      <c r="A495" s="6">
        <v>32147</v>
      </c>
      <c r="B495" s="6" t="s">
        <v>727</v>
      </c>
    </row>
    <row r="496" spans="1:2" ht="15.75" customHeight="1" x14ac:dyDescent="0.25">
      <c r="A496" s="6">
        <v>32148</v>
      </c>
      <c r="B496" s="6" t="s">
        <v>730</v>
      </c>
    </row>
    <row r="497" spans="1:2" ht="15.75" customHeight="1" x14ac:dyDescent="0.25">
      <c r="A497" s="6">
        <v>32149</v>
      </c>
      <c r="B497" s="6" t="s">
        <v>982</v>
      </c>
    </row>
    <row r="498" spans="1:2" ht="15.75" customHeight="1" x14ac:dyDescent="0.25">
      <c r="A498" s="6">
        <v>32150</v>
      </c>
      <c r="B498" s="6" t="s">
        <v>733</v>
      </c>
    </row>
    <row r="499" spans="1:2" ht="15.75" customHeight="1" x14ac:dyDescent="0.25">
      <c r="A499" s="6">
        <v>32151</v>
      </c>
      <c r="B499" s="6" t="s">
        <v>732</v>
      </c>
    </row>
    <row r="500" spans="1:2" ht="15.75" customHeight="1" x14ac:dyDescent="0.25">
      <c r="A500" s="6">
        <v>32152</v>
      </c>
      <c r="B500" s="6" t="s">
        <v>923</v>
      </c>
    </row>
    <row r="501" spans="1:2" ht="15.75" customHeight="1" x14ac:dyDescent="0.25">
      <c r="A501" s="6">
        <v>32153</v>
      </c>
      <c r="B501" s="6" t="s">
        <v>928</v>
      </c>
    </row>
    <row r="502" spans="1:2" ht="15.75" customHeight="1" x14ac:dyDescent="0.25">
      <c r="A502" s="6">
        <v>32154</v>
      </c>
      <c r="B502" s="6" t="s">
        <v>921</v>
      </c>
    </row>
    <row r="503" spans="1:2" ht="15.75" customHeight="1" x14ac:dyDescent="0.25">
      <c r="A503" s="6">
        <v>32155</v>
      </c>
      <c r="B503" s="6" t="s">
        <v>737</v>
      </c>
    </row>
    <row r="504" spans="1:2" ht="15.75" customHeight="1" x14ac:dyDescent="0.25">
      <c r="A504" s="6">
        <v>32156</v>
      </c>
      <c r="B504" s="6" t="s">
        <v>736</v>
      </c>
    </row>
    <row r="505" spans="1:2" ht="15.75" customHeight="1" x14ac:dyDescent="0.25">
      <c r="A505" s="6">
        <v>32157</v>
      </c>
      <c r="B505" s="6" t="s">
        <v>1211</v>
      </c>
    </row>
    <row r="506" spans="1:2" ht="15.75" customHeight="1" x14ac:dyDescent="0.25">
      <c r="A506" s="6">
        <v>32158</v>
      </c>
      <c r="B506" s="6" t="s">
        <v>1189</v>
      </c>
    </row>
    <row r="507" spans="1:2" ht="15.75" customHeight="1" x14ac:dyDescent="0.25">
      <c r="A507" s="6">
        <v>32159</v>
      </c>
      <c r="B507" s="6" t="s">
        <v>1194</v>
      </c>
    </row>
    <row r="508" spans="1:2" ht="15.75" customHeight="1" x14ac:dyDescent="0.25">
      <c r="A508" s="6">
        <v>32160</v>
      </c>
      <c r="B508" s="6" t="s">
        <v>1204</v>
      </c>
    </row>
    <row r="509" spans="1:2" ht="15.75" customHeight="1" x14ac:dyDescent="0.25">
      <c r="A509" s="6">
        <v>32161</v>
      </c>
      <c r="B509" s="6" t="s">
        <v>1434</v>
      </c>
    </row>
    <row r="510" spans="1:2" ht="15.75" customHeight="1" x14ac:dyDescent="0.25">
      <c r="A510" s="6">
        <v>32162</v>
      </c>
      <c r="B510" s="6" t="s">
        <v>707</v>
      </c>
    </row>
    <row r="511" spans="1:2" ht="15.75" customHeight="1" x14ac:dyDescent="0.25">
      <c r="A511" s="6">
        <v>32163</v>
      </c>
      <c r="B511" s="6" t="s">
        <v>1001</v>
      </c>
    </row>
    <row r="512" spans="1:2" ht="15.75" customHeight="1" x14ac:dyDescent="0.25">
      <c r="A512" s="6">
        <v>32164</v>
      </c>
      <c r="B512" s="6" t="s">
        <v>1000</v>
      </c>
    </row>
    <row r="513" spans="1:2" ht="15.75" customHeight="1" x14ac:dyDescent="0.25">
      <c r="A513" s="6">
        <v>32165</v>
      </c>
      <c r="B513" s="6" t="s">
        <v>925</v>
      </c>
    </row>
    <row r="514" spans="1:2" ht="15.75" customHeight="1" x14ac:dyDescent="0.25">
      <c r="A514" s="6">
        <v>32166</v>
      </c>
      <c r="B514" s="6" t="s">
        <v>930</v>
      </c>
    </row>
    <row r="515" spans="1:2" ht="15.75" customHeight="1" x14ac:dyDescent="0.25">
      <c r="A515" s="6">
        <v>32167</v>
      </c>
      <c r="B515" s="6" t="s">
        <v>912</v>
      </c>
    </row>
    <row r="516" spans="1:2" ht="15.75" customHeight="1" x14ac:dyDescent="0.25">
      <c r="A516" s="6">
        <v>32168</v>
      </c>
      <c r="B516" s="6" t="s">
        <v>734</v>
      </c>
    </row>
    <row r="517" spans="1:2" ht="15.75" customHeight="1" x14ac:dyDescent="0.25">
      <c r="A517" s="6">
        <v>32169</v>
      </c>
      <c r="B517" s="6" t="s">
        <v>1206</v>
      </c>
    </row>
    <row r="518" spans="1:2" ht="15.75" customHeight="1" x14ac:dyDescent="0.25">
      <c r="A518" s="6">
        <v>32170</v>
      </c>
      <c r="B518" s="6" t="s">
        <v>927</v>
      </c>
    </row>
    <row r="519" spans="1:2" ht="15.75" customHeight="1" x14ac:dyDescent="0.25">
      <c r="A519" s="6">
        <v>32171</v>
      </c>
      <c r="B519" s="6" t="s">
        <v>922</v>
      </c>
    </row>
    <row r="520" spans="1:2" ht="15.75" customHeight="1" x14ac:dyDescent="0.25">
      <c r="A520" s="6">
        <v>32172</v>
      </c>
      <c r="B520" s="6" t="s">
        <v>929</v>
      </c>
    </row>
    <row r="521" spans="1:2" ht="15.75" customHeight="1" x14ac:dyDescent="0.25">
      <c r="A521" s="6">
        <v>32173</v>
      </c>
      <c r="B521" s="6" t="s">
        <v>924</v>
      </c>
    </row>
    <row r="522" spans="1:2" ht="15.75" customHeight="1" x14ac:dyDescent="0.25">
      <c r="A522" s="6">
        <v>32174</v>
      </c>
      <c r="B522" s="6" t="s">
        <v>1196</v>
      </c>
    </row>
    <row r="523" spans="1:2" ht="15.75" customHeight="1" x14ac:dyDescent="0.25">
      <c r="A523" s="6">
        <v>32175</v>
      </c>
      <c r="B523" s="6" t="s">
        <v>1180</v>
      </c>
    </row>
    <row r="524" spans="1:2" ht="15.75" customHeight="1" x14ac:dyDescent="0.25">
      <c r="A524" s="6">
        <v>32176</v>
      </c>
      <c r="B524" s="6" t="s">
        <v>1202</v>
      </c>
    </row>
    <row r="525" spans="1:2" ht="15.75" customHeight="1" x14ac:dyDescent="0.25">
      <c r="A525" s="6">
        <v>32177</v>
      </c>
      <c r="B525" s="6" t="s">
        <v>731</v>
      </c>
    </row>
    <row r="526" spans="1:2" ht="15.75" customHeight="1" x14ac:dyDescent="0.25">
      <c r="A526" s="6">
        <v>32178</v>
      </c>
      <c r="B526" s="6" t="s">
        <v>890</v>
      </c>
    </row>
    <row r="527" spans="1:2" ht="15.75" customHeight="1" x14ac:dyDescent="0.25">
      <c r="A527" s="6">
        <v>32179</v>
      </c>
      <c r="B527" s="6" t="s">
        <v>881</v>
      </c>
    </row>
    <row r="528" spans="1:2" ht="15.75" customHeight="1" x14ac:dyDescent="0.25">
      <c r="A528" s="6">
        <v>32180</v>
      </c>
      <c r="B528" s="6" t="s">
        <v>892</v>
      </c>
    </row>
    <row r="529" spans="1:2" ht="15.75" customHeight="1" x14ac:dyDescent="0.25">
      <c r="A529" s="6">
        <v>32181</v>
      </c>
      <c r="B529" s="6" t="s">
        <v>883</v>
      </c>
    </row>
    <row r="530" spans="1:2" ht="15.75" customHeight="1" x14ac:dyDescent="0.25">
      <c r="A530" s="6">
        <v>32182</v>
      </c>
      <c r="B530" s="6" t="s">
        <v>887</v>
      </c>
    </row>
    <row r="531" spans="1:2" ht="15.75" customHeight="1" x14ac:dyDescent="0.25">
      <c r="A531" s="6">
        <v>32183</v>
      </c>
      <c r="B531" s="6" t="s">
        <v>1183</v>
      </c>
    </row>
    <row r="532" spans="1:2" ht="15.75" customHeight="1" x14ac:dyDescent="0.25">
      <c r="A532" s="6">
        <v>32184</v>
      </c>
      <c r="B532" s="6" t="s">
        <v>933</v>
      </c>
    </row>
    <row r="533" spans="1:2" ht="15.75" customHeight="1" x14ac:dyDescent="0.25">
      <c r="A533" s="6">
        <v>32185</v>
      </c>
      <c r="B533" s="6" t="s">
        <v>919</v>
      </c>
    </row>
    <row r="534" spans="1:2" ht="15.75" customHeight="1" x14ac:dyDescent="0.25">
      <c r="A534" s="6">
        <v>32186</v>
      </c>
      <c r="B534" s="6" t="s">
        <v>920</v>
      </c>
    </row>
    <row r="535" spans="1:2" ht="15.75" customHeight="1" x14ac:dyDescent="0.25">
      <c r="A535" s="6">
        <v>32187</v>
      </c>
      <c r="B535" s="6" t="s">
        <v>981</v>
      </c>
    </row>
    <row r="536" spans="1:2" ht="15.75" customHeight="1" x14ac:dyDescent="0.25">
      <c r="A536" s="6">
        <v>32188</v>
      </c>
      <c r="B536" s="6" t="s">
        <v>880</v>
      </c>
    </row>
    <row r="537" spans="1:2" ht="15.75" customHeight="1" x14ac:dyDescent="0.25">
      <c r="A537" s="6">
        <v>32189</v>
      </c>
      <c r="B537" s="6" t="s">
        <v>885</v>
      </c>
    </row>
    <row r="538" spans="1:2" ht="15.75" customHeight="1" x14ac:dyDescent="0.25">
      <c r="A538" s="6">
        <v>32190</v>
      </c>
      <c r="B538" s="6" t="s">
        <v>728</v>
      </c>
    </row>
    <row r="539" spans="1:2" ht="15.75" customHeight="1" x14ac:dyDescent="0.25">
      <c r="A539" s="6">
        <v>32191</v>
      </c>
      <c r="B539" s="6" t="s">
        <v>1192</v>
      </c>
    </row>
    <row r="540" spans="1:2" ht="15.75" customHeight="1" x14ac:dyDescent="0.25">
      <c r="A540" s="6">
        <v>32192</v>
      </c>
      <c r="B540" s="6" t="s">
        <v>1191</v>
      </c>
    </row>
    <row r="541" spans="1:2" ht="15.75" customHeight="1" x14ac:dyDescent="0.25">
      <c r="A541" s="6">
        <v>32193</v>
      </c>
      <c r="B541" s="6" t="s">
        <v>1212</v>
      </c>
    </row>
    <row r="542" spans="1:2" ht="15.75" customHeight="1" x14ac:dyDescent="0.25">
      <c r="A542" s="6">
        <v>32194</v>
      </c>
      <c r="B542" s="6" t="s">
        <v>891</v>
      </c>
    </row>
    <row r="543" spans="1:2" ht="15.75" customHeight="1" x14ac:dyDescent="0.25">
      <c r="A543" s="6">
        <v>32195</v>
      </c>
      <c r="B543" s="6" t="s">
        <v>886</v>
      </c>
    </row>
    <row r="544" spans="1:2" ht="15.75" customHeight="1" x14ac:dyDescent="0.25">
      <c r="A544" s="6">
        <v>32196</v>
      </c>
      <c r="B544" s="6" t="s">
        <v>882</v>
      </c>
    </row>
    <row r="545" spans="1:2" ht="15.75" customHeight="1" x14ac:dyDescent="0.25">
      <c r="A545" s="6">
        <v>32197</v>
      </c>
      <c r="B545" s="6" t="s">
        <v>486</v>
      </c>
    </row>
    <row r="546" spans="1:2" ht="15.75" customHeight="1" x14ac:dyDescent="0.25">
      <c r="A546" s="6">
        <v>32198</v>
      </c>
      <c r="B546" s="6" t="s">
        <v>1210</v>
      </c>
    </row>
    <row r="547" spans="1:2" ht="15.75" customHeight="1" x14ac:dyDescent="0.25">
      <c r="A547" s="6">
        <v>32199</v>
      </c>
      <c r="B547" s="6" t="s">
        <v>979</v>
      </c>
    </row>
    <row r="548" spans="1:2" ht="15.75" customHeight="1" x14ac:dyDescent="0.25">
      <c r="A548" s="6">
        <v>32200</v>
      </c>
      <c r="B548" s="6" t="s">
        <v>917</v>
      </c>
    </row>
    <row r="549" spans="1:2" ht="15.75" customHeight="1" x14ac:dyDescent="0.25">
      <c r="A549" s="6">
        <v>32201</v>
      </c>
      <c r="B549" s="6" t="s">
        <v>1208</v>
      </c>
    </row>
    <row r="550" spans="1:2" ht="15.75" customHeight="1" x14ac:dyDescent="0.25">
      <c r="A550" s="6">
        <v>32202</v>
      </c>
      <c r="B550" s="6" t="s">
        <v>1199</v>
      </c>
    </row>
    <row r="551" spans="1:2" ht="15.75" customHeight="1" x14ac:dyDescent="0.25">
      <c r="A551" s="6">
        <v>32203</v>
      </c>
      <c r="B551" s="6" t="s">
        <v>888</v>
      </c>
    </row>
    <row r="552" spans="1:2" ht="15.75" customHeight="1" x14ac:dyDescent="0.25">
      <c r="A552" s="6">
        <v>32204</v>
      </c>
      <c r="B552" s="6" t="s">
        <v>735</v>
      </c>
    </row>
    <row r="553" spans="1:2" ht="15.75" customHeight="1" x14ac:dyDescent="0.25">
      <c r="A553" s="6">
        <v>32205</v>
      </c>
      <c r="B553" s="6" t="s">
        <v>723</v>
      </c>
    </row>
    <row r="554" spans="1:2" ht="15.75" customHeight="1" x14ac:dyDescent="0.25">
      <c r="A554" s="6">
        <v>32206</v>
      </c>
      <c r="B554" s="6" t="s">
        <v>1184</v>
      </c>
    </row>
    <row r="555" spans="1:2" ht="15.75" customHeight="1" x14ac:dyDescent="0.25">
      <c r="A555" s="6">
        <v>32207</v>
      </c>
      <c r="B555" s="6" t="s">
        <v>1179</v>
      </c>
    </row>
    <row r="556" spans="1:2" ht="15.75" customHeight="1" x14ac:dyDescent="0.25">
      <c r="A556" s="6">
        <v>32208</v>
      </c>
      <c r="B556" s="6" t="s">
        <v>889</v>
      </c>
    </row>
    <row r="557" spans="1:2" ht="15.75" customHeight="1" x14ac:dyDescent="0.25">
      <c r="A557" s="6">
        <v>32209</v>
      </c>
      <c r="B557" s="6" t="s">
        <v>879</v>
      </c>
    </row>
    <row r="558" spans="1:2" ht="15.75" customHeight="1" x14ac:dyDescent="0.25">
      <c r="A558" s="6">
        <v>32210</v>
      </c>
      <c r="B558" s="6" t="s">
        <v>884</v>
      </c>
    </row>
    <row r="559" spans="1:2" ht="15.75" customHeight="1" x14ac:dyDescent="0.25">
      <c r="A559" s="6">
        <v>32211</v>
      </c>
      <c r="B559" s="6" t="s">
        <v>722</v>
      </c>
    </row>
    <row r="560" spans="1:2" ht="15.75" customHeight="1" x14ac:dyDescent="0.25">
      <c r="A560" s="6">
        <v>32212</v>
      </c>
      <c r="B560" s="6" t="s">
        <v>913</v>
      </c>
    </row>
    <row r="561" spans="1:2" ht="15.75" customHeight="1" x14ac:dyDescent="0.25">
      <c r="A561" s="6">
        <v>32213</v>
      </c>
      <c r="B561" s="6" t="s">
        <v>1435</v>
      </c>
    </row>
    <row r="562" spans="1:2" ht="15.75" customHeight="1" x14ac:dyDescent="0.25">
      <c r="A562" s="6">
        <v>32214</v>
      </c>
      <c r="B562" s="6" t="s">
        <v>934</v>
      </c>
    </row>
    <row r="563" spans="1:2" ht="15.75" customHeight="1" x14ac:dyDescent="0.25">
      <c r="A563" s="6">
        <v>32215</v>
      </c>
      <c r="B563" s="6" t="s">
        <v>1209</v>
      </c>
    </row>
    <row r="564" spans="1:2" ht="15.75" customHeight="1" x14ac:dyDescent="0.25">
      <c r="A564" s="6">
        <v>32216</v>
      </c>
      <c r="B564" s="6" t="s">
        <v>918</v>
      </c>
    </row>
    <row r="565" spans="1:2" ht="15.75" customHeight="1" x14ac:dyDescent="0.25">
      <c r="A565" s="6">
        <v>32217</v>
      </c>
      <c r="B565" s="6" t="s">
        <v>932</v>
      </c>
    </row>
    <row r="566" spans="1:2" ht="15.75" customHeight="1" x14ac:dyDescent="0.25">
      <c r="A566" s="6">
        <v>32218</v>
      </c>
      <c r="B566" s="6" t="s">
        <v>1201</v>
      </c>
    </row>
    <row r="567" spans="1:2" ht="15.75" customHeight="1" x14ac:dyDescent="0.25">
      <c r="A567" s="6">
        <v>32219</v>
      </c>
      <c r="B567" s="6" t="s">
        <v>1203</v>
      </c>
    </row>
    <row r="568" spans="1:2" ht="15.75" customHeight="1" x14ac:dyDescent="0.25">
      <c r="A568" s="6">
        <v>32220</v>
      </c>
      <c r="B568" s="6" t="s">
        <v>1190</v>
      </c>
    </row>
    <row r="569" spans="1:2" ht="15.75" customHeight="1" x14ac:dyDescent="0.25">
      <c r="A569" s="6">
        <v>32221</v>
      </c>
      <c r="B569" s="6" t="s">
        <v>1625</v>
      </c>
    </row>
    <row r="570" spans="1:2" ht="15.75" customHeight="1" x14ac:dyDescent="0.25">
      <c r="A570" s="6">
        <v>32222</v>
      </c>
      <c r="B570" s="6" t="s">
        <v>1626</v>
      </c>
    </row>
    <row r="571" spans="1:2" ht="15.75" customHeight="1" x14ac:dyDescent="0.25">
      <c r="A571" s="6">
        <v>32223</v>
      </c>
      <c r="B571" s="6" t="s">
        <v>1627</v>
      </c>
    </row>
    <row r="572" spans="1:2" ht="15.75" customHeight="1" x14ac:dyDescent="0.25">
      <c r="A572" s="6">
        <v>32224</v>
      </c>
      <c r="B572" s="6" t="s">
        <v>1628</v>
      </c>
    </row>
    <row r="573" spans="1:2" ht="15.75" customHeight="1" x14ac:dyDescent="0.25">
      <c r="A573" s="6">
        <v>32225</v>
      </c>
      <c r="B573" s="6" t="s">
        <v>489</v>
      </c>
    </row>
    <row r="574" spans="1:2" ht="15.75" customHeight="1" x14ac:dyDescent="0.25">
      <c r="A574" s="6">
        <v>32226</v>
      </c>
      <c r="B574" s="6" t="s">
        <v>1629</v>
      </c>
    </row>
    <row r="575" spans="1:2" ht="15.75" customHeight="1" x14ac:dyDescent="0.25">
      <c r="A575" s="6">
        <v>32227</v>
      </c>
      <c r="B575" s="6" t="s">
        <v>1630</v>
      </c>
    </row>
    <row r="576" spans="1:2" ht="15.75" customHeight="1" x14ac:dyDescent="0.25">
      <c r="A576" s="6">
        <v>32228</v>
      </c>
      <c r="B576" s="6" t="s">
        <v>1631</v>
      </c>
    </row>
    <row r="577" spans="1:2" ht="15.75" customHeight="1" x14ac:dyDescent="0.25">
      <c r="A577" s="6">
        <v>32229</v>
      </c>
      <c r="B577" s="6" t="s">
        <v>1632</v>
      </c>
    </row>
    <row r="578" spans="1:2" ht="15.75" customHeight="1" x14ac:dyDescent="0.25">
      <c r="A578" s="6">
        <v>32230</v>
      </c>
      <c r="B578" s="6" t="s">
        <v>1633</v>
      </c>
    </row>
    <row r="579" spans="1:2" ht="15.75" customHeight="1" x14ac:dyDescent="0.25">
      <c r="A579" s="6">
        <v>32231</v>
      </c>
      <c r="B579" s="6" t="s">
        <v>1634</v>
      </c>
    </row>
    <row r="580" spans="1:2" ht="15.75" customHeight="1" x14ac:dyDescent="0.25">
      <c r="A580" s="6">
        <v>32232</v>
      </c>
      <c r="B580" s="6" t="s">
        <v>1635</v>
      </c>
    </row>
    <row r="581" spans="1:2" ht="15.75" customHeight="1" x14ac:dyDescent="0.25">
      <c r="A581" s="6">
        <v>32233</v>
      </c>
      <c r="B581" s="6" t="s">
        <v>1636</v>
      </c>
    </row>
    <row r="582" spans="1:2" ht="15.75" customHeight="1" x14ac:dyDescent="0.25">
      <c r="A582" s="6">
        <v>32234</v>
      </c>
      <c r="B582" s="6" t="s">
        <v>1637</v>
      </c>
    </row>
    <row r="583" spans="1:2" ht="15.75" customHeight="1" x14ac:dyDescent="0.25">
      <c r="A583" s="6">
        <v>132001</v>
      </c>
      <c r="B583" s="6" t="s">
        <v>182</v>
      </c>
    </row>
    <row r="584" spans="1:2" ht="15.75" customHeight="1" x14ac:dyDescent="0.25">
      <c r="A584" s="6">
        <v>132002</v>
      </c>
      <c r="B584" s="6" t="s">
        <v>935</v>
      </c>
    </row>
    <row r="585" spans="1:2" ht="15.75" customHeight="1" x14ac:dyDescent="0.25">
      <c r="A585" s="6">
        <v>132003</v>
      </c>
      <c r="B585" s="6" t="s">
        <v>1638</v>
      </c>
    </row>
    <row r="586" spans="1:2" ht="15.75" customHeight="1" x14ac:dyDescent="0.25">
      <c r="A586" s="6">
        <v>132004</v>
      </c>
      <c r="B586" s="6" t="s">
        <v>1639</v>
      </c>
    </row>
    <row r="587" spans="1:2" ht="15.75" customHeight="1" x14ac:dyDescent="0.25">
      <c r="A587" s="6">
        <v>132005</v>
      </c>
      <c r="B587" s="6" t="s">
        <v>1640</v>
      </c>
    </row>
    <row r="588" spans="1:2" ht="15.75" customHeight="1" x14ac:dyDescent="0.25">
      <c r="A588" s="6">
        <v>132006</v>
      </c>
      <c r="B588" s="6" t="s">
        <v>1641</v>
      </c>
    </row>
    <row r="589" spans="1:2" ht="15.75" customHeight="1" x14ac:dyDescent="0.25">
      <c r="A589" s="6">
        <v>132007</v>
      </c>
      <c r="B589" s="6" t="s">
        <v>1642</v>
      </c>
    </row>
    <row r="590" spans="1:2" ht="15.75" customHeight="1" x14ac:dyDescent="0.25">
      <c r="A590" s="6">
        <v>132008</v>
      </c>
      <c r="B590" s="6" t="s">
        <v>1643</v>
      </c>
    </row>
    <row r="591" spans="1:2" ht="15.75" customHeight="1" x14ac:dyDescent="0.25">
      <c r="A591" s="6">
        <v>132009</v>
      </c>
      <c r="B591" s="6" t="s">
        <v>1644</v>
      </c>
    </row>
    <row r="592" spans="1:2" ht="15.75" customHeight="1" x14ac:dyDescent="0.25">
      <c r="A592" s="6">
        <v>132022</v>
      </c>
      <c r="B592" s="6" t="s">
        <v>1645</v>
      </c>
    </row>
    <row r="593" spans="1:2" ht="15.75" customHeight="1" x14ac:dyDescent="0.25">
      <c r="A593" s="6">
        <v>33001</v>
      </c>
      <c r="B593" s="6" t="s">
        <v>973</v>
      </c>
    </row>
    <row r="594" spans="1:2" ht="15.75" customHeight="1" x14ac:dyDescent="0.25">
      <c r="A594" s="6">
        <v>434001</v>
      </c>
      <c r="B594" s="6" t="s">
        <v>696</v>
      </c>
    </row>
    <row r="595" spans="1:2" ht="15.75" customHeight="1" x14ac:dyDescent="0.25">
      <c r="A595" s="6">
        <v>434002</v>
      </c>
      <c r="B595" s="6" t="s">
        <v>899</v>
      </c>
    </row>
    <row r="596" spans="1:2" ht="15.75" customHeight="1" x14ac:dyDescent="0.25">
      <c r="A596" s="6">
        <v>434003</v>
      </c>
      <c r="B596" s="6" t="s">
        <v>900</v>
      </c>
    </row>
    <row r="597" spans="1:2" ht="15.75" customHeight="1" x14ac:dyDescent="0.25">
      <c r="A597" s="6">
        <v>434004</v>
      </c>
      <c r="B597" s="6" t="s">
        <v>906</v>
      </c>
    </row>
    <row r="598" spans="1:2" ht="15.75" customHeight="1" x14ac:dyDescent="0.25">
      <c r="A598" s="6">
        <v>434005</v>
      </c>
      <c r="B598" s="6" t="s">
        <v>907</v>
      </c>
    </row>
    <row r="599" spans="1:2" ht="15.75" customHeight="1" x14ac:dyDescent="0.25">
      <c r="A599" s="6">
        <v>434006</v>
      </c>
      <c r="B599" s="6" t="s">
        <v>908</v>
      </c>
    </row>
    <row r="600" spans="1:2" ht="15.75" customHeight="1" x14ac:dyDescent="0.25">
      <c r="A600" s="6">
        <v>434007</v>
      </c>
      <c r="B600" s="6" t="s">
        <v>937</v>
      </c>
    </row>
    <row r="601" spans="1:2" ht="15.75" customHeight="1" x14ac:dyDescent="0.25">
      <c r="A601" s="6">
        <v>434008</v>
      </c>
      <c r="B601" s="6" t="s">
        <v>939</v>
      </c>
    </row>
    <row r="602" spans="1:2" ht="15.75" customHeight="1" x14ac:dyDescent="0.25">
      <c r="A602" s="6">
        <v>434009</v>
      </c>
      <c r="B602" s="6" t="s">
        <v>940</v>
      </c>
    </row>
    <row r="603" spans="1:2" ht="15.75" customHeight="1" x14ac:dyDescent="0.25">
      <c r="A603" s="6">
        <v>434012</v>
      </c>
      <c r="B603" s="6" t="s">
        <v>1047</v>
      </c>
    </row>
    <row r="604" spans="1:2" ht="15.75" customHeight="1" x14ac:dyDescent="0.25">
      <c r="A604" s="6">
        <v>434013</v>
      </c>
      <c r="B604" s="6" t="s">
        <v>1048</v>
      </c>
    </row>
    <row r="605" spans="1:2" ht="15.75" customHeight="1" x14ac:dyDescent="0.25">
      <c r="A605" s="6">
        <v>434014</v>
      </c>
      <c r="B605" s="6" t="s">
        <v>1359</v>
      </c>
    </row>
    <row r="606" spans="1:2" ht="15.75" customHeight="1" x14ac:dyDescent="0.25">
      <c r="A606" s="6">
        <v>434015</v>
      </c>
      <c r="B606" s="6" t="s">
        <v>1360</v>
      </c>
    </row>
    <row r="607" spans="1:2" ht="15.75" customHeight="1" x14ac:dyDescent="0.25">
      <c r="A607" s="6">
        <v>434016</v>
      </c>
      <c r="B607" s="6" t="s">
        <v>1365</v>
      </c>
    </row>
    <row r="608" spans="1:2" ht="15.75" customHeight="1" x14ac:dyDescent="0.25">
      <c r="A608" s="6">
        <v>434017</v>
      </c>
      <c r="B608" s="6" t="s">
        <v>1366</v>
      </c>
    </row>
    <row r="609" spans="1:2" ht="15.75" customHeight="1" x14ac:dyDescent="0.25">
      <c r="A609" s="6">
        <v>434018</v>
      </c>
      <c r="B609" s="6" t="s">
        <v>1376</v>
      </c>
    </row>
    <row r="610" spans="1:2" ht="15.75" customHeight="1" x14ac:dyDescent="0.25">
      <c r="A610" s="6">
        <v>434019</v>
      </c>
      <c r="B610" s="6" t="s">
        <v>1377</v>
      </c>
    </row>
    <row r="611" spans="1:2" ht="15.75" customHeight="1" x14ac:dyDescent="0.25">
      <c r="A611" s="6">
        <v>434020</v>
      </c>
      <c r="B611" s="6" t="s">
        <v>1430</v>
      </c>
    </row>
    <row r="612" spans="1:2" ht="15.75" customHeight="1" x14ac:dyDescent="0.25">
      <c r="A612" s="6">
        <v>434021</v>
      </c>
      <c r="B612" s="6" t="s">
        <v>1431</v>
      </c>
    </row>
    <row r="613" spans="1:2" ht="15.75" customHeight="1" x14ac:dyDescent="0.25">
      <c r="A613" s="6">
        <v>434022</v>
      </c>
      <c r="B613" s="6" t="s">
        <v>1432</v>
      </c>
    </row>
    <row r="614" spans="1:2" ht="15.75" customHeight="1" x14ac:dyDescent="0.25">
      <c r="A614" s="6">
        <v>434023</v>
      </c>
      <c r="B614" s="6" t="s">
        <v>1528</v>
      </c>
    </row>
    <row r="615" spans="1:2" ht="15.75" customHeight="1" x14ac:dyDescent="0.25">
      <c r="A615" s="6">
        <v>434024</v>
      </c>
      <c r="B615" s="6" t="s">
        <v>1529</v>
      </c>
    </row>
    <row r="616" spans="1:2" ht="15.75" customHeight="1" x14ac:dyDescent="0.25">
      <c r="A616" s="6">
        <v>434025</v>
      </c>
      <c r="B616" s="6" t="s">
        <v>1530</v>
      </c>
    </row>
    <row r="617" spans="1:2" ht="15.75" customHeight="1" x14ac:dyDescent="0.25">
      <c r="A617" s="6">
        <v>434026</v>
      </c>
      <c r="B617" s="6" t="s">
        <v>1551</v>
      </c>
    </row>
    <row r="618" spans="1:2" ht="15.75" customHeight="1" x14ac:dyDescent="0.25">
      <c r="A618" s="6">
        <v>434027</v>
      </c>
      <c r="B618" s="6" t="s">
        <v>1552</v>
      </c>
    </row>
    <row r="619" spans="1:2" ht="15.75" customHeight="1" x14ac:dyDescent="0.25">
      <c r="A619" s="6">
        <v>434028</v>
      </c>
      <c r="B619" s="6" t="s">
        <v>1553</v>
      </c>
    </row>
    <row r="620" spans="1:2" ht="15.75" customHeight="1" x14ac:dyDescent="0.25">
      <c r="A620" s="6">
        <v>434029</v>
      </c>
      <c r="B620" s="6" t="s">
        <v>1563</v>
      </c>
    </row>
    <row r="621" spans="1:2" ht="15.75" customHeight="1" x14ac:dyDescent="0.25">
      <c r="A621" s="6">
        <v>434030</v>
      </c>
      <c r="B621" s="6" t="s">
        <v>1564</v>
      </c>
    </row>
    <row r="622" spans="1:2" ht="15.75" customHeight="1" x14ac:dyDescent="0.25">
      <c r="A622" s="6">
        <v>434031</v>
      </c>
      <c r="B622" s="6" t="s">
        <v>1565</v>
      </c>
    </row>
    <row r="623" spans="1:2" ht="15.75" customHeight="1" x14ac:dyDescent="0.25">
      <c r="A623" s="6">
        <v>434032</v>
      </c>
      <c r="B623" s="6" t="s">
        <v>1566</v>
      </c>
    </row>
    <row r="624" spans="1:2" ht="15.75" customHeight="1" x14ac:dyDescent="0.25">
      <c r="A624" s="6">
        <v>434033</v>
      </c>
      <c r="B624" s="6" t="s">
        <v>1568</v>
      </c>
    </row>
    <row r="625" spans="1:2" ht="15.75" customHeight="1" x14ac:dyDescent="0.25">
      <c r="A625" s="6">
        <v>434034</v>
      </c>
      <c r="B625" s="6" t="s">
        <v>1567</v>
      </c>
    </row>
    <row r="626" spans="1:2" ht="15.75" customHeight="1" x14ac:dyDescent="0.25">
      <c r="A626" s="6">
        <v>35001</v>
      </c>
      <c r="B626" s="6" t="s">
        <v>1013</v>
      </c>
    </row>
    <row r="627" spans="1:2" ht="15.75" customHeight="1" x14ac:dyDescent="0.25">
      <c r="A627" s="6">
        <v>35002</v>
      </c>
      <c r="B627" s="6" t="s">
        <v>1014</v>
      </c>
    </row>
    <row r="628" spans="1:2" ht="15.75" customHeight="1" x14ac:dyDescent="0.25">
      <c r="A628" s="6">
        <v>35003</v>
      </c>
      <c r="B628" s="6" t="s">
        <v>1543</v>
      </c>
    </row>
    <row r="629" spans="1:2" ht="15.75" customHeight="1" x14ac:dyDescent="0.25">
      <c r="A629" s="6">
        <v>35004</v>
      </c>
      <c r="B629" s="6" t="s">
        <v>568</v>
      </c>
    </row>
    <row r="630" spans="1:2" ht="15.75" customHeight="1" x14ac:dyDescent="0.25">
      <c r="A630" s="6">
        <v>35005</v>
      </c>
      <c r="B630" s="6" t="s">
        <v>564</v>
      </c>
    </row>
    <row r="631" spans="1:2" ht="15.75" customHeight="1" x14ac:dyDescent="0.25">
      <c r="A631" s="6">
        <v>235003</v>
      </c>
      <c r="B631" s="6" t="s">
        <v>818</v>
      </c>
    </row>
    <row r="632" spans="1:2" ht="15.75" customHeight="1" x14ac:dyDescent="0.25">
      <c r="A632" s="6">
        <v>235004</v>
      </c>
      <c r="B632" s="6" t="s">
        <v>812</v>
      </c>
    </row>
    <row r="633" spans="1:2" ht="15.75" customHeight="1" x14ac:dyDescent="0.25">
      <c r="A633" s="6">
        <v>235005</v>
      </c>
      <c r="B633" s="6" t="s">
        <v>811</v>
      </c>
    </row>
    <row r="634" spans="1:2" ht="15.75" customHeight="1" x14ac:dyDescent="0.25">
      <c r="A634" s="6">
        <v>235006</v>
      </c>
      <c r="B634" s="6" t="s">
        <v>814</v>
      </c>
    </row>
    <row r="635" spans="1:2" ht="15.75" customHeight="1" x14ac:dyDescent="0.25">
      <c r="A635" s="6">
        <v>235007</v>
      </c>
      <c r="B635" s="6" t="s">
        <v>813</v>
      </c>
    </row>
    <row r="636" spans="1:2" ht="15.75" customHeight="1" x14ac:dyDescent="0.25">
      <c r="A636" s="6">
        <v>235008</v>
      </c>
      <c r="B636" s="6" t="s">
        <v>817</v>
      </c>
    </row>
    <row r="637" spans="1:2" ht="15.75" customHeight="1" x14ac:dyDescent="0.25">
      <c r="A637" s="6">
        <v>235009</v>
      </c>
      <c r="B637" s="6" t="s">
        <v>815</v>
      </c>
    </row>
    <row r="638" spans="1:2" ht="15.75" customHeight="1" x14ac:dyDescent="0.25">
      <c r="A638" s="6">
        <v>235010</v>
      </c>
      <c r="B638" s="6" t="s">
        <v>816</v>
      </c>
    </row>
    <row r="639" spans="1:2" ht="15.75" customHeight="1" x14ac:dyDescent="0.25">
      <c r="A639" s="6">
        <v>235011</v>
      </c>
      <c r="B639" s="6" t="s">
        <v>749</v>
      </c>
    </row>
    <row r="640" spans="1:2" ht="15.75" customHeight="1" x14ac:dyDescent="0.25">
      <c r="A640" s="6">
        <v>235012</v>
      </c>
      <c r="B640" s="6" t="s">
        <v>747</v>
      </c>
    </row>
    <row r="641" spans="1:2" ht="15.75" customHeight="1" x14ac:dyDescent="0.25">
      <c r="A641" s="6">
        <v>235013</v>
      </c>
      <c r="B641" s="6" t="s">
        <v>748</v>
      </c>
    </row>
    <row r="642" spans="1:2" ht="15.75" customHeight="1" x14ac:dyDescent="0.25">
      <c r="A642" s="6">
        <v>235014</v>
      </c>
      <c r="B642" s="6" t="s">
        <v>1646</v>
      </c>
    </row>
    <row r="643" spans="1:2" ht="15.75" customHeight="1" x14ac:dyDescent="0.25">
      <c r="A643" s="6">
        <v>235015</v>
      </c>
      <c r="B643" s="6" t="s">
        <v>1647</v>
      </c>
    </row>
    <row r="644" spans="1:2" ht="15.75" customHeight="1" x14ac:dyDescent="0.25">
      <c r="A644" s="6">
        <v>235016</v>
      </c>
      <c r="B644" s="6" t="s">
        <v>1648</v>
      </c>
    </row>
    <row r="645" spans="1:2" ht="15.75" customHeight="1" x14ac:dyDescent="0.25">
      <c r="A645" s="6">
        <v>235017</v>
      </c>
      <c r="B645" s="6" t="s">
        <v>1649</v>
      </c>
    </row>
    <row r="646" spans="1:2" ht="15.75" customHeight="1" x14ac:dyDescent="0.25">
      <c r="A646" s="6">
        <v>236001</v>
      </c>
      <c r="B646" s="6" t="s">
        <v>1394</v>
      </c>
    </row>
    <row r="647" spans="1:2" ht="15.75" customHeight="1" x14ac:dyDescent="0.25">
      <c r="A647" s="6">
        <v>236002</v>
      </c>
      <c r="B647" s="6" t="s">
        <v>1384</v>
      </c>
    </row>
    <row r="648" spans="1:2" ht="15.75" customHeight="1" x14ac:dyDescent="0.25">
      <c r="A648" s="6">
        <v>236003</v>
      </c>
      <c r="B648" s="6" t="s">
        <v>1393</v>
      </c>
    </row>
    <row r="649" spans="1:2" ht="15.75" customHeight="1" x14ac:dyDescent="0.25">
      <c r="A649" s="6">
        <v>236004</v>
      </c>
      <c r="B649" s="6" t="s">
        <v>1395</v>
      </c>
    </row>
    <row r="650" spans="1:2" ht="15.75" customHeight="1" x14ac:dyDescent="0.25">
      <c r="A650" s="6">
        <v>236005</v>
      </c>
      <c r="B650" s="6" t="s">
        <v>1383</v>
      </c>
    </row>
    <row r="651" spans="1:2" ht="15.75" customHeight="1" x14ac:dyDescent="0.25">
      <c r="A651" s="6">
        <v>236006</v>
      </c>
      <c r="B651" s="6" t="s">
        <v>1382</v>
      </c>
    </row>
    <row r="652" spans="1:2" ht="15.75" customHeight="1" x14ac:dyDescent="0.25">
      <c r="A652" s="6">
        <v>37001</v>
      </c>
      <c r="B652" s="6" t="s">
        <v>700</v>
      </c>
    </row>
    <row r="653" spans="1:2" ht="15.75" customHeight="1" x14ac:dyDescent="0.25">
      <c r="A653" s="6">
        <v>37002</v>
      </c>
      <c r="B653" s="6" t="s">
        <v>983</v>
      </c>
    </row>
    <row r="654" spans="1:2" ht="15.75" customHeight="1" x14ac:dyDescent="0.25">
      <c r="A654" s="6">
        <v>37003</v>
      </c>
      <c r="B654" s="6" t="s">
        <v>985</v>
      </c>
    </row>
    <row r="655" spans="1:2" ht="15.75" customHeight="1" x14ac:dyDescent="0.25">
      <c r="A655" s="6">
        <v>37004</v>
      </c>
      <c r="B655" s="6" t="s">
        <v>987</v>
      </c>
    </row>
    <row r="656" spans="1:2" ht="15.75" customHeight="1" x14ac:dyDescent="0.25">
      <c r="A656" s="6">
        <v>37005</v>
      </c>
      <c r="B656" s="6" t="s">
        <v>1455</v>
      </c>
    </row>
    <row r="657" spans="1:2" ht="15.75" customHeight="1" x14ac:dyDescent="0.25">
      <c r="A657" s="6">
        <v>37006</v>
      </c>
      <c r="B657" s="6" t="s">
        <v>1453</v>
      </c>
    </row>
    <row r="658" spans="1:2" ht="15.75" customHeight="1" x14ac:dyDescent="0.25">
      <c r="A658" s="6">
        <v>37007</v>
      </c>
      <c r="B658" s="6" t="s">
        <v>1451</v>
      </c>
    </row>
    <row r="659" spans="1:2" ht="15.75" customHeight="1" x14ac:dyDescent="0.25">
      <c r="A659" s="6">
        <v>37008</v>
      </c>
      <c r="B659" s="6" t="s">
        <v>1456</v>
      </c>
    </row>
    <row r="660" spans="1:2" ht="15.75" customHeight="1" x14ac:dyDescent="0.25">
      <c r="A660" s="6">
        <v>37009</v>
      </c>
      <c r="B660" s="6" t="s">
        <v>1454</v>
      </c>
    </row>
    <row r="661" spans="1:2" ht="15.75" customHeight="1" x14ac:dyDescent="0.25">
      <c r="A661" s="6">
        <v>37010</v>
      </c>
      <c r="B661" s="6" t="s">
        <v>1452</v>
      </c>
    </row>
    <row r="662" spans="1:2" ht="15.75" customHeight="1" x14ac:dyDescent="0.25">
      <c r="A662" s="6">
        <v>37011</v>
      </c>
      <c r="B662" s="6" t="s">
        <v>701</v>
      </c>
    </row>
    <row r="663" spans="1:2" ht="15.75" customHeight="1" x14ac:dyDescent="0.25">
      <c r="A663" s="6">
        <v>37012</v>
      </c>
      <c r="B663" s="6" t="s">
        <v>984</v>
      </c>
    </row>
    <row r="664" spans="1:2" ht="15.75" customHeight="1" x14ac:dyDescent="0.25">
      <c r="A664" s="6">
        <v>37013</v>
      </c>
      <c r="B664" s="6" t="s">
        <v>986</v>
      </c>
    </row>
    <row r="665" spans="1:2" ht="15.75" customHeight="1" x14ac:dyDescent="0.25">
      <c r="A665" s="6">
        <v>37014</v>
      </c>
      <c r="B665" s="6" t="s">
        <v>988</v>
      </c>
    </row>
    <row r="666" spans="1:2" ht="15.75" customHeight="1" x14ac:dyDescent="0.25">
      <c r="A666" s="6">
        <v>37015</v>
      </c>
      <c r="B666" s="6" t="s">
        <v>1362</v>
      </c>
    </row>
    <row r="667" spans="1:2" ht="15.75" customHeight="1" x14ac:dyDescent="0.25">
      <c r="A667" s="6">
        <v>37016</v>
      </c>
      <c r="B667" s="6" t="s">
        <v>1363</v>
      </c>
    </row>
    <row r="668" spans="1:2" ht="15.75" customHeight="1" x14ac:dyDescent="0.25">
      <c r="A668" s="6">
        <v>137017</v>
      </c>
      <c r="B668" s="6" t="s">
        <v>1364</v>
      </c>
    </row>
    <row r="669" spans="1:2" ht="15.75" customHeight="1" x14ac:dyDescent="0.25">
      <c r="A669" s="6">
        <v>338001</v>
      </c>
      <c r="B669" s="6" t="s">
        <v>1091</v>
      </c>
    </row>
    <row r="670" spans="1:2" ht="15.75" customHeight="1" x14ac:dyDescent="0.25">
      <c r="A670" s="6">
        <v>338002</v>
      </c>
      <c r="B670" s="6" t="s">
        <v>1579</v>
      </c>
    </row>
    <row r="671" spans="1:2" ht="15.75" customHeight="1" x14ac:dyDescent="0.25">
      <c r="A671" s="6">
        <v>338003</v>
      </c>
      <c r="B671" s="6" t="s">
        <v>1090</v>
      </c>
    </row>
    <row r="672" spans="1:2" ht="15.75" customHeight="1" x14ac:dyDescent="0.25">
      <c r="A672" s="6">
        <v>338004</v>
      </c>
      <c r="B672" s="6" t="s">
        <v>995</v>
      </c>
    </row>
    <row r="673" spans="1:2" ht="15.75" customHeight="1" x14ac:dyDescent="0.25">
      <c r="A673" s="6">
        <v>338005</v>
      </c>
      <c r="B673" s="6" t="s">
        <v>1072</v>
      </c>
    </row>
    <row r="674" spans="1:2" ht="15.75" customHeight="1" x14ac:dyDescent="0.25">
      <c r="A674" s="6">
        <v>338006</v>
      </c>
      <c r="B674" s="6" t="s">
        <v>1073</v>
      </c>
    </row>
    <row r="675" spans="1:2" ht="15.75" customHeight="1" x14ac:dyDescent="0.25">
      <c r="A675" s="6">
        <v>338007</v>
      </c>
      <c r="B675" s="6" t="s">
        <v>1114</v>
      </c>
    </row>
    <row r="676" spans="1:2" ht="15.75" customHeight="1" x14ac:dyDescent="0.25">
      <c r="A676" s="6">
        <v>338008</v>
      </c>
      <c r="B676" s="6" t="s">
        <v>769</v>
      </c>
    </row>
    <row r="677" spans="1:2" ht="15.75" customHeight="1" x14ac:dyDescent="0.25">
      <c r="A677" s="6">
        <v>338009</v>
      </c>
      <c r="B677" s="6" t="s">
        <v>1590</v>
      </c>
    </row>
    <row r="678" spans="1:2" ht="15.75" customHeight="1" x14ac:dyDescent="0.25">
      <c r="A678" s="6">
        <v>338010</v>
      </c>
      <c r="B678" s="6" t="s">
        <v>1592</v>
      </c>
    </row>
    <row r="679" spans="1:2" ht="15.75" customHeight="1" x14ac:dyDescent="0.25">
      <c r="A679" s="6">
        <v>338011</v>
      </c>
      <c r="B679" s="6" t="s">
        <v>1591</v>
      </c>
    </row>
    <row r="680" spans="1:2" ht="15.75" customHeight="1" x14ac:dyDescent="0.25">
      <c r="A680" s="6">
        <v>338012</v>
      </c>
      <c r="B680" s="6" t="s">
        <v>1593</v>
      </c>
    </row>
    <row r="681" spans="1:2" ht="15.75" customHeight="1" x14ac:dyDescent="0.25">
      <c r="A681" s="6">
        <v>338013</v>
      </c>
      <c r="B681" s="6" t="s">
        <v>1595</v>
      </c>
    </row>
    <row r="682" spans="1:2" ht="15.75" customHeight="1" x14ac:dyDescent="0.25">
      <c r="A682" s="6">
        <v>338014</v>
      </c>
      <c r="B682" s="6" t="s">
        <v>1594</v>
      </c>
    </row>
    <row r="683" spans="1:2" ht="15.75" customHeight="1" x14ac:dyDescent="0.25">
      <c r="A683" s="6">
        <v>338015</v>
      </c>
      <c r="B683" s="6" t="s">
        <v>1078</v>
      </c>
    </row>
    <row r="684" spans="1:2" ht="15.75" customHeight="1" x14ac:dyDescent="0.25">
      <c r="A684" s="6">
        <v>338016</v>
      </c>
      <c r="B684" s="6" t="s">
        <v>1079</v>
      </c>
    </row>
    <row r="685" spans="1:2" ht="15.75" customHeight="1" x14ac:dyDescent="0.25">
      <c r="A685" s="6">
        <v>338017</v>
      </c>
      <c r="B685" s="6" t="s">
        <v>1080</v>
      </c>
    </row>
    <row r="686" spans="1:2" ht="15.75" customHeight="1" x14ac:dyDescent="0.25">
      <c r="A686" s="6">
        <v>338018</v>
      </c>
      <c r="B686" s="6" t="s">
        <v>1076</v>
      </c>
    </row>
    <row r="687" spans="1:2" ht="15.75" customHeight="1" x14ac:dyDescent="0.25">
      <c r="A687" s="6">
        <v>338019</v>
      </c>
      <c r="B687" s="6" t="s">
        <v>1075</v>
      </c>
    </row>
    <row r="688" spans="1:2" ht="15.75" customHeight="1" x14ac:dyDescent="0.25">
      <c r="A688" s="6">
        <v>338020</v>
      </c>
      <c r="B688" s="6" t="s">
        <v>1077</v>
      </c>
    </row>
    <row r="689" spans="1:2" ht="15.75" customHeight="1" x14ac:dyDescent="0.25">
      <c r="A689" s="6">
        <v>338021</v>
      </c>
      <c r="B689" s="6" t="s">
        <v>1081</v>
      </c>
    </row>
    <row r="690" spans="1:2" ht="15.75" customHeight="1" x14ac:dyDescent="0.25">
      <c r="A690" s="6">
        <v>39001</v>
      </c>
      <c r="B690" s="6" t="s">
        <v>1510</v>
      </c>
    </row>
    <row r="691" spans="1:2" ht="15.75" customHeight="1" x14ac:dyDescent="0.25">
      <c r="A691" s="6">
        <v>39002</v>
      </c>
      <c r="B691" s="6" t="s">
        <v>1494</v>
      </c>
    </row>
    <row r="692" spans="1:2" ht="15.75" customHeight="1" x14ac:dyDescent="0.25">
      <c r="A692" s="6">
        <v>39003</v>
      </c>
      <c r="B692" s="6" t="s">
        <v>1520</v>
      </c>
    </row>
    <row r="693" spans="1:2" ht="15.75" customHeight="1" x14ac:dyDescent="0.25">
      <c r="A693" s="6">
        <v>39004</v>
      </c>
      <c r="B693" s="6" t="s">
        <v>1511</v>
      </c>
    </row>
    <row r="694" spans="1:2" ht="15.75" customHeight="1" x14ac:dyDescent="0.25">
      <c r="A694" s="6">
        <v>39005</v>
      </c>
      <c r="B694" s="6" t="s">
        <v>1495</v>
      </c>
    </row>
    <row r="695" spans="1:2" ht="15.75" customHeight="1" x14ac:dyDescent="0.25">
      <c r="A695" s="6">
        <v>39006</v>
      </c>
      <c r="B695" s="6" t="s">
        <v>1521</v>
      </c>
    </row>
    <row r="696" spans="1:2" ht="15.75" customHeight="1" x14ac:dyDescent="0.25">
      <c r="A696" s="6">
        <v>39007</v>
      </c>
      <c r="B696" s="6" t="s">
        <v>1508</v>
      </c>
    </row>
    <row r="697" spans="1:2" ht="15.75" customHeight="1" x14ac:dyDescent="0.25">
      <c r="A697" s="6">
        <v>39008</v>
      </c>
      <c r="B697" s="6" t="s">
        <v>1492</v>
      </c>
    </row>
    <row r="698" spans="1:2" ht="15.75" customHeight="1" x14ac:dyDescent="0.25">
      <c r="A698" s="6">
        <v>39009</v>
      </c>
      <c r="B698" s="6" t="s">
        <v>1518</v>
      </c>
    </row>
    <row r="699" spans="1:2" ht="15.75" customHeight="1" x14ac:dyDescent="0.25">
      <c r="A699" s="6">
        <v>39010</v>
      </c>
      <c r="B699" s="6" t="s">
        <v>1509</v>
      </c>
    </row>
    <row r="700" spans="1:2" ht="15.75" customHeight="1" x14ac:dyDescent="0.25">
      <c r="A700" s="6">
        <v>39011</v>
      </c>
      <c r="B700" s="6" t="s">
        <v>1493</v>
      </c>
    </row>
    <row r="701" spans="1:2" ht="15.75" customHeight="1" x14ac:dyDescent="0.25">
      <c r="A701" s="6">
        <v>39012</v>
      </c>
      <c r="B701" s="6" t="s">
        <v>1519</v>
      </c>
    </row>
    <row r="702" spans="1:2" ht="15.75" customHeight="1" x14ac:dyDescent="0.25">
      <c r="A702" s="6">
        <v>39013</v>
      </c>
      <c r="B702" s="6" t="s">
        <v>1506</v>
      </c>
    </row>
    <row r="703" spans="1:2" ht="15.75" customHeight="1" x14ac:dyDescent="0.25">
      <c r="A703" s="6">
        <v>39014</v>
      </c>
      <c r="B703" s="6" t="s">
        <v>1490</v>
      </c>
    </row>
    <row r="704" spans="1:2" ht="15.75" customHeight="1" x14ac:dyDescent="0.25">
      <c r="A704" s="6">
        <v>39015</v>
      </c>
      <c r="B704" s="6" t="s">
        <v>1516</v>
      </c>
    </row>
    <row r="705" spans="1:2" ht="15.75" customHeight="1" x14ac:dyDescent="0.25">
      <c r="A705" s="6">
        <v>39016</v>
      </c>
      <c r="B705" s="6" t="s">
        <v>1507</v>
      </c>
    </row>
    <row r="706" spans="1:2" ht="15.75" customHeight="1" x14ac:dyDescent="0.25">
      <c r="A706" s="6">
        <v>39017</v>
      </c>
      <c r="B706" s="6" t="s">
        <v>1491</v>
      </c>
    </row>
    <row r="707" spans="1:2" ht="15.75" customHeight="1" x14ac:dyDescent="0.25">
      <c r="A707" s="6">
        <v>39018</v>
      </c>
      <c r="B707" s="6" t="s">
        <v>1517</v>
      </c>
    </row>
    <row r="708" spans="1:2" ht="15.75" customHeight="1" x14ac:dyDescent="0.25">
      <c r="A708" s="6">
        <v>440001</v>
      </c>
      <c r="B708" s="6" t="s">
        <v>796</v>
      </c>
    </row>
    <row r="709" spans="1:2" ht="15.75" customHeight="1" x14ac:dyDescent="0.25">
      <c r="A709" s="6">
        <v>440002</v>
      </c>
      <c r="B709" s="6" t="s">
        <v>802</v>
      </c>
    </row>
    <row r="710" spans="1:2" ht="15.75" customHeight="1" x14ac:dyDescent="0.25">
      <c r="A710" s="6">
        <v>440003</v>
      </c>
      <c r="B710" s="6" t="s">
        <v>797</v>
      </c>
    </row>
    <row r="711" spans="1:2" ht="15.75" customHeight="1" x14ac:dyDescent="0.25">
      <c r="A711" s="6">
        <v>440004</v>
      </c>
      <c r="B711" s="6" t="s">
        <v>798</v>
      </c>
    </row>
    <row r="712" spans="1:2" ht="15.75" customHeight="1" x14ac:dyDescent="0.25">
      <c r="A712" s="6">
        <v>440005</v>
      </c>
      <c r="B712" s="6" t="s">
        <v>804</v>
      </c>
    </row>
    <row r="713" spans="1:2" ht="15.75" customHeight="1" x14ac:dyDescent="0.25">
      <c r="A713" s="6">
        <v>440006</v>
      </c>
      <c r="B713" s="6" t="s">
        <v>801</v>
      </c>
    </row>
    <row r="714" spans="1:2" ht="15.75" customHeight="1" x14ac:dyDescent="0.25">
      <c r="A714" s="6">
        <v>440007</v>
      </c>
      <c r="B714" s="6" t="s">
        <v>803</v>
      </c>
    </row>
    <row r="715" spans="1:2" ht="15.75" customHeight="1" x14ac:dyDescent="0.25">
      <c r="A715" s="6">
        <v>440008</v>
      </c>
      <c r="B715" s="6" t="s">
        <v>799</v>
      </c>
    </row>
    <row r="716" spans="1:2" ht="15.75" customHeight="1" x14ac:dyDescent="0.25">
      <c r="A716" s="6">
        <v>440009</v>
      </c>
      <c r="B716" s="6" t="s">
        <v>800</v>
      </c>
    </row>
    <row r="717" spans="1:2" ht="15.75" customHeight="1" x14ac:dyDescent="0.25">
      <c r="A717" s="6">
        <v>440010</v>
      </c>
      <c r="B717" s="6" t="s">
        <v>787</v>
      </c>
    </row>
    <row r="718" spans="1:2" ht="15.75" customHeight="1" x14ac:dyDescent="0.25">
      <c r="A718" s="6">
        <v>440011</v>
      </c>
      <c r="B718" s="6" t="s">
        <v>793</v>
      </c>
    </row>
    <row r="719" spans="1:2" ht="15.75" customHeight="1" x14ac:dyDescent="0.25">
      <c r="A719" s="6">
        <v>440012</v>
      </c>
      <c r="B719" s="6" t="s">
        <v>788</v>
      </c>
    </row>
    <row r="720" spans="1:2" ht="15.75" customHeight="1" x14ac:dyDescent="0.25">
      <c r="A720" s="6">
        <v>440013</v>
      </c>
      <c r="B720" s="6" t="s">
        <v>789</v>
      </c>
    </row>
    <row r="721" spans="1:2" ht="15.75" customHeight="1" x14ac:dyDescent="0.25">
      <c r="A721" s="6">
        <v>440014</v>
      </c>
      <c r="B721" s="6" t="s">
        <v>795</v>
      </c>
    </row>
    <row r="722" spans="1:2" ht="15.75" customHeight="1" x14ac:dyDescent="0.25">
      <c r="A722" s="6">
        <v>440015</v>
      </c>
      <c r="B722" s="6" t="s">
        <v>792</v>
      </c>
    </row>
    <row r="723" spans="1:2" ht="15.75" customHeight="1" x14ac:dyDescent="0.25">
      <c r="A723" s="6">
        <v>440016</v>
      </c>
      <c r="B723" s="6" t="s">
        <v>794</v>
      </c>
    </row>
    <row r="724" spans="1:2" ht="15.75" customHeight="1" x14ac:dyDescent="0.25">
      <c r="A724" s="6">
        <v>440017</v>
      </c>
      <c r="B724" s="6" t="s">
        <v>790</v>
      </c>
    </row>
    <row r="725" spans="1:2" ht="15.75" customHeight="1" x14ac:dyDescent="0.25">
      <c r="A725" s="6">
        <v>440018</v>
      </c>
      <c r="B725" s="6" t="s">
        <v>791</v>
      </c>
    </row>
    <row r="726" spans="1:2" ht="15.75" customHeight="1" x14ac:dyDescent="0.25">
      <c r="A726" s="6">
        <v>440019</v>
      </c>
      <c r="B726" s="6" t="s">
        <v>778</v>
      </c>
    </row>
    <row r="727" spans="1:2" ht="15.75" customHeight="1" x14ac:dyDescent="0.25">
      <c r="A727" s="6">
        <v>440020</v>
      </c>
      <c r="B727" s="6" t="s">
        <v>784</v>
      </c>
    </row>
    <row r="728" spans="1:2" ht="15.75" customHeight="1" x14ac:dyDescent="0.25">
      <c r="A728" s="6">
        <v>440021</v>
      </c>
      <c r="B728" s="6" t="s">
        <v>779</v>
      </c>
    </row>
    <row r="729" spans="1:2" ht="15.75" customHeight="1" x14ac:dyDescent="0.25">
      <c r="A729" s="6">
        <v>440022</v>
      </c>
      <c r="B729" s="6" t="s">
        <v>780</v>
      </c>
    </row>
    <row r="730" spans="1:2" ht="15.75" customHeight="1" x14ac:dyDescent="0.25">
      <c r="A730" s="6">
        <v>440023</v>
      </c>
      <c r="B730" s="6" t="s">
        <v>786</v>
      </c>
    </row>
    <row r="731" spans="1:2" ht="15.75" customHeight="1" x14ac:dyDescent="0.25">
      <c r="A731" s="6">
        <v>440024</v>
      </c>
      <c r="B731" s="6" t="s">
        <v>783</v>
      </c>
    </row>
    <row r="732" spans="1:2" ht="15.75" customHeight="1" x14ac:dyDescent="0.25">
      <c r="A732" s="6">
        <v>440025</v>
      </c>
      <c r="B732" s="6" t="s">
        <v>785</v>
      </c>
    </row>
    <row r="733" spans="1:2" ht="15.75" customHeight="1" x14ac:dyDescent="0.25">
      <c r="A733" s="6">
        <v>440026</v>
      </c>
      <c r="B733" s="6" t="s">
        <v>781</v>
      </c>
    </row>
    <row r="734" spans="1:2" ht="15.75" customHeight="1" x14ac:dyDescent="0.25">
      <c r="A734" s="6">
        <v>440027</v>
      </c>
      <c r="B734" s="6" t="s">
        <v>782</v>
      </c>
    </row>
    <row r="735" spans="1:2" ht="15.75" customHeight="1" x14ac:dyDescent="0.25">
      <c r="A735" s="6">
        <v>440028</v>
      </c>
      <c r="B735" s="6" t="s">
        <v>770</v>
      </c>
    </row>
    <row r="736" spans="1:2" ht="15.75" customHeight="1" x14ac:dyDescent="0.25">
      <c r="A736" s="6">
        <v>440029</v>
      </c>
      <c r="B736" s="6" t="s">
        <v>775</v>
      </c>
    </row>
    <row r="737" spans="1:2" ht="15.75" customHeight="1" x14ac:dyDescent="0.25">
      <c r="A737" s="6">
        <v>440030</v>
      </c>
      <c r="B737" s="6" t="s">
        <v>771</v>
      </c>
    </row>
    <row r="738" spans="1:2" ht="15.75" customHeight="1" x14ac:dyDescent="0.25">
      <c r="A738" s="6">
        <v>440031</v>
      </c>
      <c r="B738" s="6" t="s">
        <v>772</v>
      </c>
    </row>
    <row r="739" spans="1:2" ht="15.75" customHeight="1" x14ac:dyDescent="0.25">
      <c r="A739" s="6">
        <v>440032</v>
      </c>
      <c r="B739" s="6" t="s">
        <v>777</v>
      </c>
    </row>
    <row r="740" spans="1:2" ht="15.75" customHeight="1" x14ac:dyDescent="0.25">
      <c r="A740" s="6">
        <v>440033</v>
      </c>
      <c r="B740" s="6" t="s">
        <v>774</v>
      </c>
    </row>
    <row r="741" spans="1:2" ht="15.75" customHeight="1" x14ac:dyDescent="0.25">
      <c r="A741" s="6">
        <v>440034</v>
      </c>
      <c r="B741" s="6" t="s">
        <v>776</v>
      </c>
    </row>
    <row r="742" spans="1:2" ht="15.75" customHeight="1" x14ac:dyDescent="0.25">
      <c r="A742" s="6">
        <v>440035</v>
      </c>
      <c r="B742" s="6" t="s">
        <v>773</v>
      </c>
    </row>
    <row r="743" spans="1:2" ht="15.75" customHeight="1" x14ac:dyDescent="0.25">
      <c r="A743" s="6">
        <v>440036</v>
      </c>
      <c r="B743" s="6" t="s">
        <v>712</v>
      </c>
    </row>
    <row r="744" spans="1:2" ht="15.75" customHeight="1" x14ac:dyDescent="0.25">
      <c r="A744" s="6">
        <v>440037</v>
      </c>
      <c r="B744" s="6" t="s">
        <v>710</v>
      </c>
    </row>
    <row r="745" spans="1:2" ht="15.75" customHeight="1" x14ac:dyDescent="0.25">
      <c r="A745" s="6">
        <v>440038</v>
      </c>
      <c r="B745" s="6" t="s">
        <v>716</v>
      </c>
    </row>
    <row r="746" spans="1:2" ht="15.75" customHeight="1" x14ac:dyDescent="0.25">
      <c r="A746" s="6">
        <v>440039</v>
      </c>
      <c r="B746" s="6" t="s">
        <v>711</v>
      </c>
    </row>
    <row r="747" spans="1:2" ht="15.75" customHeight="1" x14ac:dyDescent="0.25">
      <c r="A747" s="6">
        <v>440040</v>
      </c>
      <c r="B747" s="6" t="s">
        <v>715</v>
      </c>
    </row>
    <row r="748" spans="1:2" ht="15.75" customHeight="1" x14ac:dyDescent="0.25">
      <c r="A748" s="6">
        <v>440041</v>
      </c>
      <c r="B748" s="6" t="s">
        <v>718</v>
      </c>
    </row>
    <row r="749" spans="1:2" ht="15.75" customHeight="1" x14ac:dyDescent="0.25">
      <c r="A749" s="6">
        <v>440042</v>
      </c>
      <c r="B749" s="6" t="s">
        <v>717</v>
      </c>
    </row>
    <row r="750" spans="1:2" ht="15.75" customHeight="1" x14ac:dyDescent="0.25">
      <c r="A750" s="6">
        <v>440043</v>
      </c>
      <c r="B750" s="6" t="s">
        <v>713</v>
      </c>
    </row>
    <row r="751" spans="1:2" ht="15.75" customHeight="1" x14ac:dyDescent="0.25">
      <c r="A751" s="6">
        <v>440044</v>
      </c>
      <c r="B751" s="6" t="s">
        <v>714</v>
      </c>
    </row>
    <row r="752" spans="1:2" ht="15.75" customHeight="1" x14ac:dyDescent="0.25">
      <c r="A752" s="6">
        <v>440045</v>
      </c>
      <c r="B752" s="6" t="s">
        <v>709</v>
      </c>
    </row>
    <row r="753" spans="1:2" ht="15.75" customHeight="1" x14ac:dyDescent="0.25">
      <c r="A753" s="6">
        <v>440046</v>
      </c>
      <c r="B753" s="6" t="s">
        <v>1170</v>
      </c>
    </row>
    <row r="754" spans="1:2" ht="15.75" customHeight="1" x14ac:dyDescent="0.25">
      <c r="A754" s="6">
        <v>440047</v>
      </c>
      <c r="B754" s="6" t="s">
        <v>1168</v>
      </c>
    </row>
    <row r="755" spans="1:2" ht="15.75" customHeight="1" x14ac:dyDescent="0.25">
      <c r="A755" s="6">
        <v>440048</v>
      </c>
      <c r="B755" s="6" t="s">
        <v>1174</v>
      </c>
    </row>
    <row r="756" spans="1:2" ht="15.75" customHeight="1" x14ac:dyDescent="0.25">
      <c r="A756" s="6">
        <v>440049</v>
      </c>
      <c r="B756" s="6" t="s">
        <v>1169</v>
      </c>
    </row>
    <row r="757" spans="1:2" ht="15.75" customHeight="1" x14ac:dyDescent="0.25">
      <c r="A757" s="6">
        <v>440050</v>
      </c>
      <c r="B757" s="6" t="s">
        <v>1173</v>
      </c>
    </row>
    <row r="758" spans="1:2" ht="15.75" customHeight="1" x14ac:dyDescent="0.25">
      <c r="A758" s="6">
        <v>440051</v>
      </c>
      <c r="B758" s="6" t="s">
        <v>1176</v>
      </c>
    </row>
    <row r="759" spans="1:2" ht="15.75" customHeight="1" x14ac:dyDescent="0.25">
      <c r="A759" s="6">
        <v>440052</v>
      </c>
      <c r="B759" s="6" t="s">
        <v>1175</v>
      </c>
    </row>
    <row r="760" spans="1:2" ht="15.75" customHeight="1" x14ac:dyDescent="0.25">
      <c r="A760" s="6">
        <v>440053</v>
      </c>
      <c r="B760" s="6" t="s">
        <v>1171</v>
      </c>
    </row>
    <row r="761" spans="1:2" ht="15.75" customHeight="1" x14ac:dyDescent="0.25">
      <c r="A761" s="6">
        <v>440054</v>
      </c>
      <c r="B761" s="6" t="s">
        <v>1172</v>
      </c>
    </row>
    <row r="762" spans="1:2" ht="15.75" customHeight="1" x14ac:dyDescent="0.25">
      <c r="A762" s="6">
        <v>440055</v>
      </c>
      <c r="B762" s="6" t="s">
        <v>1167</v>
      </c>
    </row>
    <row r="763" spans="1:2" ht="15.75" customHeight="1" x14ac:dyDescent="0.25">
      <c r="A763" s="6">
        <v>441001</v>
      </c>
      <c r="B763" s="6" t="s">
        <v>796</v>
      </c>
    </row>
    <row r="764" spans="1:2" ht="15.75" customHeight="1" x14ac:dyDescent="0.25">
      <c r="A764" s="6">
        <v>441002</v>
      </c>
      <c r="B764" s="6" t="s">
        <v>802</v>
      </c>
    </row>
    <row r="765" spans="1:2" ht="15.75" customHeight="1" x14ac:dyDescent="0.25">
      <c r="A765" s="6">
        <v>441003</v>
      </c>
      <c r="B765" s="6" t="s">
        <v>797</v>
      </c>
    </row>
    <row r="766" spans="1:2" ht="15.75" customHeight="1" x14ac:dyDescent="0.25">
      <c r="A766" s="6">
        <v>441004</v>
      </c>
      <c r="B766" s="6" t="s">
        <v>798</v>
      </c>
    </row>
    <row r="767" spans="1:2" ht="15.75" customHeight="1" x14ac:dyDescent="0.25">
      <c r="A767" s="6">
        <v>441005</v>
      </c>
      <c r="B767" s="6" t="s">
        <v>804</v>
      </c>
    </row>
    <row r="768" spans="1:2" ht="15.75" customHeight="1" x14ac:dyDescent="0.25">
      <c r="A768" s="6">
        <v>441006</v>
      </c>
      <c r="B768" s="6" t="s">
        <v>801</v>
      </c>
    </row>
    <row r="769" spans="1:2" ht="15.75" customHeight="1" x14ac:dyDescent="0.25">
      <c r="A769" s="6">
        <v>441007</v>
      </c>
      <c r="B769" s="6" t="s">
        <v>803</v>
      </c>
    </row>
    <row r="770" spans="1:2" ht="15.75" customHeight="1" x14ac:dyDescent="0.25">
      <c r="A770" s="6">
        <v>441008</v>
      </c>
      <c r="B770" s="6" t="s">
        <v>799</v>
      </c>
    </row>
    <row r="771" spans="1:2" ht="15.75" customHeight="1" x14ac:dyDescent="0.25">
      <c r="A771" s="6">
        <v>441009</v>
      </c>
      <c r="B771" s="6" t="s">
        <v>800</v>
      </c>
    </row>
    <row r="772" spans="1:2" ht="15.75" customHeight="1" x14ac:dyDescent="0.25">
      <c r="A772" s="6">
        <v>441010</v>
      </c>
      <c r="B772" s="6" t="s">
        <v>787</v>
      </c>
    </row>
    <row r="773" spans="1:2" ht="15.75" customHeight="1" x14ac:dyDescent="0.25">
      <c r="A773" s="6">
        <v>441011</v>
      </c>
      <c r="B773" s="6" t="s">
        <v>793</v>
      </c>
    </row>
    <row r="774" spans="1:2" ht="15.75" customHeight="1" x14ac:dyDescent="0.25">
      <c r="A774" s="6">
        <v>441012</v>
      </c>
      <c r="B774" s="6" t="s">
        <v>788</v>
      </c>
    </row>
    <row r="775" spans="1:2" ht="15.75" customHeight="1" x14ac:dyDescent="0.25">
      <c r="A775" s="6">
        <v>441013</v>
      </c>
      <c r="B775" s="6" t="s">
        <v>789</v>
      </c>
    </row>
    <row r="776" spans="1:2" ht="15.75" customHeight="1" x14ac:dyDescent="0.25">
      <c r="A776" s="6">
        <v>441014</v>
      </c>
      <c r="B776" s="6" t="s">
        <v>795</v>
      </c>
    </row>
    <row r="777" spans="1:2" ht="15.75" customHeight="1" x14ac:dyDescent="0.25">
      <c r="A777" s="6">
        <v>441015</v>
      </c>
      <c r="B777" s="6" t="s">
        <v>792</v>
      </c>
    </row>
    <row r="778" spans="1:2" ht="15.75" customHeight="1" x14ac:dyDescent="0.25">
      <c r="A778" s="6">
        <v>441016</v>
      </c>
      <c r="B778" s="6" t="s">
        <v>794</v>
      </c>
    </row>
    <row r="779" spans="1:2" ht="15.75" customHeight="1" x14ac:dyDescent="0.25">
      <c r="A779" s="6">
        <v>441017</v>
      </c>
      <c r="B779" s="6" t="s">
        <v>790</v>
      </c>
    </row>
    <row r="780" spans="1:2" ht="15.75" customHeight="1" x14ac:dyDescent="0.25">
      <c r="A780" s="6">
        <v>441018</v>
      </c>
      <c r="B780" s="6" t="s">
        <v>791</v>
      </c>
    </row>
    <row r="781" spans="1:2" ht="15.75" customHeight="1" x14ac:dyDescent="0.25">
      <c r="A781" s="6">
        <v>441019</v>
      </c>
      <c r="B781" s="6" t="s">
        <v>778</v>
      </c>
    </row>
    <row r="782" spans="1:2" ht="15.75" customHeight="1" x14ac:dyDescent="0.25">
      <c r="A782" s="6">
        <v>441020</v>
      </c>
      <c r="B782" s="6" t="s">
        <v>784</v>
      </c>
    </row>
    <row r="783" spans="1:2" ht="15.75" customHeight="1" x14ac:dyDescent="0.25">
      <c r="A783" s="6">
        <v>441021</v>
      </c>
      <c r="B783" s="6" t="s">
        <v>779</v>
      </c>
    </row>
    <row r="784" spans="1:2" ht="15.75" customHeight="1" x14ac:dyDescent="0.25">
      <c r="A784" s="6">
        <v>441022</v>
      </c>
      <c r="B784" s="6" t="s">
        <v>780</v>
      </c>
    </row>
    <row r="785" spans="1:2" ht="15.75" customHeight="1" x14ac:dyDescent="0.25">
      <c r="A785" s="6">
        <v>441023</v>
      </c>
      <c r="B785" s="6" t="s">
        <v>786</v>
      </c>
    </row>
    <row r="786" spans="1:2" ht="15.75" customHeight="1" x14ac:dyDescent="0.25">
      <c r="A786" s="6">
        <v>441024</v>
      </c>
      <c r="B786" s="6" t="s">
        <v>783</v>
      </c>
    </row>
    <row r="787" spans="1:2" ht="15.75" customHeight="1" x14ac:dyDescent="0.25">
      <c r="A787" s="6">
        <v>441025</v>
      </c>
      <c r="B787" s="6" t="s">
        <v>785</v>
      </c>
    </row>
    <row r="788" spans="1:2" ht="15.75" customHeight="1" x14ac:dyDescent="0.25">
      <c r="A788" s="6">
        <v>441026</v>
      </c>
      <c r="B788" s="6" t="s">
        <v>781</v>
      </c>
    </row>
    <row r="789" spans="1:2" ht="15.75" customHeight="1" x14ac:dyDescent="0.25">
      <c r="A789" s="6">
        <v>441027</v>
      </c>
      <c r="B789" s="6" t="s">
        <v>782</v>
      </c>
    </row>
    <row r="790" spans="1:2" ht="15.75" customHeight="1" x14ac:dyDescent="0.25">
      <c r="A790" s="6">
        <v>441028</v>
      </c>
      <c r="B790" s="6" t="s">
        <v>770</v>
      </c>
    </row>
    <row r="791" spans="1:2" ht="15.75" customHeight="1" x14ac:dyDescent="0.25">
      <c r="A791" s="6">
        <v>441029</v>
      </c>
      <c r="B791" s="6" t="s">
        <v>775</v>
      </c>
    </row>
    <row r="792" spans="1:2" ht="15.75" customHeight="1" x14ac:dyDescent="0.25">
      <c r="A792" s="6">
        <v>441030</v>
      </c>
      <c r="B792" s="6" t="s">
        <v>771</v>
      </c>
    </row>
    <row r="793" spans="1:2" ht="15.75" customHeight="1" x14ac:dyDescent="0.25">
      <c r="A793" s="6">
        <v>441031</v>
      </c>
      <c r="B793" s="6" t="s">
        <v>772</v>
      </c>
    </row>
    <row r="794" spans="1:2" ht="15.75" customHeight="1" x14ac:dyDescent="0.25">
      <c r="A794" s="6">
        <v>441032</v>
      </c>
      <c r="B794" s="6" t="s">
        <v>777</v>
      </c>
    </row>
    <row r="795" spans="1:2" ht="15.75" customHeight="1" x14ac:dyDescent="0.25">
      <c r="A795" s="6">
        <v>441033</v>
      </c>
      <c r="B795" s="6" t="s">
        <v>774</v>
      </c>
    </row>
    <row r="796" spans="1:2" ht="15.75" customHeight="1" x14ac:dyDescent="0.25">
      <c r="A796" s="6">
        <v>441034</v>
      </c>
      <c r="B796" s="6" t="s">
        <v>776</v>
      </c>
    </row>
    <row r="797" spans="1:2" ht="15.75" customHeight="1" x14ac:dyDescent="0.25">
      <c r="A797" s="6">
        <v>441035</v>
      </c>
      <c r="B797" s="6" t="s">
        <v>773</v>
      </c>
    </row>
    <row r="798" spans="1:2" ht="15.75" customHeight="1" x14ac:dyDescent="0.25">
      <c r="A798" s="6">
        <v>441036</v>
      </c>
      <c r="B798" s="6" t="s">
        <v>712</v>
      </c>
    </row>
    <row r="799" spans="1:2" ht="15.75" customHeight="1" x14ac:dyDescent="0.25">
      <c r="A799" s="6">
        <v>441037</v>
      </c>
      <c r="B799" s="6" t="s">
        <v>710</v>
      </c>
    </row>
    <row r="800" spans="1:2" ht="15.75" customHeight="1" x14ac:dyDescent="0.25">
      <c r="A800" s="6">
        <v>441038</v>
      </c>
      <c r="B800" s="6" t="s">
        <v>716</v>
      </c>
    </row>
    <row r="801" spans="1:2" ht="15.75" customHeight="1" x14ac:dyDescent="0.25">
      <c r="A801" s="6">
        <v>441039</v>
      </c>
      <c r="B801" s="6" t="s">
        <v>711</v>
      </c>
    </row>
    <row r="802" spans="1:2" ht="15.75" customHeight="1" x14ac:dyDescent="0.25">
      <c r="A802" s="6">
        <v>441040</v>
      </c>
      <c r="B802" s="6" t="s">
        <v>715</v>
      </c>
    </row>
    <row r="803" spans="1:2" ht="15.75" customHeight="1" x14ac:dyDescent="0.25">
      <c r="A803" s="6">
        <v>441041</v>
      </c>
      <c r="B803" s="6" t="s">
        <v>718</v>
      </c>
    </row>
    <row r="804" spans="1:2" ht="15.75" customHeight="1" x14ac:dyDescent="0.25">
      <c r="A804" s="6">
        <v>441042</v>
      </c>
      <c r="B804" s="6" t="s">
        <v>717</v>
      </c>
    </row>
    <row r="805" spans="1:2" ht="15.75" customHeight="1" x14ac:dyDescent="0.25">
      <c r="A805" s="6">
        <v>441043</v>
      </c>
      <c r="B805" s="6" t="s">
        <v>713</v>
      </c>
    </row>
    <row r="806" spans="1:2" ht="15.75" customHeight="1" x14ac:dyDescent="0.25">
      <c r="A806" s="6">
        <v>441044</v>
      </c>
      <c r="B806" s="6" t="s">
        <v>714</v>
      </c>
    </row>
    <row r="807" spans="1:2" ht="15.75" customHeight="1" x14ac:dyDescent="0.25">
      <c r="A807" s="6">
        <v>441045</v>
      </c>
      <c r="B807" s="6" t="s">
        <v>709</v>
      </c>
    </row>
    <row r="808" spans="1:2" ht="15.75" customHeight="1" x14ac:dyDescent="0.25">
      <c r="A808" s="6">
        <v>42001</v>
      </c>
      <c r="B808" s="6" t="s">
        <v>1467</v>
      </c>
    </row>
    <row r="809" spans="1:2" ht="15.75" customHeight="1" x14ac:dyDescent="0.25">
      <c r="A809" s="6">
        <v>42002</v>
      </c>
      <c r="B809" s="6" t="s">
        <v>1465</v>
      </c>
    </row>
    <row r="810" spans="1:2" ht="15.75" customHeight="1" x14ac:dyDescent="0.25">
      <c r="A810" s="6">
        <v>42003</v>
      </c>
      <c r="B810" s="6" t="s">
        <v>1478</v>
      </c>
    </row>
    <row r="811" spans="1:2" ht="15.75" customHeight="1" x14ac:dyDescent="0.25">
      <c r="A811" s="6">
        <v>42004</v>
      </c>
      <c r="B811" s="6" t="s">
        <v>1468</v>
      </c>
    </row>
    <row r="812" spans="1:2" ht="15.75" customHeight="1" x14ac:dyDescent="0.25">
      <c r="A812" s="6">
        <v>42005</v>
      </c>
      <c r="B812" s="6" t="s">
        <v>1466</v>
      </c>
    </row>
    <row r="813" spans="1:2" ht="15.75" customHeight="1" x14ac:dyDescent="0.25">
      <c r="A813" s="6">
        <v>42006</v>
      </c>
      <c r="B813" s="6" t="s">
        <v>1479</v>
      </c>
    </row>
    <row r="814" spans="1:2" ht="15.75" customHeight="1" x14ac:dyDescent="0.25">
      <c r="A814" s="6">
        <v>42013</v>
      </c>
      <c r="B814" s="6" t="s">
        <v>1482</v>
      </c>
    </row>
    <row r="815" spans="1:2" ht="15.75" customHeight="1" x14ac:dyDescent="0.25">
      <c r="A815" s="6">
        <v>42014</v>
      </c>
      <c r="B815" s="6" t="s">
        <v>1480</v>
      </c>
    </row>
    <row r="816" spans="1:2" ht="15.75" customHeight="1" x14ac:dyDescent="0.25">
      <c r="A816" s="6">
        <v>42015</v>
      </c>
      <c r="B816" s="6" t="s">
        <v>1484</v>
      </c>
    </row>
    <row r="817" spans="1:2" ht="15.75" customHeight="1" x14ac:dyDescent="0.25">
      <c r="A817" s="6">
        <v>42016</v>
      </c>
      <c r="B817" s="6" t="s">
        <v>1483</v>
      </c>
    </row>
    <row r="818" spans="1:2" ht="15.75" customHeight="1" x14ac:dyDescent="0.25">
      <c r="A818" s="6">
        <v>42017</v>
      </c>
      <c r="B818" s="6" t="s">
        <v>1481</v>
      </c>
    </row>
    <row r="819" spans="1:2" ht="15.75" customHeight="1" x14ac:dyDescent="0.25">
      <c r="A819" s="6">
        <v>42018</v>
      </c>
      <c r="B819" s="6" t="s">
        <v>1485</v>
      </c>
    </row>
    <row r="820" spans="1:2" ht="15.75" customHeight="1" x14ac:dyDescent="0.25">
      <c r="A820" s="6">
        <v>42031</v>
      </c>
      <c r="B820" s="6" t="s">
        <v>1513</v>
      </c>
    </row>
    <row r="821" spans="1:2" ht="15.75" customHeight="1" x14ac:dyDescent="0.25">
      <c r="A821" s="6">
        <v>42032</v>
      </c>
      <c r="B821" s="6" t="s">
        <v>1497</v>
      </c>
    </row>
    <row r="822" spans="1:2" ht="15.75" customHeight="1" x14ac:dyDescent="0.25">
      <c r="A822" s="6">
        <v>42033</v>
      </c>
      <c r="B822" s="6" t="s">
        <v>1523</v>
      </c>
    </row>
    <row r="823" spans="1:2" ht="15.75" customHeight="1" x14ac:dyDescent="0.25">
      <c r="A823" s="6">
        <v>42034</v>
      </c>
      <c r="B823" s="6" t="s">
        <v>1515</v>
      </c>
    </row>
    <row r="824" spans="1:2" ht="15.75" customHeight="1" x14ac:dyDescent="0.25">
      <c r="A824" s="6">
        <v>42035</v>
      </c>
      <c r="B824" s="6" t="s">
        <v>1499</v>
      </c>
    </row>
    <row r="825" spans="1:2" ht="15.75" customHeight="1" x14ac:dyDescent="0.25">
      <c r="A825" s="6">
        <v>42036</v>
      </c>
      <c r="B825" s="6" t="s">
        <v>1525</v>
      </c>
    </row>
    <row r="826" spans="1:2" ht="15.75" customHeight="1" x14ac:dyDescent="0.25">
      <c r="A826" s="6">
        <v>42037</v>
      </c>
      <c r="B826" s="6" t="s">
        <v>1512</v>
      </c>
    </row>
    <row r="827" spans="1:2" ht="15.75" customHeight="1" x14ac:dyDescent="0.25">
      <c r="A827" s="6">
        <v>42038</v>
      </c>
      <c r="B827" s="6" t="s">
        <v>1496</v>
      </c>
    </row>
    <row r="828" spans="1:2" ht="15.75" customHeight="1" x14ac:dyDescent="0.25">
      <c r="A828" s="6">
        <v>42039</v>
      </c>
      <c r="B828" s="6" t="s">
        <v>1522</v>
      </c>
    </row>
    <row r="829" spans="1:2" ht="15.75" customHeight="1" x14ac:dyDescent="0.25">
      <c r="A829" s="6">
        <v>42040</v>
      </c>
      <c r="B829" s="6" t="s">
        <v>1514</v>
      </c>
    </row>
    <row r="830" spans="1:2" ht="15.75" customHeight="1" x14ac:dyDescent="0.25">
      <c r="A830" s="6">
        <v>42041</v>
      </c>
      <c r="B830" s="6" t="s">
        <v>1498</v>
      </c>
    </row>
    <row r="831" spans="1:2" ht="15.75" customHeight="1" x14ac:dyDescent="0.25">
      <c r="A831" s="6">
        <v>42042</v>
      </c>
      <c r="B831" s="6" t="s">
        <v>1524</v>
      </c>
    </row>
    <row r="832" spans="1:2" ht="15.75" customHeight="1" x14ac:dyDescent="0.25">
      <c r="A832" s="6">
        <v>42043</v>
      </c>
      <c r="B832" s="6" t="s">
        <v>1476</v>
      </c>
    </row>
    <row r="833" spans="1:2" ht="15.75" customHeight="1" x14ac:dyDescent="0.25">
      <c r="A833" s="6">
        <v>42044</v>
      </c>
      <c r="B833" s="6" t="s">
        <v>1477</v>
      </c>
    </row>
    <row r="834" spans="1:2" ht="15.75" customHeight="1" x14ac:dyDescent="0.25">
      <c r="A834" s="6">
        <v>42045</v>
      </c>
      <c r="B834" s="6" t="s">
        <v>1475</v>
      </c>
    </row>
    <row r="835" spans="1:2" ht="15.75" customHeight="1" x14ac:dyDescent="0.25">
      <c r="A835" s="6">
        <v>42046</v>
      </c>
      <c r="B835" s="6" t="s">
        <v>1650</v>
      </c>
    </row>
    <row r="836" spans="1:2" ht="15.75" customHeight="1" x14ac:dyDescent="0.25">
      <c r="A836" s="6">
        <v>42047</v>
      </c>
      <c r="B836" s="6" t="s">
        <v>1651</v>
      </c>
    </row>
    <row r="837" spans="1:2" ht="15.75" customHeight="1" x14ac:dyDescent="0.25">
      <c r="A837" s="6">
        <v>42048</v>
      </c>
      <c r="B837" s="6" t="s">
        <v>1652</v>
      </c>
    </row>
    <row r="838" spans="1:2" ht="15.75" customHeight="1" x14ac:dyDescent="0.25">
      <c r="A838" s="6">
        <v>42049</v>
      </c>
      <c r="B838" s="6" t="s">
        <v>1653</v>
      </c>
    </row>
    <row r="839" spans="1:2" ht="15.75" customHeight="1" x14ac:dyDescent="0.25">
      <c r="A839" s="6">
        <v>43001</v>
      </c>
      <c r="B839" s="6" t="s">
        <v>1600</v>
      </c>
    </row>
    <row r="840" spans="1:2" ht="15.75" customHeight="1" x14ac:dyDescent="0.25">
      <c r="A840" s="6">
        <v>43002</v>
      </c>
      <c r="B840" s="6" t="s">
        <v>1603</v>
      </c>
    </row>
    <row r="841" spans="1:2" ht="15.75" customHeight="1" x14ac:dyDescent="0.25">
      <c r="A841" s="6">
        <v>43003</v>
      </c>
      <c r="B841" s="6" t="s">
        <v>1601</v>
      </c>
    </row>
    <row r="842" spans="1:2" ht="15.75" customHeight="1" x14ac:dyDescent="0.25">
      <c r="A842" s="6">
        <v>43004</v>
      </c>
      <c r="B842" s="6" t="s">
        <v>1604</v>
      </c>
    </row>
    <row r="843" spans="1:2" ht="15.75" customHeight="1" x14ac:dyDescent="0.25">
      <c r="A843" s="6">
        <v>43005</v>
      </c>
      <c r="B843" s="6" t="s">
        <v>1607</v>
      </c>
    </row>
    <row r="844" spans="1:2" ht="15.75" customHeight="1" x14ac:dyDescent="0.25">
      <c r="A844" s="6">
        <v>43006</v>
      </c>
      <c r="B844" s="6" t="s">
        <v>1606</v>
      </c>
    </row>
    <row r="845" spans="1:2" ht="15.75" customHeight="1" x14ac:dyDescent="0.25">
      <c r="A845" s="6">
        <v>43007</v>
      </c>
      <c r="B845" s="6" t="s">
        <v>1605</v>
      </c>
    </row>
    <row r="846" spans="1:2" ht="15.75" customHeight="1" x14ac:dyDescent="0.25">
      <c r="A846" s="6">
        <v>43008</v>
      </c>
      <c r="B846" s="6" t="s">
        <v>844</v>
      </c>
    </row>
    <row r="847" spans="1:2" ht="15.75" customHeight="1" x14ac:dyDescent="0.25">
      <c r="A847" s="6">
        <v>43009</v>
      </c>
      <c r="B847" s="6" t="s">
        <v>843</v>
      </c>
    </row>
    <row r="848" spans="1:2" ht="15.75" customHeight="1" x14ac:dyDescent="0.25">
      <c r="A848" s="6">
        <v>43010</v>
      </c>
      <c r="B848" s="6" t="s">
        <v>842</v>
      </c>
    </row>
    <row r="849" spans="1:2" ht="15.75" customHeight="1" x14ac:dyDescent="0.25">
      <c r="A849" s="6">
        <v>43011</v>
      </c>
      <c r="B849" s="6" t="s">
        <v>850</v>
      </c>
    </row>
    <row r="850" spans="1:2" ht="15.75" customHeight="1" x14ac:dyDescent="0.25">
      <c r="A850" s="6">
        <v>43012</v>
      </c>
      <c r="B850" s="6" t="s">
        <v>830</v>
      </c>
    </row>
    <row r="851" spans="1:2" ht="15.75" customHeight="1" x14ac:dyDescent="0.25">
      <c r="A851" s="6">
        <v>43013</v>
      </c>
      <c r="B851" s="6" t="s">
        <v>833</v>
      </c>
    </row>
    <row r="852" spans="1:2" ht="15.75" customHeight="1" x14ac:dyDescent="0.25">
      <c r="A852" s="6">
        <v>43014</v>
      </c>
      <c r="B852" s="6" t="s">
        <v>1448</v>
      </c>
    </row>
    <row r="853" spans="1:2" ht="15.75" customHeight="1" x14ac:dyDescent="0.25">
      <c r="A853" s="6">
        <v>43015</v>
      </c>
      <c r="B853" s="6" t="s">
        <v>1654</v>
      </c>
    </row>
    <row r="854" spans="1:2" ht="15.75" customHeight="1" x14ac:dyDescent="0.25">
      <c r="A854" s="6">
        <v>43016</v>
      </c>
      <c r="B854" s="6" t="s">
        <v>1655</v>
      </c>
    </row>
    <row r="855" spans="1:2" ht="15.75" customHeight="1" x14ac:dyDescent="0.25">
      <c r="A855" s="6">
        <v>43017</v>
      </c>
      <c r="B855" s="6" t="s">
        <v>1656</v>
      </c>
    </row>
    <row r="856" spans="1:2" ht="15.75" customHeight="1" x14ac:dyDescent="0.25">
      <c r="A856" s="6">
        <v>43018</v>
      </c>
      <c r="B856" s="6" t="s">
        <v>1657</v>
      </c>
    </row>
    <row r="857" spans="1:2" ht="15.75" customHeight="1" x14ac:dyDescent="0.25">
      <c r="A857" s="6">
        <v>43019</v>
      </c>
      <c r="B857" s="6" t="s">
        <v>1658</v>
      </c>
    </row>
    <row r="858" spans="1:2" ht="15.75" customHeight="1" x14ac:dyDescent="0.25">
      <c r="A858" s="6">
        <v>44001</v>
      </c>
      <c r="B858" s="6" t="s">
        <v>1158</v>
      </c>
    </row>
    <row r="859" spans="1:2" ht="15.75" customHeight="1" x14ac:dyDescent="0.25">
      <c r="A859" s="6">
        <v>44002</v>
      </c>
      <c r="B859" s="6" t="s">
        <v>1161</v>
      </c>
    </row>
    <row r="860" spans="1:2" ht="15.75" customHeight="1" x14ac:dyDescent="0.25">
      <c r="A860" s="6">
        <v>44003</v>
      </c>
      <c r="B860" s="6" t="s">
        <v>1160</v>
      </c>
    </row>
    <row r="861" spans="1:2" ht="15.75" customHeight="1" x14ac:dyDescent="0.25">
      <c r="A861" s="6">
        <v>44004</v>
      </c>
      <c r="B861" s="6" t="s">
        <v>1159</v>
      </c>
    </row>
    <row r="862" spans="1:2" ht="15.75" customHeight="1" x14ac:dyDescent="0.25">
      <c r="A862" s="6">
        <v>44005</v>
      </c>
      <c r="B862" s="6" t="s">
        <v>1279</v>
      </c>
    </row>
    <row r="863" spans="1:2" ht="15.75" customHeight="1" x14ac:dyDescent="0.25">
      <c r="A863" s="6">
        <v>45001</v>
      </c>
      <c r="B863" s="6" t="s">
        <v>1009</v>
      </c>
    </row>
    <row r="864" spans="1:2" ht="15.75" customHeight="1" x14ac:dyDescent="0.25">
      <c r="A864" s="6">
        <v>45002</v>
      </c>
      <c r="B864" s="6" t="s">
        <v>1006</v>
      </c>
    </row>
    <row r="865" spans="1:2" ht="15.75" customHeight="1" x14ac:dyDescent="0.25">
      <c r="A865" s="6">
        <v>45003</v>
      </c>
      <c r="B865" s="6" t="s">
        <v>1007</v>
      </c>
    </row>
    <row r="866" spans="1:2" ht="15.75" customHeight="1" x14ac:dyDescent="0.25">
      <c r="A866" s="6">
        <v>45004</v>
      </c>
      <c r="B866" s="6" t="s">
        <v>1008</v>
      </c>
    </row>
    <row r="867" spans="1:2" ht="15.75" customHeight="1" x14ac:dyDescent="0.25">
      <c r="A867" s="6">
        <v>45005</v>
      </c>
      <c r="B867" s="6" t="s">
        <v>1010</v>
      </c>
    </row>
    <row r="868" spans="1:2" ht="15.75" customHeight="1" x14ac:dyDescent="0.25">
      <c r="A868" s="6">
        <v>45006</v>
      </c>
      <c r="B868" s="6" t="s">
        <v>1536</v>
      </c>
    </row>
    <row r="869" spans="1:2" ht="15.75" customHeight="1" x14ac:dyDescent="0.25">
      <c r="A869" s="6">
        <v>45007</v>
      </c>
      <c r="B869" s="6" t="s">
        <v>1533</v>
      </c>
    </row>
    <row r="870" spans="1:2" ht="15.75" customHeight="1" x14ac:dyDescent="0.25">
      <c r="A870" s="6">
        <v>45008</v>
      </c>
      <c r="B870" s="6" t="s">
        <v>1534</v>
      </c>
    </row>
    <row r="871" spans="1:2" ht="15.75" customHeight="1" x14ac:dyDescent="0.25">
      <c r="A871" s="6">
        <v>45009</v>
      </c>
      <c r="B871" s="6" t="s">
        <v>1535</v>
      </c>
    </row>
    <row r="872" spans="1:2" ht="15.75" customHeight="1" x14ac:dyDescent="0.25">
      <c r="A872" s="6">
        <v>45010</v>
      </c>
      <c r="B872" s="6" t="s">
        <v>1537</v>
      </c>
    </row>
    <row r="873" spans="1:2" ht="15.75" customHeight="1" x14ac:dyDescent="0.25">
      <c r="A873" s="6">
        <v>45011</v>
      </c>
      <c r="B873" s="6" t="s">
        <v>1462</v>
      </c>
    </row>
    <row r="874" spans="1:2" ht="15.75" customHeight="1" x14ac:dyDescent="0.25">
      <c r="A874" s="6">
        <v>45012</v>
      </c>
      <c r="B874" s="6" t="s">
        <v>1113</v>
      </c>
    </row>
    <row r="875" spans="1:2" ht="15.75" customHeight="1" x14ac:dyDescent="0.25">
      <c r="A875" s="6">
        <v>45013</v>
      </c>
      <c r="B875" s="6" t="s">
        <v>690</v>
      </c>
    </row>
    <row r="876" spans="1:2" ht="15.75" customHeight="1" x14ac:dyDescent="0.25">
      <c r="A876" s="6">
        <v>45014</v>
      </c>
      <c r="B876" s="6" t="s">
        <v>688</v>
      </c>
    </row>
    <row r="877" spans="1:2" ht="15.75" customHeight="1" x14ac:dyDescent="0.25">
      <c r="A877" s="6">
        <v>45015</v>
      </c>
      <c r="B877" s="6" t="s">
        <v>689</v>
      </c>
    </row>
    <row r="878" spans="1:2" ht="15.75" customHeight="1" x14ac:dyDescent="0.25">
      <c r="A878" s="6">
        <v>45016</v>
      </c>
      <c r="B878" s="6" t="s">
        <v>680</v>
      </c>
    </row>
    <row r="879" spans="1:2" ht="15.75" customHeight="1" x14ac:dyDescent="0.25">
      <c r="A879" s="6">
        <v>45017</v>
      </c>
      <c r="B879" s="6" t="s">
        <v>678</v>
      </c>
    </row>
    <row r="880" spans="1:2" ht="15.75" customHeight="1" x14ac:dyDescent="0.25">
      <c r="A880" s="6">
        <v>45018</v>
      </c>
      <c r="B880" s="6" t="s">
        <v>679</v>
      </c>
    </row>
    <row r="881" spans="1:2" ht="15.75" customHeight="1" x14ac:dyDescent="0.25">
      <c r="A881" s="6">
        <v>45019</v>
      </c>
      <c r="B881" s="6" t="s">
        <v>1051</v>
      </c>
    </row>
    <row r="882" spans="1:2" ht="15.75" customHeight="1" x14ac:dyDescent="0.25">
      <c r="A882" s="6">
        <v>45020</v>
      </c>
      <c r="B882" s="6" t="s">
        <v>1049</v>
      </c>
    </row>
    <row r="883" spans="1:2" ht="15.75" customHeight="1" x14ac:dyDescent="0.25">
      <c r="A883" s="6">
        <v>45021</v>
      </c>
      <c r="B883" s="6" t="s">
        <v>1050</v>
      </c>
    </row>
    <row r="884" spans="1:2" ht="15.75" customHeight="1" x14ac:dyDescent="0.25">
      <c r="A884" s="6">
        <v>45022</v>
      </c>
      <c r="B884" s="6" t="s">
        <v>1216</v>
      </c>
    </row>
    <row r="885" spans="1:2" ht="15.75" customHeight="1" x14ac:dyDescent="0.25">
      <c r="A885" s="6">
        <v>45023</v>
      </c>
      <c r="B885" s="6" t="s">
        <v>1214</v>
      </c>
    </row>
    <row r="886" spans="1:2" ht="15.75" customHeight="1" x14ac:dyDescent="0.25">
      <c r="A886" s="6">
        <v>45024</v>
      </c>
      <c r="B886" s="6" t="s">
        <v>1215</v>
      </c>
    </row>
    <row r="887" spans="1:2" ht="15.75" customHeight="1" x14ac:dyDescent="0.25">
      <c r="A887" s="6">
        <v>45025</v>
      </c>
      <c r="B887" s="6" t="s">
        <v>1301</v>
      </c>
    </row>
    <row r="888" spans="1:2" ht="15.75" customHeight="1" x14ac:dyDescent="0.25">
      <c r="A888" s="6">
        <v>45026</v>
      </c>
      <c r="B888" s="6" t="s">
        <v>1298</v>
      </c>
    </row>
    <row r="889" spans="1:2" ht="15.75" customHeight="1" x14ac:dyDescent="0.25">
      <c r="A889" s="6">
        <v>45027</v>
      </c>
      <c r="B889" s="6" t="s">
        <v>1299</v>
      </c>
    </row>
    <row r="890" spans="1:2" ht="15.75" customHeight="1" x14ac:dyDescent="0.25">
      <c r="A890" s="6">
        <v>45028</v>
      </c>
      <c r="B890" s="6" t="s">
        <v>1300</v>
      </c>
    </row>
    <row r="891" spans="1:2" ht="15.75" customHeight="1" x14ac:dyDescent="0.25">
      <c r="A891" s="6">
        <v>45029</v>
      </c>
      <c r="B891" s="6" t="s">
        <v>1439</v>
      </c>
    </row>
    <row r="892" spans="1:2" ht="15.75" customHeight="1" x14ac:dyDescent="0.25">
      <c r="A892" s="6">
        <v>45030</v>
      </c>
      <c r="B892" s="6" t="s">
        <v>1437</v>
      </c>
    </row>
    <row r="893" spans="1:2" ht="15.75" customHeight="1" x14ac:dyDescent="0.25">
      <c r="A893" s="6">
        <v>45031</v>
      </c>
      <c r="B893" s="6" t="s">
        <v>1438</v>
      </c>
    </row>
    <row r="894" spans="1:2" ht="15.75" customHeight="1" x14ac:dyDescent="0.25">
      <c r="A894" s="6">
        <v>45032</v>
      </c>
      <c r="B894" s="6" t="s">
        <v>705</v>
      </c>
    </row>
    <row r="895" spans="1:2" ht="15.75" customHeight="1" x14ac:dyDescent="0.25">
      <c r="A895" s="6">
        <v>45033</v>
      </c>
      <c r="B895" s="6" t="s">
        <v>702</v>
      </c>
    </row>
    <row r="896" spans="1:2" ht="15.75" customHeight="1" x14ac:dyDescent="0.25">
      <c r="A896" s="6">
        <v>45034</v>
      </c>
      <c r="B896" s="6" t="s">
        <v>703</v>
      </c>
    </row>
    <row r="897" spans="1:2" ht="15.75" customHeight="1" x14ac:dyDescent="0.25">
      <c r="A897" s="6">
        <v>45035</v>
      </c>
      <c r="B897" s="6" t="s">
        <v>704</v>
      </c>
    </row>
    <row r="898" spans="1:2" ht="15.75" customHeight="1" x14ac:dyDescent="0.25">
      <c r="A898" s="6">
        <v>45036</v>
      </c>
      <c r="B898" s="6" t="s">
        <v>1150</v>
      </c>
    </row>
    <row r="899" spans="1:2" ht="15.75" customHeight="1" x14ac:dyDescent="0.25">
      <c r="A899" s="6">
        <v>45037</v>
      </c>
      <c r="B899" s="6" t="s">
        <v>1148</v>
      </c>
    </row>
    <row r="900" spans="1:2" ht="15.75" customHeight="1" x14ac:dyDescent="0.25">
      <c r="A900" s="6">
        <v>45038</v>
      </c>
      <c r="B900" s="6" t="s">
        <v>1149</v>
      </c>
    </row>
    <row r="901" spans="1:2" ht="15.75" customHeight="1" x14ac:dyDescent="0.25">
      <c r="A901" s="6">
        <v>45039</v>
      </c>
      <c r="B901" s="6" t="s">
        <v>1464</v>
      </c>
    </row>
    <row r="902" spans="1:2" ht="15.75" customHeight="1" x14ac:dyDescent="0.25">
      <c r="A902" s="6">
        <v>45040</v>
      </c>
      <c r="B902" s="6" t="s">
        <v>1463</v>
      </c>
    </row>
    <row r="903" spans="1:2" ht="15.75" customHeight="1" x14ac:dyDescent="0.25">
      <c r="A903" s="6">
        <v>45041</v>
      </c>
      <c r="B903" s="6" t="s">
        <v>1109</v>
      </c>
    </row>
    <row r="904" spans="1:2" ht="15.75" customHeight="1" x14ac:dyDescent="0.25">
      <c r="A904" s="6">
        <v>45042</v>
      </c>
      <c r="B904" s="6" t="s">
        <v>1110</v>
      </c>
    </row>
    <row r="905" spans="1:2" ht="15.75" customHeight="1" x14ac:dyDescent="0.25">
      <c r="A905" s="6">
        <v>45043</v>
      </c>
      <c r="B905" s="6" t="s">
        <v>1112</v>
      </c>
    </row>
    <row r="906" spans="1:2" ht="15.75" customHeight="1" x14ac:dyDescent="0.25">
      <c r="A906" s="6">
        <v>45044</v>
      </c>
      <c r="B906" s="6" t="s">
        <v>821</v>
      </c>
    </row>
    <row r="907" spans="1:2" ht="15.75" customHeight="1" x14ac:dyDescent="0.25">
      <c r="A907" s="6">
        <v>45045</v>
      </c>
      <c r="B907" s="6" t="s">
        <v>819</v>
      </c>
    </row>
    <row r="908" spans="1:2" ht="15.75" customHeight="1" x14ac:dyDescent="0.25">
      <c r="A908" s="6">
        <v>45046</v>
      </c>
      <c r="B908" s="6" t="s">
        <v>820</v>
      </c>
    </row>
    <row r="909" spans="1:2" ht="15.75" customHeight="1" x14ac:dyDescent="0.25">
      <c r="A909" s="6">
        <v>45047</v>
      </c>
      <c r="B909" s="6" t="s">
        <v>873</v>
      </c>
    </row>
    <row r="910" spans="1:2" ht="15.75" customHeight="1" x14ac:dyDescent="0.25">
      <c r="A910" s="6">
        <v>45048</v>
      </c>
      <c r="B910" s="6" t="s">
        <v>874</v>
      </c>
    </row>
    <row r="911" spans="1:2" ht="15.75" customHeight="1" x14ac:dyDescent="0.25">
      <c r="A911" s="6">
        <v>45049</v>
      </c>
      <c r="B911" s="6" t="s">
        <v>871</v>
      </c>
    </row>
    <row r="912" spans="1:2" ht="15.75" customHeight="1" x14ac:dyDescent="0.25">
      <c r="A912" s="6">
        <v>45050</v>
      </c>
      <c r="B912" s="6" t="s">
        <v>872</v>
      </c>
    </row>
    <row r="913" spans="1:2" ht="15.75" customHeight="1" x14ac:dyDescent="0.25">
      <c r="A913" s="6">
        <v>45051</v>
      </c>
      <c r="B913" s="6" t="s">
        <v>672</v>
      </c>
    </row>
    <row r="914" spans="1:2" ht="15.75" customHeight="1" x14ac:dyDescent="0.25">
      <c r="A914" s="6">
        <v>45052</v>
      </c>
      <c r="B914" s="6" t="s">
        <v>670</v>
      </c>
    </row>
    <row r="915" spans="1:2" ht="15.75" customHeight="1" x14ac:dyDescent="0.25">
      <c r="A915" s="6">
        <v>45053</v>
      </c>
      <c r="B915" s="6" t="s">
        <v>671</v>
      </c>
    </row>
    <row r="916" spans="1:2" ht="15.75" customHeight="1" x14ac:dyDescent="0.25">
      <c r="A916" s="6">
        <v>45054</v>
      </c>
      <c r="B916" s="6" t="s">
        <v>878</v>
      </c>
    </row>
    <row r="917" spans="1:2" ht="15.75" customHeight="1" x14ac:dyDescent="0.25">
      <c r="A917" s="6">
        <v>45055</v>
      </c>
      <c r="B917" s="6" t="s">
        <v>875</v>
      </c>
    </row>
    <row r="918" spans="1:2" ht="15.75" customHeight="1" x14ac:dyDescent="0.25">
      <c r="A918" s="6">
        <v>45056</v>
      </c>
      <c r="B918" s="6" t="s">
        <v>876</v>
      </c>
    </row>
    <row r="919" spans="1:2" ht="15.75" customHeight="1" x14ac:dyDescent="0.25">
      <c r="A919" s="6">
        <v>45057</v>
      </c>
      <c r="B919" s="6" t="s">
        <v>877</v>
      </c>
    </row>
    <row r="920" spans="1:2" ht="15.75" customHeight="1" x14ac:dyDescent="0.25">
      <c r="A920" s="6">
        <v>45058</v>
      </c>
      <c r="B920" s="6" t="s">
        <v>1166</v>
      </c>
    </row>
    <row r="921" spans="1:2" ht="15.75" customHeight="1" x14ac:dyDescent="0.25">
      <c r="A921" s="6">
        <v>45059</v>
      </c>
      <c r="B921" s="6" t="s">
        <v>1164</v>
      </c>
    </row>
    <row r="922" spans="1:2" ht="15.75" customHeight="1" x14ac:dyDescent="0.25">
      <c r="A922" s="6">
        <v>45060</v>
      </c>
      <c r="B922" s="6" t="s">
        <v>1165</v>
      </c>
    </row>
    <row r="923" spans="1:2" ht="15.75" customHeight="1" x14ac:dyDescent="0.25">
      <c r="A923" s="6">
        <v>45061</v>
      </c>
      <c r="B923" s="6" t="s">
        <v>687</v>
      </c>
    </row>
    <row r="924" spans="1:2" ht="15.75" customHeight="1" x14ac:dyDescent="0.25">
      <c r="A924" s="6">
        <v>45062</v>
      </c>
      <c r="B924" s="6" t="s">
        <v>686</v>
      </c>
    </row>
    <row r="925" spans="1:2" ht="15.75" customHeight="1" x14ac:dyDescent="0.25">
      <c r="A925" s="6">
        <v>45064</v>
      </c>
      <c r="B925" s="6" t="s">
        <v>1111</v>
      </c>
    </row>
    <row r="926" spans="1:2" ht="15.75" customHeight="1" x14ac:dyDescent="0.25">
      <c r="A926" s="6">
        <v>446001</v>
      </c>
      <c r="B926" s="6" t="s">
        <v>1611</v>
      </c>
    </row>
    <row r="927" spans="1:2" ht="15.75" customHeight="1" x14ac:dyDescent="0.25">
      <c r="A927" s="6">
        <v>446002</v>
      </c>
      <c r="B927" s="6" t="s">
        <v>1608</v>
      </c>
    </row>
    <row r="928" spans="1:2" ht="15.75" customHeight="1" x14ac:dyDescent="0.25">
      <c r="A928" s="6">
        <v>446003</v>
      </c>
      <c r="B928" s="6" t="s">
        <v>1610</v>
      </c>
    </row>
    <row r="929" spans="1:2" ht="15.75" customHeight="1" x14ac:dyDescent="0.25">
      <c r="A929" s="6">
        <v>446004</v>
      </c>
      <c r="B929" s="6" t="s">
        <v>1609</v>
      </c>
    </row>
    <row r="930" spans="1:2" ht="15.75" customHeight="1" x14ac:dyDescent="0.25">
      <c r="A930" s="6">
        <v>446005</v>
      </c>
      <c r="B930" s="6" t="s">
        <v>663</v>
      </c>
    </row>
    <row r="931" spans="1:2" ht="15.75" customHeight="1" x14ac:dyDescent="0.25">
      <c r="A931" s="6">
        <v>446006</v>
      </c>
      <c r="B931" s="6" t="s">
        <v>651</v>
      </c>
    </row>
    <row r="932" spans="1:2" ht="15.75" customHeight="1" x14ac:dyDescent="0.25">
      <c r="A932" s="6">
        <v>446007</v>
      </c>
      <c r="B932" s="6" t="s">
        <v>660</v>
      </c>
    </row>
    <row r="933" spans="1:2" ht="15.75" customHeight="1" x14ac:dyDescent="0.25">
      <c r="A933" s="6">
        <v>446008</v>
      </c>
      <c r="B933" s="6" t="s">
        <v>652</v>
      </c>
    </row>
    <row r="934" spans="1:2" ht="15.75" customHeight="1" x14ac:dyDescent="0.25">
      <c r="A934" s="6">
        <v>446009</v>
      </c>
      <c r="B934" s="6" t="s">
        <v>653</v>
      </c>
    </row>
    <row r="935" spans="1:2" ht="15.75" customHeight="1" x14ac:dyDescent="0.25">
      <c r="A935" s="6">
        <v>446010</v>
      </c>
      <c r="B935" s="6" t="s">
        <v>657</v>
      </c>
    </row>
    <row r="936" spans="1:2" ht="15.75" customHeight="1" x14ac:dyDescent="0.25">
      <c r="A936" s="6">
        <v>446011</v>
      </c>
      <c r="B936" s="6" t="s">
        <v>655</v>
      </c>
    </row>
    <row r="937" spans="1:2" ht="15.75" customHeight="1" x14ac:dyDescent="0.25">
      <c r="A937" s="6">
        <v>446012</v>
      </c>
      <c r="B937" s="6" t="s">
        <v>654</v>
      </c>
    </row>
    <row r="938" spans="1:2" ht="15.75" customHeight="1" x14ac:dyDescent="0.25">
      <c r="A938" s="6">
        <v>446013</v>
      </c>
      <c r="B938" s="6" t="s">
        <v>662</v>
      </c>
    </row>
    <row r="939" spans="1:2" ht="15.75" customHeight="1" x14ac:dyDescent="0.25">
      <c r="A939" s="6">
        <v>446014</v>
      </c>
      <c r="B939" s="6" t="s">
        <v>661</v>
      </c>
    </row>
    <row r="940" spans="1:2" ht="15.75" customHeight="1" x14ac:dyDescent="0.25">
      <c r="A940" s="6">
        <v>446015</v>
      </c>
      <c r="B940" s="6" t="s">
        <v>659</v>
      </c>
    </row>
    <row r="941" spans="1:2" ht="15.75" customHeight="1" x14ac:dyDescent="0.25">
      <c r="A941" s="6">
        <v>446016</v>
      </c>
      <c r="B941" s="6" t="s">
        <v>656</v>
      </c>
    </row>
    <row r="942" spans="1:2" ht="15.75" customHeight="1" x14ac:dyDescent="0.25">
      <c r="A942" s="6">
        <v>446017</v>
      </c>
      <c r="B942" s="6" t="s">
        <v>658</v>
      </c>
    </row>
    <row r="943" spans="1:2" ht="15.75" customHeight="1" x14ac:dyDescent="0.25">
      <c r="A943" s="6">
        <v>446018</v>
      </c>
      <c r="B943" s="6" t="s">
        <v>664</v>
      </c>
    </row>
    <row r="944" spans="1:2" ht="15.75" customHeight="1" x14ac:dyDescent="0.25">
      <c r="A944" s="6">
        <v>446019</v>
      </c>
      <c r="B944" s="6" t="s">
        <v>665</v>
      </c>
    </row>
    <row r="945" spans="1:2" ht="15.75" customHeight="1" x14ac:dyDescent="0.25">
      <c r="A945" s="6">
        <v>47001</v>
      </c>
      <c r="B945" s="6" t="s">
        <v>1503</v>
      </c>
    </row>
    <row r="946" spans="1:2" ht="15.75" customHeight="1" x14ac:dyDescent="0.25">
      <c r="A946" s="6">
        <v>47002</v>
      </c>
      <c r="B946" s="6" t="s">
        <v>1501</v>
      </c>
    </row>
    <row r="947" spans="1:2" ht="15.75" customHeight="1" x14ac:dyDescent="0.25">
      <c r="A947" s="6">
        <v>47003</v>
      </c>
      <c r="B947" s="6" t="s">
        <v>1505</v>
      </c>
    </row>
    <row r="948" spans="1:2" ht="15.75" customHeight="1" x14ac:dyDescent="0.25">
      <c r="A948" s="6">
        <v>47004</v>
      </c>
      <c r="B948" s="6" t="s">
        <v>1472</v>
      </c>
    </row>
    <row r="949" spans="1:2" ht="15.75" customHeight="1" x14ac:dyDescent="0.25">
      <c r="A949" s="6">
        <v>47005</v>
      </c>
      <c r="B949" s="6" t="s">
        <v>1470</v>
      </c>
    </row>
    <row r="950" spans="1:2" ht="15.75" customHeight="1" x14ac:dyDescent="0.25">
      <c r="A950" s="6">
        <v>47006</v>
      </c>
      <c r="B950" s="6" t="s">
        <v>1474</v>
      </c>
    </row>
    <row r="951" spans="1:2" ht="15.75" customHeight="1" x14ac:dyDescent="0.25">
      <c r="A951" s="6">
        <v>47007</v>
      </c>
      <c r="B951" s="6" t="s">
        <v>1502</v>
      </c>
    </row>
    <row r="952" spans="1:2" ht="15.75" customHeight="1" x14ac:dyDescent="0.25">
      <c r="A952" s="6">
        <v>47008</v>
      </c>
      <c r="B952" s="6" t="s">
        <v>1500</v>
      </c>
    </row>
    <row r="953" spans="1:2" ht="15.75" customHeight="1" x14ac:dyDescent="0.25">
      <c r="A953" s="6">
        <v>47009</v>
      </c>
      <c r="B953" s="6" t="s">
        <v>1504</v>
      </c>
    </row>
    <row r="954" spans="1:2" ht="15.75" customHeight="1" x14ac:dyDescent="0.25">
      <c r="A954" s="6">
        <v>47010</v>
      </c>
      <c r="B954" s="6" t="s">
        <v>1471</v>
      </c>
    </row>
    <row r="955" spans="1:2" ht="15.75" customHeight="1" x14ac:dyDescent="0.25">
      <c r="A955" s="6">
        <v>47011</v>
      </c>
      <c r="B955" s="6" t="s">
        <v>1469</v>
      </c>
    </row>
    <row r="956" spans="1:2" ht="15.75" customHeight="1" x14ac:dyDescent="0.25">
      <c r="A956" s="6">
        <v>47012</v>
      </c>
      <c r="B956" s="6" t="s">
        <v>1473</v>
      </c>
    </row>
    <row r="957" spans="1:2" ht="15.75" customHeight="1" x14ac:dyDescent="0.25">
      <c r="A957" s="6">
        <v>47013</v>
      </c>
      <c r="B957" s="6" t="s">
        <v>860</v>
      </c>
    </row>
    <row r="958" spans="1:2" ht="15.75" customHeight="1" x14ac:dyDescent="0.25">
      <c r="A958" s="6">
        <v>47014</v>
      </c>
      <c r="B958" s="6" t="s">
        <v>858</v>
      </c>
    </row>
    <row r="959" spans="1:2" ht="15.75" customHeight="1" x14ac:dyDescent="0.25">
      <c r="A959" s="6">
        <v>47015</v>
      </c>
      <c r="B959" s="6" t="s">
        <v>862</v>
      </c>
    </row>
    <row r="960" spans="1:2" ht="15.75" customHeight="1" x14ac:dyDescent="0.25">
      <c r="A960" s="6">
        <v>47016</v>
      </c>
      <c r="B960" s="6" t="s">
        <v>859</v>
      </c>
    </row>
    <row r="961" spans="1:2" ht="15.75" customHeight="1" x14ac:dyDescent="0.25">
      <c r="A961" s="6">
        <v>47017</v>
      </c>
      <c r="B961" s="6" t="s">
        <v>857</v>
      </c>
    </row>
    <row r="962" spans="1:2" ht="15.75" customHeight="1" x14ac:dyDescent="0.25">
      <c r="A962" s="6">
        <v>47018</v>
      </c>
      <c r="B962" s="6" t="s">
        <v>861</v>
      </c>
    </row>
    <row r="963" spans="1:2" ht="15.75" customHeight="1" x14ac:dyDescent="0.25">
      <c r="A963" s="6">
        <v>48001</v>
      </c>
      <c r="B963" s="6" t="s">
        <v>115</v>
      </c>
    </row>
    <row r="964" spans="1:2" ht="15.75" customHeight="1" x14ac:dyDescent="0.25">
      <c r="A964" s="6">
        <v>48002</v>
      </c>
      <c r="B964" s="6" t="s">
        <v>903</v>
      </c>
    </row>
    <row r="965" spans="1:2" ht="15.75" customHeight="1" x14ac:dyDescent="0.25">
      <c r="A965" s="6">
        <v>48003</v>
      </c>
      <c r="B965" s="6" t="s">
        <v>1367</v>
      </c>
    </row>
    <row r="966" spans="1:2" ht="15.75" customHeight="1" x14ac:dyDescent="0.25">
      <c r="A966" s="6">
        <v>48004</v>
      </c>
      <c r="B966" s="6" t="s">
        <v>1368</v>
      </c>
    </row>
    <row r="967" spans="1:2" ht="15.75" customHeight="1" x14ac:dyDescent="0.25">
      <c r="A967" s="6">
        <v>48005</v>
      </c>
      <c r="B967" s="6" t="s">
        <v>1440</v>
      </c>
    </row>
    <row r="968" spans="1:2" ht="15.75" customHeight="1" x14ac:dyDescent="0.25">
      <c r="A968" s="6">
        <v>49001</v>
      </c>
      <c r="B968" s="6" t="s">
        <v>1064</v>
      </c>
    </row>
    <row r="969" spans="1:2" ht="15.75" customHeight="1" x14ac:dyDescent="0.25">
      <c r="A969" s="6">
        <v>49002</v>
      </c>
      <c r="B969" s="6" t="s">
        <v>1060</v>
      </c>
    </row>
    <row r="970" spans="1:2" ht="15.75" customHeight="1" x14ac:dyDescent="0.25">
      <c r="A970" s="6">
        <v>49003</v>
      </c>
      <c r="B970" s="6" t="s">
        <v>1219</v>
      </c>
    </row>
    <row r="971" spans="1:2" ht="15.75" customHeight="1" x14ac:dyDescent="0.25">
      <c r="A971" s="6">
        <v>49004</v>
      </c>
      <c r="B971" s="6" t="s">
        <v>1217</v>
      </c>
    </row>
    <row r="972" spans="1:2" ht="15.75" customHeight="1" x14ac:dyDescent="0.25">
      <c r="A972" s="6">
        <v>49005</v>
      </c>
      <c r="B972" s="6" t="s">
        <v>1218</v>
      </c>
    </row>
    <row r="973" spans="1:2" ht="15.75" customHeight="1" x14ac:dyDescent="0.25">
      <c r="A973" s="6">
        <v>49006</v>
      </c>
      <c r="B973" s="6" t="s">
        <v>1063</v>
      </c>
    </row>
    <row r="974" spans="1:2" ht="15.75" customHeight="1" x14ac:dyDescent="0.25">
      <c r="A974" s="6">
        <v>49007</v>
      </c>
      <c r="B974" s="6" t="s">
        <v>1061</v>
      </c>
    </row>
    <row r="975" spans="1:2" ht="15.75" customHeight="1" x14ac:dyDescent="0.25">
      <c r="A975" s="6">
        <v>49008</v>
      </c>
      <c r="B975" s="6" t="s">
        <v>1062</v>
      </c>
    </row>
    <row r="976" spans="1:2" ht="15.75" customHeight="1" x14ac:dyDescent="0.25">
      <c r="A976" s="6">
        <v>50001</v>
      </c>
      <c r="B976" s="6" t="s">
        <v>1527</v>
      </c>
    </row>
    <row r="977" spans="1:2" ht="15.75" customHeight="1" x14ac:dyDescent="0.25">
      <c r="A977" s="6">
        <v>51001</v>
      </c>
      <c r="B977" s="6" t="s">
        <v>1361</v>
      </c>
    </row>
    <row r="978" spans="1:2" ht="15.75" customHeight="1" x14ac:dyDescent="0.25">
      <c r="A978" s="6">
        <v>52001</v>
      </c>
      <c r="B978" s="6" t="s">
        <v>768</v>
      </c>
    </row>
    <row r="979" spans="1:2" ht="15.75" customHeight="1" x14ac:dyDescent="0.25">
      <c r="A979" s="6">
        <v>52002</v>
      </c>
      <c r="B979" s="6" t="s">
        <v>901</v>
      </c>
    </row>
    <row r="980" spans="1:2" ht="15.75" customHeight="1" x14ac:dyDescent="0.25">
      <c r="A980" s="6">
        <v>52003</v>
      </c>
      <c r="B980" s="6" t="s">
        <v>1352</v>
      </c>
    </row>
    <row r="981" spans="1:2" ht="15.75" customHeight="1" x14ac:dyDescent="0.25">
      <c r="A981" s="6">
        <v>53001</v>
      </c>
      <c r="B981" s="6" t="s">
        <v>683</v>
      </c>
    </row>
    <row r="982" spans="1:2" ht="15.75" customHeight="1" x14ac:dyDescent="0.25">
      <c r="A982" s="6">
        <v>53002</v>
      </c>
      <c r="B982" s="6" t="s">
        <v>684</v>
      </c>
    </row>
    <row r="983" spans="1:2" ht="15.75" customHeight="1" x14ac:dyDescent="0.25">
      <c r="A983" s="6">
        <v>53003</v>
      </c>
      <c r="B983" s="6" t="s">
        <v>681</v>
      </c>
    </row>
    <row r="984" spans="1:2" ht="15.75" customHeight="1" x14ac:dyDescent="0.25">
      <c r="A984" s="6">
        <v>53004</v>
      </c>
      <c r="B984" s="6" t="s">
        <v>682</v>
      </c>
    </row>
    <row r="985" spans="1:2" ht="15.75" customHeight="1" x14ac:dyDescent="0.25">
      <c r="A985" s="6">
        <v>53005</v>
      </c>
      <c r="B985" s="6" t="s">
        <v>1044</v>
      </c>
    </row>
    <row r="986" spans="1:2" ht="15.75" customHeight="1" x14ac:dyDescent="0.25">
      <c r="A986" s="6">
        <v>53006</v>
      </c>
      <c r="B986" s="6" t="s">
        <v>1045</v>
      </c>
    </row>
    <row r="987" spans="1:2" ht="15.75" customHeight="1" x14ac:dyDescent="0.25">
      <c r="A987" s="6">
        <v>53007</v>
      </c>
      <c r="B987" s="6" t="s">
        <v>1042</v>
      </c>
    </row>
    <row r="988" spans="1:2" ht="15.75" customHeight="1" x14ac:dyDescent="0.25">
      <c r="A988" s="6">
        <v>53008</v>
      </c>
      <c r="B988" s="6" t="s">
        <v>1043</v>
      </c>
    </row>
    <row r="989" spans="1:2" ht="15.75" customHeight="1" x14ac:dyDescent="0.25">
      <c r="A989" s="6">
        <v>53009</v>
      </c>
      <c r="B989" s="6" t="s">
        <v>693</v>
      </c>
    </row>
    <row r="990" spans="1:2" ht="15.75" customHeight="1" x14ac:dyDescent="0.25">
      <c r="A990" s="6">
        <v>53010</v>
      </c>
      <c r="B990" s="6" t="s">
        <v>694</v>
      </c>
    </row>
    <row r="991" spans="1:2" ht="15.75" customHeight="1" x14ac:dyDescent="0.25">
      <c r="A991" s="6">
        <v>53011</v>
      </c>
      <c r="B991" s="6" t="s">
        <v>691</v>
      </c>
    </row>
    <row r="992" spans="1:2" ht="15.75" customHeight="1" x14ac:dyDescent="0.25">
      <c r="A992" s="6">
        <v>53012</v>
      </c>
      <c r="B992" s="6" t="s">
        <v>692</v>
      </c>
    </row>
    <row r="993" spans="1:2" ht="15.75" customHeight="1" x14ac:dyDescent="0.25">
      <c r="A993" s="6">
        <v>53013</v>
      </c>
      <c r="B993" s="6" t="s">
        <v>824</v>
      </c>
    </row>
    <row r="994" spans="1:2" ht="15.75" customHeight="1" x14ac:dyDescent="0.25">
      <c r="A994" s="6">
        <v>53014</v>
      </c>
      <c r="B994" s="6" t="s">
        <v>825</v>
      </c>
    </row>
    <row r="995" spans="1:2" ht="15.75" customHeight="1" x14ac:dyDescent="0.25">
      <c r="A995" s="6">
        <v>53015</v>
      </c>
      <c r="B995" s="6" t="s">
        <v>822</v>
      </c>
    </row>
    <row r="996" spans="1:2" ht="15.75" customHeight="1" x14ac:dyDescent="0.25">
      <c r="A996" s="6">
        <v>53016</v>
      </c>
      <c r="B996" s="6" t="s">
        <v>823</v>
      </c>
    </row>
    <row r="997" spans="1:2" ht="15.75" customHeight="1" x14ac:dyDescent="0.25">
      <c r="A997" s="6">
        <v>53017</v>
      </c>
      <c r="B997" s="6" t="s">
        <v>745</v>
      </c>
    </row>
    <row r="998" spans="1:2" ht="15.75" customHeight="1" x14ac:dyDescent="0.25">
      <c r="A998" s="6">
        <v>53018</v>
      </c>
      <c r="B998" s="6" t="s">
        <v>746</v>
      </c>
    </row>
    <row r="999" spans="1:2" ht="15.75" customHeight="1" x14ac:dyDescent="0.25">
      <c r="A999" s="6">
        <v>53019</v>
      </c>
      <c r="B999" s="6" t="s">
        <v>743</v>
      </c>
    </row>
    <row r="1000" spans="1:2" ht="15.75" customHeight="1" x14ac:dyDescent="0.25">
      <c r="A1000" s="6">
        <v>53020</v>
      </c>
      <c r="B1000" s="6" t="s">
        <v>744</v>
      </c>
    </row>
    <row r="1001" spans="1:2" ht="15.75" customHeight="1" x14ac:dyDescent="0.25">
      <c r="A1001" s="6">
        <v>53021</v>
      </c>
      <c r="B1001" s="6" t="s">
        <v>960</v>
      </c>
    </row>
    <row r="1002" spans="1:2" ht="15.75" customHeight="1" x14ac:dyDescent="0.25">
      <c r="A1002" s="6">
        <v>53022</v>
      </c>
      <c r="B1002" s="6" t="s">
        <v>961</v>
      </c>
    </row>
    <row r="1003" spans="1:2" ht="15.75" customHeight="1" x14ac:dyDescent="0.25">
      <c r="A1003" s="6">
        <v>53023</v>
      </c>
      <c r="B1003" s="6" t="s">
        <v>958</v>
      </c>
    </row>
    <row r="1004" spans="1:2" ht="15.75" customHeight="1" x14ac:dyDescent="0.25">
      <c r="A1004" s="6">
        <v>53024</v>
      </c>
      <c r="B1004" s="6" t="s">
        <v>959</v>
      </c>
    </row>
    <row r="1005" spans="1:2" ht="15.75" customHeight="1" x14ac:dyDescent="0.25">
      <c r="A1005" s="6">
        <v>53025</v>
      </c>
      <c r="B1005" s="6" t="s">
        <v>1428</v>
      </c>
    </row>
    <row r="1006" spans="1:2" ht="15.75" customHeight="1" x14ac:dyDescent="0.25">
      <c r="A1006" s="6">
        <v>53026</v>
      </c>
      <c r="B1006" s="6" t="s">
        <v>1429</v>
      </c>
    </row>
    <row r="1007" spans="1:2" ht="15.75" customHeight="1" x14ac:dyDescent="0.25">
      <c r="A1007" s="6">
        <v>53027</v>
      </c>
      <c r="B1007" s="6" t="s">
        <v>1426</v>
      </c>
    </row>
    <row r="1008" spans="1:2" ht="15.75" customHeight="1" x14ac:dyDescent="0.25">
      <c r="A1008" s="6">
        <v>53028</v>
      </c>
      <c r="B1008" s="6" t="s">
        <v>1427</v>
      </c>
    </row>
    <row r="1009" spans="1:2" ht="15.75" customHeight="1" x14ac:dyDescent="0.25">
      <c r="A1009" s="6">
        <v>53029</v>
      </c>
      <c r="B1009" s="6" t="s">
        <v>763</v>
      </c>
    </row>
    <row r="1010" spans="1:2" ht="15.75" customHeight="1" x14ac:dyDescent="0.25">
      <c r="A1010" s="6">
        <v>53030</v>
      </c>
      <c r="B1010" s="6" t="s">
        <v>759</v>
      </c>
    </row>
    <row r="1011" spans="1:2" ht="15.75" customHeight="1" x14ac:dyDescent="0.25">
      <c r="A1011" s="6">
        <v>53031</v>
      </c>
      <c r="B1011" s="6" t="s">
        <v>758</v>
      </c>
    </row>
    <row r="1012" spans="1:2" ht="15.75" customHeight="1" x14ac:dyDescent="0.25">
      <c r="A1012" s="6">
        <v>53032</v>
      </c>
      <c r="B1012" s="6" t="s">
        <v>761</v>
      </c>
    </row>
    <row r="1013" spans="1:2" ht="15.75" customHeight="1" x14ac:dyDescent="0.25">
      <c r="A1013" s="6">
        <v>53033</v>
      </c>
      <c r="B1013" s="6" t="s">
        <v>764</v>
      </c>
    </row>
    <row r="1014" spans="1:2" ht="15.75" customHeight="1" x14ac:dyDescent="0.25">
      <c r="A1014" s="6">
        <v>53034</v>
      </c>
      <c r="B1014" s="6" t="s">
        <v>767</v>
      </c>
    </row>
    <row r="1015" spans="1:2" ht="15.75" customHeight="1" x14ac:dyDescent="0.25">
      <c r="A1015" s="6">
        <v>53035</v>
      </c>
      <c r="B1015" s="6" t="s">
        <v>765</v>
      </c>
    </row>
    <row r="1016" spans="1:2" ht="15.75" customHeight="1" x14ac:dyDescent="0.25">
      <c r="A1016" s="6">
        <v>53036</v>
      </c>
      <c r="B1016" s="6" t="s">
        <v>766</v>
      </c>
    </row>
    <row r="1017" spans="1:2" ht="15.75" customHeight="1" x14ac:dyDescent="0.25">
      <c r="A1017" s="6">
        <v>53037</v>
      </c>
      <c r="B1017" s="6" t="s">
        <v>762</v>
      </c>
    </row>
    <row r="1018" spans="1:2" ht="15.75" customHeight="1" x14ac:dyDescent="0.25">
      <c r="A1018" s="6">
        <v>53038</v>
      </c>
      <c r="B1018" s="6" t="s">
        <v>760</v>
      </c>
    </row>
    <row r="1019" spans="1:2" ht="15.75" customHeight="1" x14ac:dyDescent="0.25">
      <c r="A1019" s="6">
        <v>53039</v>
      </c>
      <c r="B1019" s="6" t="s">
        <v>740</v>
      </c>
    </row>
    <row r="1020" spans="1:2" ht="15.75" customHeight="1" x14ac:dyDescent="0.25">
      <c r="A1020" s="6">
        <v>53040</v>
      </c>
      <c r="B1020" s="6" t="s">
        <v>741</v>
      </c>
    </row>
    <row r="1021" spans="1:2" ht="15.75" customHeight="1" x14ac:dyDescent="0.25">
      <c r="A1021" s="6">
        <v>53041</v>
      </c>
      <c r="B1021" s="6" t="s">
        <v>738</v>
      </c>
    </row>
    <row r="1022" spans="1:2" ht="15.75" customHeight="1" x14ac:dyDescent="0.25">
      <c r="A1022" s="6">
        <v>53042</v>
      </c>
      <c r="B1022" s="6" t="s">
        <v>739</v>
      </c>
    </row>
    <row r="1023" spans="1:2" ht="15.75" customHeight="1" x14ac:dyDescent="0.25">
      <c r="A1023" s="6">
        <v>53043</v>
      </c>
      <c r="B1023" s="6" t="s">
        <v>1264</v>
      </c>
    </row>
    <row r="1024" spans="1:2" ht="15.75" customHeight="1" x14ac:dyDescent="0.25">
      <c r="A1024" s="6">
        <v>53044</v>
      </c>
      <c r="B1024" s="6" t="s">
        <v>1265</v>
      </c>
    </row>
    <row r="1025" spans="1:2" ht="15.75" customHeight="1" x14ac:dyDescent="0.25">
      <c r="A1025" s="6">
        <v>53045</v>
      </c>
      <c r="B1025" s="6" t="s">
        <v>1262</v>
      </c>
    </row>
    <row r="1026" spans="1:2" ht="15.75" customHeight="1" x14ac:dyDescent="0.25">
      <c r="A1026" s="6">
        <v>53046</v>
      </c>
      <c r="B1026" s="6" t="s">
        <v>1263</v>
      </c>
    </row>
    <row r="1027" spans="1:2" ht="15.75" customHeight="1" x14ac:dyDescent="0.25">
      <c r="A1027" s="6">
        <v>53047</v>
      </c>
      <c r="B1027" s="6" t="s">
        <v>1445</v>
      </c>
    </row>
    <row r="1028" spans="1:2" ht="15.75" customHeight="1" x14ac:dyDescent="0.25">
      <c r="A1028" s="6">
        <v>53048</v>
      </c>
      <c r="B1028" s="6" t="s">
        <v>1446</v>
      </c>
    </row>
    <row r="1029" spans="1:2" ht="15.75" customHeight="1" x14ac:dyDescent="0.25">
      <c r="A1029" s="6">
        <v>53049</v>
      </c>
      <c r="B1029" s="6" t="s">
        <v>1443</v>
      </c>
    </row>
    <row r="1030" spans="1:2" ht="15.75" customHeight="1" x14ac:dyDescent="0.25">
      <c r="A1030" s="6">
        <v>53050</v>
      </c>
      <c r="B1030" s="6" t="s">
        <v>1444</v>
      </c>
    </row>
    <row r="1031" spans="1:2" ht="15.75" customHeight="1" x14ac:dyDescent="0.25">
      <c r="A1031" s="6">
        <v>53051</v>
      </c>
      <c r="B1031" s="6" t="s">
        <v>1572</v>
      </c>
    </row>
    <row r="1032" spans="1:2" ht="15.75" customHeight="1" x14ac:dyDescent="0.25">
      <c r="A1032" s="6">
        <v>53052</v>
      </c>
      <c r="B1032" s="6" t="s">
        <v>1573</v>
      </c>
    </row>
    <row r="1033" spans="1:2" ht="15.75" customHeight="1" x14ac:dyDescent="0.25">
      <c r="A1033" s="6">
        <v>53053</v>
      </c>
      <c r="B1033" s="6" t="s">
        <v>1570</v>
      </c>
    </row>
    <row r="1034" spans="1:2" ht="15.75" customHeight="1" x14ac:dyDescent="0.25">
      <c r="A1034" s="6">
        <v>53054</v>
      </c>
      <c r="B1034" s="6" t="s">
        <v>1571</v>
      </c>
    </row>
    <row r="1035" spans="1:2" ht="15.75" customHeight="1" x14ac:dyDescent="0.25">
      <c r="A1035" s="6">
        <v>53055</v>
      </c>
      <c r="B1035" s="6" t="s">
        <v>1118</v>
      </c>
    </row>
    <row r="1036" spans="1:2" ht="15.75" customHeight="1" x14ac:dyDescent="0.25">
      <c r="A1036" s="6">
        <v>53056</v>
      </c>
      <c r="B1036" s="6" t="s">
        <v>1119</v>
      </c>
    </row>
    <row r="1037" spans="1:2" ht="15.75" customHeight="1" x14ac:dyDescent="0.25">
      <c r="A1037" s="6">
        <v>53057</v>
      </c>
      <c r="B1037" s="6" t="s">
        <v>1116</v>
      </c>
    </row>
    <row r="1038" spans="1:2" ht="15.75" customHeight="1" x14ac:dyDescent="0.25">
      <c r="A1038" s="6">
        <v>53058</v>
      </c>
      <c r="B1038" s="6" t="s">
        <v>1117</v>
      </c>
    </row>
    <row r="1039" spans="1:2" ht="15.75" customHeight="1" x14ac:dyDescent="0.25">
      <c r="A1039" s="6">
        <v>53059</v>
      </c>
      <c r="B1039" s="6" t="s">
        <v>1355</v>
      </c>
    </row>
    <row r="1040" spans="1:2" ht="15.75" customHeight="1" x14ac:dyDescent="0.25">
      <c r="A1040" s="6">
        <v>53060</v>
      </c>
      <c r="B1040" s="6" t="s">
        <v>1356</v>
      </c>
    </row>
    <row r="1041" spans="1:2" ht="15.75" customHeight="1" x14ac:dyDescent="0.25">
      <c r="A1041" s="6">
        <v>53061</v>
      </c>
      <c r="B1041" s="6" t="s">
        <v>1353</v>
      </c>
    </row>
    <row r="1042" spans="1:2" ht="15.75" customHeight="1" x14ac:dyDescent="0.25">
      <c r="A1042" s="6">
        <v>53062</v>
      </c>
      <c r="B1042" s="6" t="s">
        <v>1354</v>
      </c>
    </row>
    <row r="1043" spans="1:2" ht="15.75" customHeight="1" x14ac:dyDescent="0.25">
      <c r="A1043" s="6">
        <v>53063</v>
      </c>
      <c r="B1043" s="6" t="s">
        <v>676</v>
      </c>
    </row>
    <row r="1044" spans="1:2" ht="15.75" customHeight="1" x14ac:dyDescent="0.25">
      <c r="A1044" s="6">
        <v>53064</v>
      </c>
      <c r="B1044" s="6" t="s">
        <v>677</v>
      </c>
    </row>
    <row r="1045" spans="1:2" ht="15.75" customHeight="1" x14ac:dyDescent="0.25">
      <c r="A1045" s="6">
        <v>53065</v>
      </c>
      <c r="B1045" s="6" t="s">
        <v>674</v>
      </c>
    </row>
    <row r="1046" spans="1:2" ht="15.75" customHeight="1" x14ac:dyDescent="0.25">
      <c r="A1046" s="6">
        <v>53066</v>
      </c>
      <c r="B1046" s="6" t="s">
        <v>675</v>
      </c>
    </row>
    <row r="1047" spans="1:2" ht="15.75" customHeight="1" x14ac:dyDescent="0.25">
      <c r="A1047" s="6">
        <v>53067</v>
      </c>
      <c r="B1047" s="6" t="s">
        <v>1057</v>
      </c>
    </row>
    <row r="1048" spans="1:2" ht="15.75" customHeight="1" x14ac:dyDescent="0.25">
      <c r="A1048" s="6">
        <v>53068</v>
      </c>
      <c r="B1048" s="6" t="s">
        <v>1058</v>
      </c>
    </row>
    <row r="1049" spans="1:2" ht="15.75" customHeight="1" x14ac:dyDescent="0.25">
      <c r="A1049" s="6">
        <v>53069</v>
      </c>
      <c r="B1049" s="6" t="s">
        <v>1055</v>
      </c>
    </row>
    <row r="1050" spans="1:2" ht="15.75" customHeight="1" x14ac:dyDescent="0.25">
      <c r="A1050" s="6">
        <v>53070</v>
      </c>
      <c r="B1050" s="6" t="s">
        <v>1056</v>
      </c>
    </row>
    <row r="1051" spans="1:2" ht="15.75" customHeight="1" x14ac:dyDescent="0.25">
      <c r="A1051" s="6">
        <v>53071</v>
      </c>
      <c r="B1051" s="6" t="s">
        <v>1400</v>
      </c>
    </row>
    <row r="1052" spans="1:2" ht="15.75" customHeight="1" x14ac:dyDescent="0.25">
      <c r="A1052" s="6">
        <v>53072</v>
      </c>
      <c r="B1052" s="6" t="s">
        <v>1398</v>
      </c>
    </row>
    <row r="1053" spans="1:2" ht="15.75" customHeight="1" x14ac:dyDescent="0.25">
      <c r="A1053" s="6">
        <v>53073</v>
      </c>
      <c r="B1053" s="6" t="s">
        <v>1401</v>
      </c>
    </row>
    <row r="1054" spans="1:2" ht="15.75" customHeight="1" x14ac:dyDescent="0.25">
      <c r="A1054" s="6">
        <v>53074</v>
      </c>
      <c r="B1054" s="6" t="s">
        <v>1399</v>
      </c>
    </row>
    <row r="1055" spans="1:2" ht="15.75" customHeight="1" x14ac:dyDescent="0.25">
      <c r="A1055" s="6">
        <v>53075</v>
      </c>
      <c r="B1055" s="6" t="s">
        <v>1488</v>
      </c>
    </row>
    <row r="1056" spans="1:2" ht="15.75" customHeight="1" x14ac:dyDescent="0.25">
      <c r="A1056" s="6">
        <v>53076</v>
      </c>
      <c r="B1056" s="6" t="s">
        <v>1489</v>
      </c>
    </row>
    <row r="1057" spans="1:2" ht="15.75" customHeight="1" x14ac:dyDescent="0.25">
      <c r="A1057" s="6">
        <v>53077</v>
      </c>
      <c r="B1057" s="6" t="s">
        <v>1486</v>
      </c>
    </row>
    <row r="1058" spans="1:2" ht="15.75" customHeight="1" x14ac:dyDescent="0.25">
      <c r="A1058" s="6">
        <v>53078</v>
      </c>
      <c r="B1058" s="6" t="s">
        <v>1487</v>
      </c>
    </row>
    <row r="1059" spans="1:2" ht="15.75" customHeight="1" x14ac:dyDescent="0.25">
      <c r="A1059" s="6">
        <v>53079</v>
      </c>
      <c r="B1059" s="6" t="s">
        <v>808</v>
      </c>
    </row>
    <row r="1060" spans="1:2" ht="15.75" customHeight="1" x14ac:dyDescent="0.25">
      <c r="A1060" s="6">
        <v>53080</v>
      </c>
      <c r="B1060" s="6" t="s">
        <v>809</v>
      </c>
    </row>
    <row r="1061" spans="1:2" ht="15.75" customHeight="1" x14ac:dyDescent="0.25">
      <c r="A1061" s="6">
        <v>53081</v>
      </c>
      <c r="B1061" s="6" t="s">
        <v>806</v>
      </c>
    </row>
    <row r="1062" spans="1:2" ht="15.75" customHeight="1" x14ac:dyDescent="0.25">
      <c r="A1062" s="6">
        <v>53082</v>
      </c>
      <c r="B1062" s="6" t="s">
        <v>807</v>
      </c>
    </row>
    <row r="1063" spans="1:2" ht="15.75" customHeight="1" x14ac:dyDescent="0.25">
      <c r="A1063" s="6">
        <v>53083</v>
      </c>
      <c r="B1063" s="6" t="s">
        <v>1070</v>
      </c>
    </row>
    <row r="1064" spans="1:2" ht="15.75" customHeight="1" x14ac:dyDescent="0.25">
      <c r="A1064" s="6">
        <v>53084</v>
      </c>
      <c r="B1064" s="6" t="s">
        <v>1071</v>
      </c>
    </row>
    <row r="1065" spans="1:2" ht="15.75" customHeight="1" x14ac:dyDescent="0.25">
      <c r="A1065" s="6">
        <v>53085</v>
      </c>
      <c r="B1065" s="6" t="s">
        <v>1068</v>
      </c>
    </row>
    <row r="1066" spans="1:2" ht="15.75" customHeight="1" x14ac:dyDescent="0.25">
      <c r="A1066" s="6">
        <v>53086</v>
      </c>
      <c r="B1066" s="6" t="s">
        <v>1069</v>
      </c>
    </row>
    <row r="1067" spans="1:2" ht="15.75" customHeight="1" x14ac:dyDescent="0.25">
      <c r="A1067" s="6">
        <v>53087</v>
      </c>
      <c r="B1067" s="6" t="s">
        <v>1103</v>
      </c>
    </row>
    <row r="1068" spans="1:2" ht="15.75" customHeight="1" x14ac:dyDescent="0.25">
      <c r="A1068" s="6">
        <v>53088</v>
      </c>
      <c r="B1068" s="6" t="s">
        <v>1104</v>
      </c>
    </row>
    <row r="1069" spans="1:2" ht="15.75" customHeight="1" x14ac:dyDescent="0.25">
      <c r="A1069" s="6">
        <v>53089</v>
      </c>
      <c r="B1069" s="6" t="s">
        <v>1101</v>
      </c>
    </row>
    <row r="1070" spans="1:2" ht="15.75" customHeight="1" x14ac:dyDescent="0.25">
      <c r="A1070" s="6">
        <v>53090</v>
      </c>
      <c r="B1070" s="6" t="s">
        <v>1102</v>
      </c>
    </row>
    <row r="1071" spans="1:2" ht="15.75" customHeight="1" x14ac:dyDescent="0.25">
      <c r="A1071" s="6">
        <v>53091</v>
      </c>
      <c r="B1071" s="6" t="s">
        <v>555</v>
      </c>
    </row>
    <row r="1072" spans="1:2" ht="15.75" customHeight="1" x14ac:dyDescent="0.25">
      <c r="A1072" s="6">
        <v>53092</v>
      </c>
      <c r="B1072" s="6" t="s">
        <v>552</v>
      </c>
    </row>
    <row r="1073" spans="1:2" ht="15.75" customHeight="1" x14ac:dyDescent="0.25">
      <c r="A1073" s="6">
        <v>53093</v>
      </c>
      <c r="B1073" s="6" t="s">
        <v>561</v>
      </c>
    </row>
    <row r="1074" spans="1:2" ht="15.75" customHeight="1" x14ac:dyDescent="0.25">
      <c r="A1074" s="6">
        <v>53094</v>
      </c>
      <c r="B1074" s="6" t="s">
        <v>558</v>
      </c>
    </row>
    <row r="1075" spans="1:2" ht="15.75" customHeight="1" x14ac:dyDescent="0.25">
      <c r="A1075" s="6">
        <v>53095</v>
      </c>
      <c r="B1075" s="6" t="s">
        <v>897</v>
      </c>
    </row>
    <row r="1076" spans="1:2" ht="15.75" customHeight="1" x14ac:dyDescent="0.25">
      <c r="A1076" s="6">
        <v>53096</v>
      </c>
      <c r="B1076" s="6" t="s">
        <v>898</v>
      </c>
    </row>
    <row r="1077" spans="1:2" ht="15.75" customHeight="1" x14ac:dyDescent="0.25">
      <c r="A1077" s="6">
        <v>53097</v>
      </c>
      <c r="B1077" s="6" t="s">
        <v>895</v>
      </c>
    </row>
    <row r="1078" spans="1:2" ht="15.75" customHeight="1" x14ac:dyDescent="0.25">
      <c r="A1078" s="6">
        <v>53098</v>
      </c>
      <c r="B1078" s="6" t="s">
        <v>896</v>
      </c>
    </row>
    <row r="1079" spans="1:2" ht="15.75" customHeight="1" x14ac:dyDescent="0.25">
      <c r="A1079" s="6">
        <v>53099</v>
      </c>
      <c r="B1079" s="6" t="s">
        <v>976</v>
      </c>
    </row>
    <row r="1080" spans="1:2" ht="15.75" customHeight="1" x14ac:dyDescent="0.25">
      <c r="A1080" s="6">
        <v>53100</v>
      </c>
      <c r="B1080" s="6" t="s">
        <v>977</v>
      </c>
    </row>
    <row r="1081" spans="1:2" ht="15.75" customHeight="1" x14ac:dyDescent="0.25">
      <c r="A1081" s="6">
        <v>53101</v>
      </c>
      <c r="B1081" s="6" t="s">
        <v>974</v>
      </c>
    </row>
    <row r="1082" spans="1:2" ht="15.75" customHeight="1" x14ac:dyDescent="0.25">
      <c r="A1082" s="6">
        <v>53102</v>
      </c>
      <c r="B1082" s="6" t="s">
        <v>975</v>
      </c>
    </row>
    <row r="1083" spans="1:2" ht="15.75" customHeight="1" x14ac:dyDescent="0.25">
      <c r="A1083" s="6">
        <v>53103</v>
      </c>
      <c r="B1083" s="6" t="s">
        <v>1541</v>
      </c>
    </row>
    <row r="1084" spans="1:2" ht="15.75" customHeight="1" x14ac:dyDescent="0.25">
      <c r="A1084" s="6">
        <v>53104</v>
      </c>
      <c r="B1084" s="6" t="s">
        <v>1542</v>
      </c>
    </row>
    <row r="1085" spans="1:2" ht="15.75" customHeight="1" x14ac:dyDescent="0.25">
      <c r="A1085" s="6">
        <v>53105</v>
      </c>
      <c r="B1085" s="6" t="s">
        <v>1539</v>
      </c>
    </row>
    <row r="1086" spans="1:2" ht="15.75" customHeight="1" x14ac:dyDescent="0.25">
      <c r="A1086" s="6">
        <v>53106</v>
      </c>
      <c r="B1086" s="6" t="s">
        <v>1540</v>
      </c>
    </row>
    <row r="1087" spans="1:2" ht="15.75" customHeight="1" x14ac:dyDescent="0.25">
      <c r="A1087" s="6">
        <v>53107</v>
      </c>
      <c r="B1087" s="6" t="s">
        <v>1659</v>
      </c>
    </row>
    <row r="1088" spans="1:2" ht="15.75" customHeight="1" x14ac:dyDescent="0.25">
      <c r="A1088" s="6">
        <v>53108</v>
      </c>
      <c r="B1088" s="6" t="s">
        <v>1660</v>
      </c>
    </row>
    <row r="1089" spans="1:2" ht="15.75" customHeight="1" x14ac:dyDescent="0.25">
      <c r="A1089" s="6">
        <v>53109</v>
      </c>
      <c r="B1089" s="6" t="s">
        <v>1661</v>
      </c>
    </row>
    <row r="1090" spans="1:2" ht="15.75" customHeight="1" x14ac:dyDescent="0.25">
      <c r="A1090" s="6">
        <v>53110</v>
      </c>
      <c r="B1090" s="6" t="s">
        <v>1662</v>
      </c>
    </row>
    <row r="1091" spans="1:2" ht="15.75" customHeight="1" x14ac:dyDescent="0.25">
      <c r="A1091" s="6">
        <v>53111</v>
      </c>
      <c r="B1091" s="6" t="s">
        <v>1663</v>
      </c>
    </row>
    <row r="1092" spans="1:2" ht="15.75" customHeight="1" x14ac:dyDescent="0.25">
      <c r="A1092" s="6">
        <v>53112</v>
      </c>
      <c r="B1092" s="6" t="s">
        <v>1664</v>
      </c>
    </row>
    <row r="1093" spans="1:2" ht="15.75" customHeight="1" x14ac:dyDescent="0.25">
      <c r="A1093" s="6">
        <v>53113</v>
      </c>
      <c r="B1093" s="6" t="s">
        <v>1665</v>
      </c>
    </row>
    <row r="1094" spans="1:2" ht="15.75" customHeight="1" x14ac:dyDescent="0.25">
      <c r="A1094" s="6">
        <v>53114</v>
      </c>
      <c r="B1094" s="6" t="s">
        <v>1666</v>
      </c>
    </row>
    <row r="1095" spans="1:2" ht="15.75" customHeight="1" x14ac:dyDescent="0.25">
      <c r="A1095" s="6">
        <v>54001</v>
      </c>
      <c r="B1095" s="6" t="s">
        <v>1550</v>
      </c>
    </row>
    <row r="1096" spans="1:2" ht="15.75" customHeight="1" x14ac:dyDescent="0.25">
      <c r="A1096" s="6">
        <v>55001</v>
      </c>
      <c r="B1096" s="6" t="s">
        <v>893</v>
      </c>
    </row>
    <row r="1097" spans="1:2" ht="15.75" customHeight="1" x14ac:dyDescent="0.25">
      <c r="A1097" s="6">
        <v>55002</v>
      </c>
      <c r="B1097" s="6" t="s">
        <v>894</v>
      </c>
    </row>
    <row r="1098" spans="1:2" ht="15.75" customHeight="1" x14ac:dyDescent="0.25">
      <c r="A1098" s="6">
        <v>55003</v>
      </c>
      <c r="B1098" s="6" t="s">
        <v>949</v>
      </c>
    </row>
    <row r="1099" spans="1:2" ht="15.75" customHeight="1" x14ac:dyDescent="0.25">
      <c r="A1099" s="6">
        <v>55004</v>
      </c>
      <c r="B1099" s="6" t="s">
        <v>948</v>
      </c>
    </row>
    <row r="1100" spans="1:2" ht="15.75" customHeight="1" x14ac:dyDescent="0.25">
      <c r="A1100" s="6">
        <v>55005</v>
      </c>
      <c r="B1100" s="6" t="s">
        <v>650</v>
      </c>
    </row>
    <row r="1101" spans="1:2" ht="15.75" customHeight="1" x14ac:dyDescent="0.25">
      <c r="A1101" s="6">
        <v>55006</v>
      </c>
      <c r="B1101" s="6" t="s">
        <v>1015</v>
      </c>
    </row>
    <row r="1102" spans="1:2" ht="15.75" customHeight="1" x14ac:dyDescent="0.25">
      <c r="A1102" s="6">
        <v>456001</v>
      </c>
      <c r="B1102" s="6" t="s">
        <v>1667</v>
      </c>
    </row>
    <row r="1103" spans="1:2" ht="15.75" customHeight="1" x14ac:dyDescent="0.25">
      <c r="A1103" s="6">
        <v>456002</v>
      </c>
      <c r="B1103" s="6" t="s">
        <v>1668</v>
      </c>
    </row>
    <row r="1104" spans="1:2" ht="15.75" customHeight="1" x14ac:dyDescent="0.25">
      <c r="A1104" s="6">
        <v>456003</v>
      </c>
      <c r="B1104" s="6" t="s">
        <v>1669</v>
      </c>
    </row>
    <row r="1105" spans="1:2" ht="15.75" customHeight="1" x14ac:dyDescent="0.25">
      <c r="A1105" s="6">
        <v>456004</v>
      </c>
      <c r="B1105" s="6" t="s">
        <v>1670</v>
      </c>
    </row>
    <row r="1106" spans="1:2" ht="15.75" customHeight="1" x14ac:dyDescent="0.25">
      <c r="A1106" s="6">
        <v>456005</v>
      </c>
      <c r="B1106" s="6" t="s">
        <v>1671</v>
      </c>
    </row>
    <row r="1107" spans="1:2" ht="15.75" customHeight="1" x14ac:dyDescent="0.25">
      <c r="A1107" s="6">
        <v>57001</v>
      </c>
      <c r="B1107" s="6" t="s">
        <v>1672</v>
      </c>
    </row>
    <row r="1108" spans="1:2" ht="15.75" customHeight="1" x14ac:dyDescent="0.25">
      <c r="A1108" s="6">
        <v>57002</v>
      </c>
      <c r="B1108" s="6" t="s">
        <v>1673</v>
      </c>
    </row>
  </sheetData>
  <autoFilter ref="A1:B1108" xr:uid="{00000000-0009-0000-0000-000002000000}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B1278"/>
  <sheetViews>
    <sheetView workbookViewId="0"/>
  </sheetViews>
  <sheetFormatPr defaultColWidth="14.42578125" defaultRowHeight="15" customHeight="1" x14ac:dyDescent="0.25"/>
  <cols>
    <col min="1" max="1" width="10.7109375" customWidth="1"/>
    <col min="2" max="2" width="70" customWidth="1"/>
    <col min="3" max="26" width="10.7109375" customWidth="1"/>
  </cols>
  <sheetData>
    <row r="1" spans="1:2" x14ac:dyDescent="0.25">
      <c r="A1" s="6" t="s">
        <v>1614</v>
      </c>
      <c r="B1" s="6" t="s">
        <v>1615</v>
      </c>
    </row>
    <row r="2" spans="1:2" hidden="1" x14ac:dyDescent="0.25">
      <c r="A2" s="6">
        <v>1001</v>
      </c>
      <c r="B2" s="6" t="s">
        <v>1120</v>
      </c>
    </row>
    <row r="3" spans="1:2" hidden="1" x14ac:dyDescent="0.25">
      <c r="A3" s="6">
        <v>1006</v>
      </c>
      <c r="B3" s="6" t="s">
        <v>1089</v>
      </c>
    </row>
    <row r="4" spans="1:2" hidden="1" x14ac:dyDescent="0.25">
      <c r="A4" s="6">
        <v>1008</v>
      </c>
      <c r="B4" s="6" t="s">
        <v>1322</v>
      </c>
    </row>
    <row r="5" spans="1:2" hidden="1" x14ac:dyDescent="0.25">
      <c r="A5" s="6">
        <v>1010</v>
      </c>
      <c r="B5" s="6" t="s">
        <v>954</v>
      </c>
    </row>
    <row r="6" spans="1:2" hidden="1" x14ac:dyDescent="0.25">
      <c r="A6" s="6">
        <v>1013</v>
      </c>
      <c r="B6" s="6" t="s">
        <v>1304</v>
      </c>
    </row>
    <row r="7" spans="1:2" hidden="1" x14ac:dyDescent="0.25">
      <c r="A7" s="6">
        <v>1014</v>
      </c>
      <c r="B7" s="6" t="s">
        <v>827</v>
      </c>
    </row>
    <row r="8" spans="1:2" hidden="1" x14ac:dyDescent="0.25">
      <c r="A8" s="6">
        <v>1015</v>
      </c>
      <c r="B8" s="6" t="s">
        <v>835</v>
      </c>
    </row>
    <row r="9" spans="1:2" hidden="1" x14ac:dyDescent="0.25">
      <c r="A9" s="6">
        <v>1016</v>
      </c>
      <c r="B9" s="6" t="s">
        <v>849</v>
      </c>
    </row>
    <row r="10" spans="1:2" hidden="1" x14ac:dyDescent="0.25">
      <c r="A10" s="6">
        <v>1017</v>
      </c>
      <c r="B10" s="6" t="s">
        <v>1450</v>
      </c>
    </row>
    <row r="11" spans="1:2" hidden="1" x14ac:dyDescent="0.25">
      <c r="A11" s="6">
        <v>1018</v>
      </c>
      <c r="B11" s="6" t="s">
        <v>1449</v>
      </c>
    </row>
    <row r="12" spans="1:2" hidden="1" x14ac:dyDescent="0.25">
      <c r="A12" s="6">
        <v>1019</v>
      </c>
      <c r="B12" s="6" t="s">
        <v>1408</v>
      </c>
    </row>
    <row r="13" spans="1:2" hidden="1" x14ac:dyDescent="0.25">
      <c r="A13" s="6">
        <v>1020</v>
      </c>
      <c r="B13" s="6" t="s">
        <v>846</v>
      </c>
    </row>
    <row r="14" spans="1:2" hidden="1" x14ac:dyDescent="0.25">
      <c r="A14" s="6">
        <v>1021</v>
      </c>
      <c r="B14" s="6" t="s">
        <v>990</v>
      </c>
    </row>
    <row r="15" spans="1:2" hidden="1" x14ac:dyDescent="0.25">
      <c r="A15" s="6">
        <v>1022</v>
      </c>
      <c r="B15" s="6" t="s">
        <v>847</v>
      </c>
    </row>
    <row r="16" spans="1:2" hidden="1" x14ac:dyDescent="0.25">
      <c r="A16" s="6">
        <v>1024</v>
      </c>
      <c r="B16" s="6" t="s">
        <v>1243</v>
      </c>
    </row>
    <row r="17" spans="1:2" hidden="1" x14ac:dyDescent="0.25">
      <c r="A17" s="6">
        <v>1025</v>
      </c>
      <c r="B17" s="6" t="s">
        <v>1242</v>
      </c>
    </row>
    <row r="18" spans="1:2" hidden="1" x14ac:dyDescent="0.25">
      <c r="A18" s="6">
        <v>1026</v>
      </c>
      <c r="B18" s="6" t="s">
        <v>1241</v>
      </c>
    </row>
    <row r="19" spans="1:2" hidden="1" x14ac:dyDescent="0.25">
      <c r="A19" s="6">
        <v>1027</v>
      </c>
      <c r="B19" s="6" t="s">
        <v>1254</v>
      </c>
    </row>
    <row r="20" spans="1:2" hidden="1" x14ac:dyDescent="0.25">
      <c r="A20" s="6">
        <v>1028</v>
      </c>
      <c r="B20" s="6" t="s">
        <v>1252</v>
      </c>
    </row>
    <row r="21" spans="1:2" ht="15.75" hidden="1" customHeight="1" x14ac:dyDescent="0.25">
      <c r="A21" s="6">
        <v>1029</v>
      </c>
      <c r="B21" s="6" t="s">
        <v>851</v>
      </c>
    </row>
    <row r="22" spans="1:2" ht="15.75" hidden="1" customHeight="1" x14ac:dyDescent="0.25">
      <c r="A22" s="6">
        <v>1033</v>
      </c>
      <c r="B22" s="6" t="s">
        <v>1244</v>
      </c>
    </row>
    <row r="23" spans="1:2" ht="15.75" hidden="1" customHeight="1" x14ac:dyDescent="0.25">
      <c r="A23" s="6">
        <v>1034</v>
      </c>
      <c r="B23" s="6" t="s">
        <v>1245</v>
      </c>
    </row>
    <row r="24" spans="1:2" ht="15.75" hidden="1" customHeight="1" x14ac:dyDescent="0.25">
      <c r="A24" s="6">
        <v>1039</v>
      </c>
      <c r="B24" s="6" t="s">
        <v>1246</v>
      </c>
    </row>
    <row r="25" spans="1:2" ht="15.75" hidden="1" customHeight="1" x14ac:dyDescent="0.25">
      <c r="A25" s="6">
        <v>1040</v>
      </c>
      <c r="B25" s="6" t="s">
        <v>1581</v>
      </c>
    </row>
    <row r="26" spans="1:2" ht="15.75" hidden="1" customHeight="1" x14ac:dyDescent="0.25">
      <c r="A26" s="6">
        <v>1043</v>
      </c>
      <c r="B26" s="6" t="s">
        <v>1406</v>
      </c>
    </row>
    <row r="27" spans="1:2" ht="15.75" hidden="1" customHeight="1" x14ac:dyDescent="0.25">
      <c r="A27" s="6">
        <v>1045</v>
      </c>
      <c r="B27" s="6" t="s">
        <v>1580</v>
      </c>
    </row>
    <row r="28" spans="1:2" ht="15.75" hidden="1" customHeight="1" x14ac:dyDescent="0.25">
      <c r="A28" s="6">
        <v>1048</v>
      </c>
      <c r="B28" s="6" t="s">
        <v>666</v>
      </c>
    </row>
    <row r="29" spans="1:2" ht="15.75" hidden="1" customHeight="1" x14ac:dyDescent="0.25">
      <c r="A29" s="6">
        <v>1051</v>
      </c>
      <c r="B29" s="6" t="s">
        <v>1409</v>
      </c>
    </row>
    <row r="30" spans="1:2" ht="15.75" hidden="1" customHeight="1" x14ac:dyDescent="0.25">
      <c r="A30" s="6">
        <v>1054</v>
      </c>
      <c r="B30" s="6" t="s">
        <v>1410</v>
      </c>
    </row>
    <row r="31" spans="1:2" ht="15.75" hidden="1" customHeight="1" x14ac:dyDescent="0.25">
      <c r="A31" s="6">
        <v>1070</v>
      </c>
      <c r="B31" s="6" t="s">
        <v>1305</v>
      </c>
    </row>
    <row r="32" spans="1:2" ht="15.75" hidden="1" customHeight="1" x14ac:dyDescent="0.25">
      <c r="A32" s="6">
        <v>1071</v>
      </c>
      <c r="B32" s="6" t="s">
        <v>1324</v>
      </c>
    </row>
    <row r="33" spans="1:2" ht="15.75" hidden="1" customHeight="1" x14ac:dyDescent="0.25">
      <c r="A33" s="6">
        <v>1072</v>
      </c>
      <c r="B33" s="6" t="s">
        <v>1327</v>
      </c>
    </row>
    <row r="34" spans="1:2" ht="15.75" hidden="1" customHeight="1" x14ac:dyDescent="0.25">
      <c r="A34" s="6">
        <v>1073</v>
      </c>
      <c r="B34" s="6" t="s">
        <v>1314</v>
      </c>
    </row>
    <row r="35" spans="1:2" ht="15.75" hidden="1" customHeight="1" x14ac:dyDescent="0.25">
      <c r="A35" s="6">
        <v>1074</v>
      </c>
      <c r="B35" s="6" t="s">
        <v>1315</v>
      </c>
    </row>
    <row r="36" spans="1:2" ht="15.75" hidden="1" customHeight="1" x14ac:dyDescent="0.25">
      <c r="A36" s="6">
        <v>1075</v>
      </c>
      <c r="B36" s="6" t="s">
        <v>1319</v>
      </c>
    </row>
    <row r="37" spans="1:2" ht="15.75" hidden="1" customHeight="1" x14ac:dyDescent="0.25">
      <c r="A37" s="6">
        <v>1076</v>
      </c>
      <c r="B37" s="6" t="s">
        <v>1320</v>
      </c>
    </row>
    <row r="38" spans="1:2" ht="15.75" hidden="1" customHeight="1" x14ac:dyDescent="0.25">
      <c r="A38" s="6">
        <v>1077</v>
      </c>
      <c r="B38" s="6" t="s">
        <v>845</v>
      </c>
    </row>
    <row r="39" spans="1:2" ht="15.75" hidden="1" customHeight="1" x14ac:dyDescent="0.25">
      <c r="A39" s="6">
        <v>1078</v>
      </c>
      <c r="B39" s="6" t="s">
        <v>1129</v>
      </c>
    </row>
    <row r="40" spans="1:2" ht="15.75" hidden="1" customHeight="1" x14ac:dyDescent="0.25">
      <c r="A40" s="6">
        <v>1079</v>
      </c>
      <c r="B40" s="6" t="s">
        <v>1139</v>
      </c>
    </row>
    <row r="41" spans="1:2" ht="15.75" hidden="1" customHeight="1" x14ac:dyDescent="0.25">
      <c r="A41" s="6">
        <v>1080</v>
      </c>
      <c r="B41" s="6" t="s">
        <v>1412</v>
      </c>
    </row>
    <row r="42" spans="1:2" ht="15.75" hidden="1" customHeight="1" x14ac:dyDescent="0.25">
      <c r="A42" s="6">
        <v>1081</v>
      </c>
      <c r="B42" s="6" t="s">
        <v>1011</v>
      </c>
    </row>
    <row r="43" spans="1:2" ht="15.75" hidden="1" customHeight="1" x14ac:dyDescent="0.25">
      <c r="A43" s="6">
        <v>1084</v>
      </c>
      <c r="B43" s="6" t="s">
        <v>836</v>
      </c>
    </row>
    <row r="44" spans="1:2" ht="15.75" hidden="1" customHeight="1" x14ac:dyDescent="0.25">
      <c r="A44" s="6">
        <v>1085</v>
      </c>
      <c r="B44" s="6" t="s">
        <v>837</v>
      </c>
    </row>
    <row r="45" spans="1:2" ht="15.75" hidden="1" customHeight="1" x14ac:dyDescent="0.25">
      <c r="A45" s="6">
        <v>1086</v>
      </c>
      <c r="B45" s="6" t="s">
        <v>1130</v>
      </c>
    </row>
    <row r="46" spans="1:2" ht="15.75" hidden="1" customHeight="1" x14ac:dyDescent="0.25">
      <c r="A46" s="6">
        <v>1087</v>
      </c>
      <c r="B46" s="6" t="s">
        <v>1140</v>
      </c>
    </row>
    <row r="47" spans="1:2" ht="15.75" hidden="1" customHeight="1" x14ac:dyDescent="0.25">
      <c r="A47" s="6">
        <v>1093</v>
      </c>
      <c r="B47" s="6" t="s">
        <v>1247</v>
      </c>
    </row>
    <row r="48" spans="1:2" ht="15.75" hidden="1" customHeight="1" x14ac:dyDescent="0.25">
      <c r="A48" s="6">
        <v>1094</v>
      </c>
      <c r="B48" s="6" t="s">
        <v>1248</v>
      </c>
    </row>
    <row r="49" spans="1:2" ht="15.75" hidden="1" customHeight="1" x14ac:dyDescent="0.25">
      <c r="A49" s="6">
        <v>1095</v>
      </c>
      <c r="B49" s="6" t="s">
        <v>1082</v>
      </c>
    </row>
    <row r="50" spans="1:2" ht="15.75" hidden="1" customHeight="1" x14ac:dyDescent="0.25">
      <c r="A50" s="6">
        <v>1096</v>
      </c>
      <c r="B50" s="6" t="s">
        <v>1086</v>
      </c>
    </row>
    <row r="51" spans="1:2" ht="15.75" hidden="1" customHeight="1" x14ac:dyDescent="0.25">
      <c r="A51" s="6">
        <v>1097</v>
      </c>
      <c r="B51" s="6" t="s">
        <v>1084</v>
      </c>
    </row>
    <row r="52" spans="1:2" ht="15.75" hidden="1" customHeight="1" x14ac:dyDescent="0.25">
      <c r="A52" s="6">
        <v>1100</v>
      </c>
      <c r="B52" s="6" t="s">
        <v>1311</v>
      </c>
    </row>
    <row r="53" spans="1:2" ht="15.75" hidden="1" customHeight="1" x14ac:dyDescent="0.25">
      <c r="A53" s="6">
        <v>1101</v>
      </c>
      <c r="B53" s="6" t="s">
        <v>1312</v>
      </c>
    </row>
    <row r="54" spans="1:2" ht="15.75" hidden="1" customHeight="1" x14ac:dyDescent="0.25">
      <c r="A54" s="6">
        <v>1102</v>
      </c>
      <c r="B54" s="6" t="s">
        <v>1313</v>
      </c>
    </row>
    <row r="55" spans="1:2" ht="15.75" hidden="1" customHeight="1" x14ac:dyDescent="0.25">
      <c r="A55" s="6">
        <v>1103</v>
      </c>
      <c r="B55" s="6" t="s">
        <v>1326</v>
      </c>
    </row>
    <row r="56" spans="1:2" ht="15.75" hidden="1" customHeight="1" x14ac:dyDescent="0.25">
      <c r="A56" s="6">
        <v>1104</v>
      </c>
      <c r="B56" s="6" t="s">
        <v>1318</v>
      </c>
    </row>
    <row r="57" spans="1:2" ht="15.75" hidden="1" customHeight="1" x14ac:dyDescent="0.25">
      <c r="A57" s="6">
        <v>1105</v>
      </c>
      <c r="B57" s="6" t="s">
        <v>1321</v>
      </c>
    </row>
    <row r="58" spans="1:2" ht="15.75" hidden="1" customHeight="1" x14ac:dyDescent="0.25">
      <c r="A58" s="6">
        <v>1106</v>
      </c>
      <c r="B58" s="6" t="s">
        <v>1239</v>
      </c>
    </row>
    <row r="59" spans="1:2" ht="15.75" hidden="1" customHeight="1" x14ac:dyDescent="0.25">
      <c r="A59" s="6">
        <v>1107</v>
      </c>
      <c r="B59" s="6" t="s">
        <v>834</v>
      </c>
    </row>
    <row r="60" spans="1:2" ht="15.75" hidden="1" customHeight="1" x14ac:dyDescent="0.25">
      <c r="A60" s="6">
        <v>1108</v>
      </c>
      <c r="B60" s="6" t="s">
        <v>1249</v>
      </c>
    </row>
    <row r="61" spans="1:2" ht="15.75" hidden="1" customHeight="1" x14ac:dyDescent="0.25">
      <c r="A61" s="6">
        <v>1109</v>
      </c>
      <c r="B61" s="6" t="s">
        <v>1253</v>
      </c>
    </row>
    <row r="62" spans="1:2" ht="15.75" hidden="1" customHeight="1" x14ac:dyDescent="0.25">
      <c r="A62" s="6">
        <v>1110</v>
      </c>
      <c r="B62" s="6" t="s">
        <v>1323</v>
      </c>
    </row>
    <row r="63" spans="1:2" ht="15.75" hidden="1" customHeight="1" x14ac:dyDescent="0.25">
      <c r="A63" s="6">
        <v>1111</v>
      </c>
      <c r="B63" s="6" t="s">
        <v>848</v>
      </c>
    </row>
    <row r="64" spans="1:2" ht="15.75" hidden="1" customHeight="1" x14ac:dyDescent="0.25">
      <c r="A64" s="6">
        <v>1112</v>
      </c>
      <c r="B64" s="6" t="s">
        <v>1405</v>
      </c>
    </row>
    <row r="65" spans="1:2" ht="15.75" hidden="1" customHeight="1" x14ac:dyDescent="0.25">
      <c r="A65" s="6">
        <v>1113</v>
      </c>
      <c r="B65" s="6" t="s">
        <v>1407</v>
      </c>
    </row>
    <row r="66" spans="1:2" ht="15.75" hidden="1" customHeight="1" x14ac:dyDescent="0.25">
      <c r="A66" s="6">
        <v>1114</v>
      </c>
      <c r="B66" s="6" t="s">
        <v>950</v>
      </c>
    </row>
    <row r="67" spans="1:2" ht="15.75" hidden="1" customHeight="1" x14ac:dyDescent="0.25">
      <c r="A67" s="6">
        <v>1115</v>
      </c>
      <c r="B67" s="6" t="s">
        <v>956</v>
      </c>
    </row>
    <row r="68" spans="1:2" ht="15.75" hidden="1" customHeight="1" x14ac:dyDescent="0.25">
      <c r="A68" s="6">
        <v>1116</v>
      </c>
      <c r="B68" s="6" t="s">
        <v>955</v>
      </c>
    </row>
    <row r="69" spans="1:2" ht="15.75" hidden="1" customHeight="1" x14ac:dyDescent="0.25">
      <c r="A69" s="6">
        <v>1117</v>
      </c>
      <c r="B69" s="6" t="s">
        <v>839</v>
      </c>
    </row>
    <row r="70" spans="1:2" ht="15.75" hidden="1" customHeight="1" x14ac:dyDescent="0.25">
      <c r="A70" s="6">
        <v>1118</v>
      </c>
      <c r="B70" s="6" t="s">
        <v>1337</v>
      </c>
    </row>
    <row r="71" spans="1:2" ht="15.75" hidden="1" customHeight="1" x14ac:dyDescent="0.25">
      <c r="A71" s="6">
        <v>1119</v>
      </c>
      <c r="B71" s="6" t="s">
        <v>1236</v>
      </c>
    </row>
    <row r="72" spans="1:2" ht="15.75" hidden="1" customHeight="1" x14ac:dyDescent="0.25">
      <c r="A72" s="6">
        <v>1120</v>
      </c>
      <c r="B72" s="6" t="s">
        <v>1237</v>
      </c>
    </row>
    <row r="73" spans="1:2" ht="15.75" hidden="1" customHeight="1" x14ac:dyDescent="0.25">
      <c r="A73" s="6">
        <v>1121</v>
      </c>
      <c r="B73" s="6" t="s">
        <v>1238</v>
      </c>
    </row>
    <row r="74" spans="1:2" ht="15.75" hidden="1" customHeight="1" x14ac:dyDescent="0.25">
      <c r="A74" s="6">
        <v>1122</v>
      </c>
      <c r="B74" s="6" t="s">
        <v>1309</v>
      </c>
    </row>
    <row r="75" spans="1:2" ht="15.75" hidden="1" customHeight="1" x14ac:dyDescent="0.25">
      <c r="A75" s="6">
        <v>1123</v>
      </c>
      <c r="B75" s="6" t="s">
        <v>1404</v>
      </c>
    </row>
    <row r="76" spans="1:2" ht="15.75" hidden="1" customHeight="1" x14ac:dyDescent="0.25">
      <c r="A76" s="6">
        <v>1124</v>
      </c>
      <c r="B76" s="6" t="s">
        <v>840</v>
      </c>
    </row>
    <row r="77" spans="1:2" ht="15.75" hidden="1" customHeight="1" x14ac:dyDescent="0.25">
      <c r="A77" s="6">
        <v>1125</v>
      </c>
      <c r="B77" s="6" t="s">
        <v>953</v>
      </c>
    </row>
    <row r="78" spans="1:2" ht="15.75" hidden="1" customHeight="1" x14ac:dyDescent="0.25">
      <c r="A78" s="6">
        <v>1126</v>
      </c>
      <c r="B78" s="6" t="s">
        <v>1341</v>
      </c>
    </row>
    <row r="79" spans="1:2" ht="15.75" hidden="1" customHeight="1" x14ac:dyDescent="0.25">
      <c r="A79" s="6">
        <v>1127</v>
      </c>
      <c r="B79" s="6" t="s">
        <v>1336</v>
      </c>
    </row>
    <row r="80" spans="1:2" ht="15.75" hidden="1" customHeight="1" x14ac:dyDescent="0.25">
      <c r="A80" s="6">
        <v>1128</v>
      </c>
      <c r="B80" s="6" t="s">
        <v>838</v>
      </c>
    </row>
    <row r="81" spans="1:2" ht="15.75" hidden="1" customHeight="1" x14ac:dyDescent="0.25">
      <c r="A81" s="6">
        <v>1129</v>
      </c>
      <c r="B81" s="6" t="s">
        <v>751</v>
      </c>
    </row>
    <row r="82" spans="1:2" ht="15.75" hidden="1" customHeight="1" x14ac:dyDescent="0.25">
      <c r="A82" s="6">
        <v>1130</v>
      </c>
      <c r="B82" s="6" t="s">
        <v>752</v>
      </c>
    </row>
    <row r="83" spans="1:2" ht="15.75" hidden="1" customHeight="1" x14ac:dyDescent="0.25">
      <c r="A83" s="6">
        <v>1131</v>
      </c>
      <c r="B83" s="6" t="s">
        <v>1012</v>
      </c>
    </row>
    <row r="84" spans="1:2" ht="15.75" hidden="1" customHeight="1" x14ac:dyDescent="0.25">
      <c r="A84" s="6">
        <v>1132</v>
      </c>
      <c r="B84" s="6" t="s">
        <v>1340</v>
      </c>
    </row>
    <row r="85" spans="1:2" ht="15.75" hidden="1" customHeight="1" x14ac:dyDescent="0.25">
      <c r="A85" s="6">
        <v>1133</v>
      </c>
      <c r="B85" s="6" t="s">
        <v>1335</v>
      </c>
    </row>
    <row r="86" spans="1:2" ht="15.75" hidden="1" customHeight="1" x14ac:dyDescent="0.25">
      <c r="A86" s="6">
        <v>1134</v>
      </c>
      <c r="B86" s="6" t="s">
        <v>1329</v>
      </c>
    </row>
    <row r="87" spans="1:2" ht="15.75" hidden="1" customHeight="1" x14ac:dyDescent="0.25">
      <c r="A87" s="6">
        <v>1135</v>
      </c>
      <c r="B87" s="6" t="s">
        <v>1343</v>
      </c>
    </row>
    <row r="88" spans="1:2" ht="15.75" hidden="1" customHeight="1" x14ac:dyDescent="0.25">
      <c r="A88" s="6">
        <v>1136</v>
      </c>
      <c r="B88" s="6" t="s">
        <v>951</v>
      </c>
    </row>
    <row r="89" spans="1:2" ht="15.75" hidden="1" customHeight="1" x14ac:dyDescent="0.25">
      <c r="A89" s="6">
        <v>1137</v>
      </c>
      <c r="B89" s="6" t="s">
        <v>957</v>
      </c>
    </row>
    <row r="90" spans="1:2" ht="15.75" hidden="1" customHeight="1" x14ac:dyDescent="0.25">
      <c r="A90" s="6">
        <v>1138</v>
      </c>
      <c r="B90" s="6" t="s">
        <v>952</v>
      </c>
    </row>
    <row r="91" spans="1:2" ht="15.75" hidden="1" customHeight="1" x14ac:dyDescent="0.25">
      <c r="A91" s="6">
        <v>1139</v>
      </c>
      <c r="B91" s="6" t="s">
        <v>1328</v>
      </c>
    </row>
    <row r="92" spans="1:2" ht="15.75" hidden="1" customHeight="1" x14ac:dyDescent="0.25">
      <c r="A92" s="6">
        <v>1140</v>
      </c>
      <c r="B92" s="6" t="s">
        <v>1330</v>
      </c>
    </row>
    <row r="93" spans="1:2" ht="15.75" hidden="1" customHeight="1" x14ac:dyDescent="0.25">
      <c r="A93" s="6">
        <v>1141</v>
      </c>
      <c r="B93" s="6" t="s">
        <v>828</v>
      </c>
    </row>
    <row r="94" spans="1:2" ht="15.75" hidden="1" customHeight="1" x14ac:dyDescent="0.25">
      <c r="A94" s="6">
        <v>1142</v>
      </c>
      <c r="B94" s="6" t="s">
        <v>831</v>
      </c>
    </row>
    <row r="95" spans="1:2" ht="15.75" hidden="1" customHeight="1" x14ac:dyDescent="0.25">
      <c r="A95" s="6">
        <v>1143</v>
      </c>
      <c r="B95" s="6" t="s">
        <v>1308</v>
      </c>
    </row>
    <row r="96" spans="1:2" ht="15.75" hidden="1" customHeight="1" x14ac:dyDescent="0.25">
      <c r="A96" s="6">
        <v>1144</v>
      </c>
      <c r="B96" s="6" t="s">
        <v>1018</v>
      </c>
    </row>
    <row r="97" spans="1:2" ht="15.75" hidden="1" customHeight="1" x14ac:dyDescent="0.25">
      <c r="A97" s="6">
        <v>1145</v>
      </c>
      <c r="B97" s="6" t="s">
        <v>1240</v>
      </c>
    </row>
    <row r="98" spans="1:2" ht="15.75" hidden="1" customHeight="1" x14ac:dyDescent="0.25">
      <c r="A98" s="6">
        <v>1146</v>
      </c>
      <c r="B98" s="6" t="s">
        <v>829</v>
      </c>
    </row>
    <row r="99" spans="1:2" ht="15.75" hidden="1" customHeight="1" x14ac:dyDescent="0.25">
      <c r="A99" s="6">
        <v>1147</v>
      </c>
      <c r="B99" s="6" t="s">
        <v>832</v>
      </c>
    </row>
    <row r="100" spans="1:2" ht="15.75" hidden="1" customHeight="1" x14ac:dyDescent="0.25">
      <c r="A100" s="6">
        <v>1148</v>
      </c>
      <c r="B100" s="6" t="s">
        <v>1316</v>
      </c>
    </row>
    <row r="101" spans="1:2" ht="15.75" hidden="1" customHeight="1" x14ac:dyDescent="0.25">
      <c r="A101" s="6">
        <v>1149</v>
      </c>
      <c r="B101" s="6" t="s">
        <v>1317</v>
      </c>
    </row>
    <row r="102" spans="1:2" ht="15.75" hidden="1" customHeight="1" x14ac:dyDescent="0.25">
      <c r="A102" s="6">
        <v>1150</v>
      </c>
      <c r="B102" s="6" t="s">
        <v>1250</v>
      </c>
    </row>
    <row r="103" spans="1:2" ht="15.75" hidden="1" customHeight="1" x14ac:dyDescent="0.25">
      <c r="A103" s="6">
        <v>1151</v>
      </c>
      <c r="B103" s="6" t="s">
        <v>1123</v>
      </c>
    </row>
    <row r="104" spans="1:2" ht="15.75" hidden="1" customHeight="1" x14ac:dyDescent="0.25">
      <c r="A104" s="6">
        <v>1152</v>
      </c>
      <c r="B104" s="6" t="s">
        <v>1122</v>
      </c>
    </row>
    <row r="105" spans="1:2" ht="15.75" hidden="1" customHeight="1" x14ac:dyDescent="0.25">
      <c r="A105" s="6">
        <v>1153</v>
      </c>
      <c r="B105" s="6" t="s">
        <v>1124</v>
      </c>
    </row>
    <row r="106" spans="1:2" ht="15.75" hidden="1" customHeight="1" x14ac:dyDescent="0.25">
      <c r="A106" s="6">
        <v>1154</v>
      </c>
      <c r="B106" s="6" t="s">
        <v>1125</v>
      </c>
    </row>
    <row r="107" spans="1:2" ht="15.75" hidden="1" customHeight="1" x14ac:dyDescent="0.25">
      <c r="A107" s="6">
        <v>1155</v>
      </c>
      <c r="B107" s="6" t="s">
        <v>841</v>
      </c>
    </row>
    <row r="108" spans="1:2" ht="15.75" hidden="1" customHeight="1" x14ac:dyDescent="0.25">
      <c r="A108" s="6">
        <v>1156</v>
      </c>
      <c r="B108" s="6" t="s">
        <v>1251</v>
      </c>
    </row>
    <row r="109" spans="1:2" ht="15.75" hidden="1" customHeight="1" x14ac:dyDescent="0.25">
      <c r="A109" s="6">
        <v>1157</v>
      </c>
      <c r="B109" s="6" t="s">
        <v>1147</v>
      </c>
    </row>
    <row r="110" spans="1:2" ht="15.75" hidden="1" customHeight="1" x14ac:dyDescent="0.25">
      <c r="A110" s="6">
        <v>1158</v>
      </c>
      <c r="B110" s="6" t="s">
        <v>1307</v>
      </c>
    </row>
    <row r="111" spans="1:2" ht="15.75" hidden="1" customHeight="1" x14ac:dyDescent="0.25">
      <c r="A111" s="6">
        <v>1159</v>
      </c>
      <c r="B111" s="6" t="s">
        <v>1138</v>
      </c>
    </row>
    <row r="112" spans="1:2" ht="15.75" hidden="1" customHeight="1" x14ac:dyDescent="0.25">
      <c r="A112" s="6">
        <v>1160</v>
      </c>
      <c r="B112" s="6" t="s">
        <v>1306</v>
      </c>
    </row>
    <row r="113" spans="1:2" ht="15.75" hidden="1" customHeight="1" x14ac:dyDescent="0.25">
      <c r="A113" s="6">
        <v>1161</v>
      </c>
      <c r="B113" s="6" t="s">
        <v>1146</v>
      </c>
    </row>
    <row r="114" spans="1:2" ht="15.75" hidden="1" customHeight="1" x14ac:dyDescent="0.25">
      <c r="A114" s="6">
        <v>1162</v>
      </c>
      <c r="B114" s="6" t="s">
        <v>1339</v>
      </c>
    </row>
    <row r="115" spans="1:2" ht="15.75" hidden="1" customHeight="1" x14ac:dyDescent="0.25">
      <c r="A115" s="6">
        <v>1163</v>
      </c>
      <c r="B115" s="6" t="s">
        <v>1333</v>
      </c>
    </row>
    <row r="116" spans="1:2" ht="15.75" hidden="1" customHeight="1" x14ac:dyDescent="0.25">
      <c r="A116" s="6">
        <v>1164</v>
      </c>
      <c r="B116" s="6" t="s">
        <v>1141</v>
      </c>
    </row>
    <row r="117" spans="1:2" ht="15.75" hidden="1" customHeight="1" x14ac:dyDescent="0.25">
      <c r="A117" s="6">
        <v>1165</v>
      </c>
      <c r="B117" s="6" t="s">
        <v>1131</v>
      </c>
    </row>
    <row r="118" spans="1:2" ht="15.75" hidden="1" customHeight="1" x14ac:dyDescent="0.25">
      <c r="A118" s="6">
        <v>1166</v>
      </c>
      <c r="B118" s="6" t="s">
        <v>1338</v>
      </c>
    </row>
    <row r="119" spans="1:2" ht="15.75" hidden="1" customHeight="1" x14ac:dyDescent="0.25">
      <c r="A119" s="6">
        <v>1167</v>
      </c>
      <c r="B119" s="6" t="s">
        <v>1346</v>
      </c>
    </row>
    <row r="120" spans="1:2" ht="15.75" hidden="1" customHeight="1" x14ac:dyDescent="0.25">
      <c r="A120" s="6">
        <v>1168</v>
      </c>
      <c r="B120" s="6" t="s">
        <v>1133</v>
      </c>
    </row>
    <row r="121" spans="1:2" ht="15.75" hidden="1" customHeight="1" x14ac:dyDescent="0.25">
      <c r="A121" s="6">
        <v>1169</v>
      </c>
      <c r="B121" s="6" t="s">
        <v>1142</v>
      </c>
    </row>
    <row r="122" spans="1:2" ht="15.75" hidden="1" customHeight="1" x14ac:dyDescent="0.25">
      <c r="A122" s="6">
        <v>1170</v>
      </c>
      <c r="B122" s="6" t="s">
        <v>989</v>
      </c>
    </row>
    <row r="123" spans="1:2" ht="15.75" hidden="1" customHeight="1" x14ac:dyDescent="0.25">
      <c r="A123" s="6">
        <v>1171</v>
      </c>
      <c r="B123" s="6" t="s">
        <v>1342</v>
      </c>
    </row>
    <row r="124" spans="1:2" ht="15.75" hidden="1" customHeight="1" x14ac:dyDescent="0.25">
      <c r="A124" s="6">
        <v>1172</v>
      </c>
      <c r="B124" s="6" t="s">
        <v>1310</v>
      </c>
    </row>
    <row r="125" spans="1:2" ht="15.75" hidden="1" customHeight="1" x14ac:dyDescent="0.25">
      <c r="A125" s="6">
        <v>1173</v>
      </c>
      <c r="B125" s="6" t="s">
        <v>755</v>
      </c>
    </row>
    <row r="126" spans="1:2" ht="15.75" hidden="1" customHeight="1" x14ac:dyDescent="0.25">
      <c r="A126" s="6">
        <v>1174</v>
      </c>
      <c r="B126" s="6" t="s">
        <v>754</v>
      </c>
    </row>
    <row r="127" spans="1:2" ht="15.75" hidden="1" customHeight="1" x14ac:dyDescent="0.25">
      <c r="A127" s="6">
        <v>1175</v>
      </c>
      <c r="B127" s="6" t="s">
        <v>1143</v>
      </c>
    </row>
    <row r="128" spans="1:2" ht="15.75" hidden="1" customHeight="1" x14ac:dyDescent="0.25">
      <c r="A128" s="6">
        <v>1176</v>
      </c>
      <c r="B128" s="6" t="s">
        <v>1121</v>
      </c>
    </row>
    <row r="129" spans="1:2" ht="15.75" hidden="1" customHeight="1" x14ac:dyDescent="0.25">
      <c r="A129" s="6">
        <v>1177</v>
      </c>
      <c r="B129" s="6" t="s">
        <v>1136</v>
      </c>
    </row>
    <row r="130" spans="1:2" ht="15.75" hidden="1" customHeight="1" x14ac:dyDescent="0.25">
      <c r="A130" s="6">
        <v>1178</v>
      </c>
      <c r="B130" s="6" t="s">
        <v>1134</v>
      </c>
    </row>
    <row r="131" spans="1:2" ht="15.75" hidden="1" customHeight="1" x14ac:dyDescent="0.25">
      <c r="A131" s="6">
        <v>1179</v>
      </c>
      <c r="B131" s="6" t="s">
        <v>1344</v>
      </c>
    </row>
    <row r="132" spans="1:2" ht="15.75" hidden="1" customHeight="1" x14ac:dyDescent="0.25">
      <c r="A132" s="6">
        <v>1180</v>
      </c>
      <c r="B132" s="6" t="s">
        <v>1334</v>
      </c>
    </row>
    <row r="133" spans="1:2" ht="15.75" hidden="1" customHeight="1" x14ac:dyDescent="0.25">
      <c r="A133" s="6">
        <v>1181</v>
      </c>
      <c r="B133" s="6" t="s">
        <v>1127</v>
      </c>
    </row>
    <row r="134" spans="1:2" ht="15.75" hidden="1" customHeight="1" x14ac:dyDescent="0.25">
      <c r="A134" s="6">
        <v>1182</v>
      </c>
      <c r="B134" s="6" t="s">
        <v>1126</v>
      </c>
    </row>
    <row r="135" spans="1:2" ht="15.75" hidden="1" customHeight="1" x14ac:dyDescent="0.25">
      <c r="A135" s="6">
        <v>1183</v>
      </c>
      <c r="B135" s="6" t="s">
        <v>1135</v>
      </c>
    </row>
    <row r="136" spans="1:2" ht="15.75" hidden="1" customHeight="1" x14ac:dyDescent="0.25">
      <c r="A136" s="6">
        <v>1184</v>
      </c>
      <c r="B136" s="6" t="s">
        <v>1144</v>
      </c>
    </row>
    <row r="137" spans="1:2" ht="15.75" hidden="1" customHeight="1" x14ac:dyDescent="0.25">
      <c r="A137" s="6">
        <v>1185</v>
      </c>
      <c r="B137" s="6" t="s">
        <v>1345</v>
      </c>
    </row>
    <row r="138" spans="1:2" ht="15.75" hidden="1" customHeight="1" x14ac:dyDescent="0.25">
      <c r="A138" s="6">
        <v>1186</v>
      </c>
      <c r="B138" s="6" t="s">
        <v>1325</v>
      </c>
    </row>
    <row r="139" spans="1:2" ht="15.75" hidden="1" customHeight="1" x14ac:dyDescent="0.25">
      <c r="A139" s="6">
        <v>1187</v>
      </c>
      <c r="B139" s="6" t="s">
        <v>1132</v>
      </c>
    </row>
    <row r="140" spans="1:2" ht="15.75" hidden="1" customHeight="1" x14ac:dyDescent="0.25">
      <c r="A140" s="6">
        <v>1188</v>
      </c>
      <c r="B140" s="6" t="s">
        <v>1332</v>
      </c>
    </row>
    <row r="141" spans="1:2" ht="15.75" hidden="1" customHeight="1" x14ac:dyDescent="0.25">
      <c r="A141" s="6">
        <v>1189</v>
      </c>
      <c r="B141" s="6" t="s">
        <v>1145</v>
      </c>
    </row>
    <row r="142" spans="1:2" ht="15.75" hidden="1" customHeight="1" x14ac:dyDescent="0.25">
      <c r="A142" s="6">
        <v>1190</v>
      </c>
      <c r="B142" s="6" t="s">
        <v>1137</v>
      </c>
    </row>
    <row r="143" spans="1:2" ht="15.75" hidden="1" customHeight="1" x14ac:dyDescent="0.25">
      <c r="A143" s="6">
        <v>1191</v>
      </c>
      <c r="B143" s="6" t="s">
        <v>1128</v>
      </c>
    </row>
    <row r="144" spans="1:2" ht="15.75" hidden="1" customHeight="1" x14ac:dyDescent="0.25">
      <c r="A144" s="6">
        <v>1192</v>
      </c>
      <c r="B144" s="6" t="s">
        <v>1331</v>
      </c>
    </row>
    <row r="145" spans="1:2" ht="15.75" hidden="1" customHeight="1" x14ac:dyDescent="0.25">
      <c r="A145" s="6">
        <v>1193</v>
      </c>
      <c r="B145" s="6" t="s">
        <v>1616</v>
      </c>
    </row>
    <row r="146" spans="1:2" ht="15.75" hidden="1" customHeight="1" x14ac:dyDescent="0.25">
      <c r="A146" s="6">
        <v>1194</v>
      </c>
      <c r="B146" s="6" t="s">
        <v>1617</v>
      </c>
    </row>
    <row r="147" spans="1:2" ht="15.75" hidden="1" customHeight="1" x14ac:dyDescent="0.25">
      <c r="A147" s="6">
        <v>1195</v>
      </c>
      <c r="B147" s="6" t="s">
        <v>1618</v>
      </c>
    </row>
    <row r="148" spans="1:2" ht="15.75" hidden="1" customHeight="1" x14ac:dyDescent="0.25">
      <c r="A148" s="6">
        <v>1196</v>
      </c>
      <c r="B148" s="6" t="s">
        <v>1619</v>
      </c>
    </row>
    <row r="149" spans="1:2" ht="15.75" hidden="1" customHeight="1" x14ac:dyDescent="0.25">
      <c r="A149" s="6">
        <v>1197</v>
      </c>
      <c r="B149" s="6" t="s">
        <v>1620</v>
      </c>
    </row>
    <row r="150" spans="1:2" ht="15.75" hidden="1" customHeight="1" x14ac:dyDescent="0.25">
      <c r="A150" s="6">
        <v>1198</v>
      </c>
      <c r="B150" s="6" t="s">
        <v>1621</v>
      </c>
    </row>
    <row r="151" spans="1:2" ht="15.75" hidden="1" customHeight="1" x14ac:dyDescent="0.25">
      <c r="A151" s="6">
        <v>1199</v>
      </c>
      <c r="B151" s="6" t="s">
        <v>1622</v>
      </c>
    </row>
    <row r="152" spans="1:2" ht="15.75" hidden="1" customHeight="1" x14ac:dyDescent="0.25">
      <c r="A152" s="6">
        <v>1200</v>
      </c>
      <c r="B152" s="6" t="s">
        <v>1623</v>
      </c>
    </row>
    <row r="153" spans="1:2" ht="15.75" hidden="1" customHeight="1" x14ac:dyDescent="0.25">
      <c r="A153" s="6">
        <v>1201</v>
      </c>
      <c r="B153" s="6" t="s">
        <v>1624</v>
      </c>
    </row>
    <row r="154" spans="1:2" ht="15.75" hidden="1" customHeight="1" x14ac:dyDescent="0.25">
      <c r="A154" s="6">
        <v>1202</v>
      </c>
      <c r="B154" s="6" t="s">
        <v>1674</v>
      </c>
    </row>
    <row r="155" spans="1:2" ht="15.75" hidden="1" customHeight="1" x14ac:dyDescent="0.25">
      <c r="A155" s="6">
        <v>1203</v>
      </c>
      <c r="B155" s="6" t="s">
        <v>1675</v>
      </c>
    </row>
    <row r="156" spans="1:2" ht="15.75" hidden="1" customHeight="1" x14ac:dyDescent="0.25">
      <c r="A156" s="6">
        <v>1204</v>
      </c>
      <c r="B156" s="6" t="s">
        <v>1676</v>
      </c>
    </row>
    <row r="157" spans="1:2" ht="15.75" hidden="1" customHeight="1" x14ac:dyDescent="0.25">
      <c r="A157" s="6">
        <v>1205</v>
      </c>
      <c r="B157" s="6" t="s">
        <v>1677</v>
      </c>
    </row>
    <row r="158" spans="1:2" ht="15.75" hidden="1" customHeight="1" x14ac:dyDescent="0.25">
      <c r="A158" s="6">
        <v>1206</v>
      </c>
      <c r="B158" s="6" t="s">
        <v>1678</v>
      </c>
    </row>
    <row r="159" spans="1:2" ht="15.75" hidden="1" customHeight="1" x14ac:dyDescent="0.25">
      <c r="A159" s="6">
        <v>1207</v>
      </c>
      <c r="B159" s="6" t="s">
        <v>1679</v>
      </c>
    </row>
    <row r="160" spans="1:2" ht="15.75" hidden="1" customHeight="1" x14ac:dyDescent="0.25">
      <c r="A160" s="6">
        <v>101001</v>
      </c>
      <c r="B160" s="6" t="s">
        <v>667</v>
      </c>
    </row>
    <row r="161" spans="1:2" ht="15.75" hidden="1" customHeight="1" x14ac:dyDescent="0.25">
      <c r="A161" s="6">
        <v>101004</v>
      </c>
      <c r="B161" s="6" t="s">
        <v>24</v>
      </c>
    </row>
    <row r="162" spans="1:2" ht="15.75" hidden="1" customHeight="1" x14ac:dyDescent="0.25">
      <c r="A162" s="6">
        <v>101006</v>
      </c>
      <c r="B162" s="6" t="s">
        <v>240</v>
      </c>
    </row>
    <row r="163" spans="1:2" ht="15.75" hidden="1" customHeight="1" x14ac:dyDescent="0.25">
      <c r="A163" s="6">
        <v>101012</v>
      </c>
      <c r="B163" s="6" t="s">
        <v>669</v>
      </c>
    </row>
    <row r="164" spans="1:2" ht="15.75" hidden="1" customHeight="1" x14ac:dyDescent="0.25">
      <c r="A164" s="6">
        <v>101018</v>
      </c>
      <c r="B164" s="6" t="s">
        <v>1411</v>
      </c>
    </row>
    <row r="165" spans="1:2" ht="15.75" hidden="1" customHeight="1" x14ac:dyDescent="0.25">
      <c r="A165" s="6">
        <v>4001</v>
      </c>
      <c r="B165" s="6" t="s">
        <v>1083</v>
      </c>
    </row>
    <row r="166" spans="1:2" ht="15.75" hidden="1" customHeight="1" x14ac:dyDescent="0.25">
      <c r="A166" s="6">
        <v>4002</v>
      </c>
      <c r="B166" s="6" t="s">
        <v>1087</v>
      </c>
    </row>
    <row r="167" spans="1:2" ht="15.75" hidden="1" customHeight="1" x14ac:dyDescent="0.25">
      <c r="A167" s="6">
        <v>4003</v>
      </c>
      <c r="B167" s="6" t="s">
        <v>1088</v>
      </c>
    </row>
    <row r="168" spans="1:2" ht="15.75" hidden="1" customHeight="1" x14ac:dyDescent="0.25">
      <c r="A168" s="6">
        <v>4004</v>
      </c>
      <c r="B168" s="6" t="s">
        <v>1085</v>
      </c>
    </row>
    <row r="169" spans="1:2" ht="15.75" hidden="1" customHeight="1" x14ac:dyDescent="0.25">
      <c r="A169" s="6">
        <v>206001</v>
      </c>
      <c r="B169" s="6" t="s">
        <v>1548</v>
      </c>
    </row>
    <row r="170" spans="1:2" ht="15.75" hidden="1" customHeight="1" x14ac:dyDescent="0.25">
      <c r="A170" s="6">
        <v>206002</v>
      </c>
      <c r="B170" s="6" t="s">
        <v>1547</v>
      </c>
    </row>
    <row r="171" spans="1:2" ht="15.75" hidden="1" customHeight="1" x14ac:dyDescent="0.25">
      <c r="A171" s="6">
        <v>206003</v>
      </c>
      <c r="B171" s="6" t="s">
        <v>1108</v>
      </c>
    </row>
    <row r="172" spans="1:2" ht="15.75" hidden="1" customHeight="1" x14ac:dyDescent="0.25">
      <c r="A172" s="6">
        <v>206004</v>
      </c>
      <c r="B172" s="6" t="s">
        <v>963</v>
      </c>
    </row>
    <row r="173" spans="1:2" ht="15.75" hidden="1" customHeight="1" x14ac:dyDescent="0.25">
      <c r="A173" s="6">
        <v>206005</v>
      </c>
      <c r="B173" s="6" t="s">
        <v>1213</v>
      </c>
    </row>
    <row r="174" spans="1:2" ht="15.75" hidden="1" customHeight="1" x14ac:dyDescent="0.25">
      <c r="A174" s="6">
        <v>206006</v>
      </c>
      <c r="B174" s="6" t="s">
        <v>1041</v>
      </c>
    </row>
    <row r="175" spans="1:2" ht="15.75" hidden="1" customHeight="1" x14ac:dyDescent="0.25">
      <c r="A175" s="6">
        <v>206007</v>
      </c>
      <c r="B175" s="6" t="s">
        <v>1228</v>
      </c>
    </row>
    <row r="176" spans="1:2" ht="15.75" hidden="1" customHeight="1" x14ac:dyDescent="0.25">
      <c r="A176" s="6">
        <v>7001</v>
      </c>
      <c r="B176" s="6" t="s">
        <v>1585</v>
      </c>
    </row>
    <row r="177" spans="1:2" ht="15.75" hidden="1" customHeight="1" x14ac:dyDescent="0.25">
      <c r="A177" s="6">
        <v>7002</v>
      </c>
      <c r="B177" s="6" t="s">
        <v>1583</v>
      </c>
    </row>
    <row r="178" spans="1:2" ht="15.75" hidden="1" customHeight="1" x14ac:dyDescent="0.25">
      <c r="A178" s="6">
        <v>7003</v>
      </c>
      <c r="B178" s="6" t="s">
        <v>1584</v>
      </c>
    </row>
    <row r="179" spans="1:2" ht="15.75" hidden="1" customHeight="1" x14ac:dyDescent="0.25">
      <c r="A179" s="6">
        <v>7004</v>
      </c>
      <c r="B179" s="6" t="s">
        <v>1561</v>
      </c>
    </row>
    <row r="180" spans="1:2" ht="15.75" hidden="1" customHeight="1" x14ac:dyDescent="0.25">
      <c r="A180" s="6">
        <v>7005</v>
      </c>
      <c r="B180" s="6" t="s">
        <v>1558</v>
      </c>
    </row>
    <row r="181" spans="1:2" ht="15.75" hidden="1" customHeight="1" x14ac:dyDescent="0.25">
      <c r="A181" s="6">
        <v>7006</v>
      </c>
      <c r="B181" s="6" t="s">
        <v>1559</v>
      </c>
    </row>
    <row r="182" spans="1:2" ht="15.75" hidden="1" customHeight="1" x14ac:dyDescent="0.25">
      <c r="A182" s="6">
        <v>7007</v>
      </c>
      <c r="B182" s="6" t="s">
        <v>1560</v>
      </c>
    </row>
    <row r="183" spans="1:2" ht="15.75" hidden="1" customHeight="1" x14ac:dyDescent="0.25">
      <c r="A183" s="6">
        <v>7008</v>
      </c>
      <c r="B183" s="6" t="s">
        <v>1225</v>
      </c>
    </row>
    <row r="184" spans="1:2" ht="15.75" hidden="1" customHeight="1" x14ac:dyDescent="0.25">
      <c r="A184" s="6">
        <v>7009</v>
      </c>
      <c r="B184" s="6" t="s">
        <v>1222</v>
      </c>
    </row>
    <row r="185" spans="1:2" ht="15.75" hidden="1" customHeight="1" x14ac:dyDescent="0.25">
      <c r="A185" s="6">
        <v>7010</v>
      </c>
      <c r="B185" s="6" t="s">
        <v>1223</v>
      </c>
    </row>
    <row r="186" spans="1:2" ht="15.75" hidden="1" customHeight="1" x14ac:dyDescent="0.25">
      <c r="A186" s="6">
        <v>7011</v>
      </c>
      <c r="B186" s="6" t="s">
        <v>1224</v>
      </c>
    </row>
    <row r="187" spans="1:2" ht="15.75" hidden="1" customHeight="1" x14ac:dyDescent="0.25">
      <c r="A187" s="6">
        <v>208001</v>
      </c>
      <c r="B187" s="6" t="s">
        <v>1461</v>
      </c>
    </row>
    <row r="188" spans="1:2" ht="15.75" hidden="1" customHeight="1" x14ac:dyDescent="0.25">
      <c r="A188" s="6">
        <v>208002</v>
      </c>
      <c r="B188" s="6" t="s">
        <v>695</v>
      </c>
    </row>
    <row r="189" spans="1:2" ht="15.75" hidden="1" customHeight="1" x14ac:dyDescent="0.25">
      <c r="A189" s="6">
        <v>208003</v>
      </c>
      <c r="B189" s="6" t="s">
        <v>622</v>
      </c>
    </row>
    <row r="190" spans="1:2" ht="15.75" hidden="1" customHeight="1" x14ac:dyDescent="0.25">
      <c r="A190" s="6">
        <v>208004</v>
      </c>
      <c r="B190" s="6" t="s">
        <v>1293</v>
      </c>
    </row>
    <row r="191" spans="1:2" ht="15.75" hidden="1" customHeight="1" x14ac:dyDescent="0.25">
      <c r="A191" s="6">
        <v>208005</v>
      </c>
      <c r="B191" s="6" t="s">
        <v>1232</v>
      </c>
    </row>
    <row r="192" spans="1:2" ht="15.75" hidden="1" customHeight="1" x14ac:dyDescent="0.25">
      <c r="A192" s="6">
        <v>208006</v>
      </c>
      <c r="B192" s="6" t="s">
        <v>1039</v>
      </c>
    </row>
    <row r="193" spans="1:2" ht="15.75" hidden="1" customHeight="1" x14ac:dyDescent="0.25">
      <c r="A193" s="6">
        <v>208007</v>
      </c>
      <c r="B193" s="6" t="s">
        <v>1569</v>
      </c>
    </row>
    <row r="194" spans="1:2" ht="15.75" hidden="1" customHeight="1" x14ac:dyDescent="0.25">
      <c r="A194" s="6">
        <v>208008</v>
      </c>
      <c r="B194" s="6" t="s">
        <v>1577</v>
      </c>
    </row>
    <row r="195" spans="1:2" ht="15.75" hidden="1" customHeight="1" x14ac:dyDescent="0.25">
      <c r="A195" s="6">
        <v>208009</v>
      </c>
      <c r="B195" s="6" t="s">
        <v>853</v>
      </c>
    </row>
    <row r="196" spans="1:2" ht="15.75" hidden="1" customHeight="1" x14ac:dyDescent="0.25">
      <c r="A196" s="6">
        <v>208010</v>
      </c>
      <c r="B196" s="6" t="s">
        <v>699</v>
      </c>
    </row>
    <row r="197" spans="1:2" ht="15.75" hidden="1" customHeight="1" x14ac:dyDescent="0.25">
      <c r="A197" s="6">
        <v>208011</v>
      </c>
      <c r="B197" s="6" t="s">
        <v>720</v>
      </c>
    </row>
    <row r="198" spans="1:2" ht="15.75" hidden="1" customHeight="1" x14ac:dyDescent="0.25">
      <c r="A198" s="6">
        <v>208012</v>
      </c>
      <c r="B198" s="6" t="s">
        <v>863</v>
      </c>
    </row>
    <row r="199" spans="1:2" ht="15.75" hidden="1" customHeight="1" x14ac:dyDescent="0.25">
      <c r="A199" s="6">
        <v>208013</v>
      </c>
      <c r="B199" s="6" t="s">
        <v>1022</v>
      </c>
    </row>
    <row r="200" spans="1:2" ht="15.75" hidden="1" customHeight="1" x14ac:dyDescent="0.25">
      <c r="A200" s="6">
        <v>208014</v>
      </c>
      <c r="B200" s="6" t="s">
        <v>1033</v>
      </c>
    </row>
    <row r="201" spans="1:2" ht="15.75" hidden="1" customHeight="1" x14ac:dyDescent="0.25">
      <c r="A201" s="6">
        <v>208015</v>
      </c>
      <c r="B201" s="6" t="s">
        <v>1226</v>
      </c>
    </row>
    <row r="202" spans="1:2" ht="15.75" hidden="1" customHeight="1" x14ac:dyDescent="0.25">
      <c r="A202" s="6">
        <v>208016</v>
      </c>
      <c r="B202" s="6" t="s">
        <v>1295</v>
      </c>
    </row>
    <row r="203" spans="1:2" ht="15.75" hidden="1" customHeight="1" x14ac:dyDescent="0.25">
      <c r="A203" s="6">
        <v>208017</v>
      </c>
      <c r="B203" s="6" t="s">
        <v>1549</v>
      </c>
    </row>
    <row r="204" spans="1:2" ht="15.75" hidden="1" customHeight="1" x14ac:dyDescent="0.25">
      <c r="A204" s="6">
        <v>208018</v>
      </c>
      <c r="B204" s="6" t="s">
        <v>1054</v>
      </c>
    </row>
    <row r="205" spans="1:2" ht="15.75" hidden="1" customHeight="1" x14ac:dyDescent="0.25">
      <c r="A205" s="6">
        <v>208019</v>
      </c>
      <c r="B205" s="6" t="s">
        <v>685</v>
      </c>
    </row>
    <row r="206" spans="1:2" ht="15.75" hidden="1" customHeight="1" x14ac:dyDescent="0.25">
      <c r="A206" s="6">
        <v>208020</v>
      </c>
      <c r="B206" s="6" t="s">
        <v>1460</v>
      </c>
    </row>
    <row r="207" spans="1:2" ht="15.75" hidden="1" customHeight="1" x14ac:dyDescent="0.25">
      <c r="A207" s="6">
        <v>208021</v>
      </c>
      <c r="B207" s="6" t="s">
        <v>1178</v>
      </c>
    </row>
    <row r="208" spans="1:2" ht="15.75" hidden="1" customHeight="1" x14ac:dyDescent="0.25">
      <c r="A208" s="6">
        <v>208022</v>
      </c>
      <c r="B208" s="6" t="s">
        <v>1358</v>
      </c>
    </row>
    <row r="209" spans="1:2" ht="15.75" hidden="1" customHeight="1" x14ac:dyDescent="0.25">
      <c r="A209" s="6">
        <v>208023</v>
      </c>
      <c r="B209" s="6" t="s">
        <v>967</v>
      </c>
    </row>
    <row r="210" spans="1:2" ht="15.75" hidden="1" customHeight="1" x14ac:dyDescent="0.25">
      <c r="A210" s="6">
        <v>208024</v>
      </c>
      <c r="B210" s="6" t="s">
        <v>968</v>
      </c>
    </row>
    <row r="211" spans="1:2" ht="15.75" hidden="1" customHeight="1" x14ac:dyDescent="0.25">
      <c r="A211" s="6">
        <v>208025</v>
      </c>
      <c r="B211" s="6" t="s">
        <v>1545</v>
      </c>
    </row>
    <row r="212" spans="1:2" ht="15.75" hidden="1" customHeight="1" x14ac:dyDescent="0.25">
      <c r="A212" s="6">
        <v>208026</v>
      </c>
      <c r="B212" s="6" t="s">
        <v>1349</v>
      </c>
    </row>
    <row r="213" spans="1:2" ht="15.75" hidden="1" customHeight="1" x14ac:dyDescent="0.25">
      <c r="A213" s="6">
        <v>208027</v>
      </c>
      <c r="B213" s="6" t="s">
        <v>942</v>
      </c>
    </row>
    <row r="214" spans="1:2" ht="15.75" hidden="1" customHeight="1" x14ac:dyDescent="0.25">
      <c r="A214" s="6">
        <v>408028</v>
      </c>
      <c r="B214" s="6" t="s">
        <v>1442</v>
      </c>
    </row>
    <row r="215" spans="1:2" ht="15.75" hidden="1" customHeight="1" x14ac:dyDescent="0.25">
      <c r="A215" s="6">
        <v>408029</v>
      </c>
      <c r="B215" s="6" t="s">
        <v>1256</v>
      </c>
    </row>
    <row r="216" spans="1:2" ht="15.75" hidden="1" customHeight="1" x14ac:dyDescent="0.25">
      <c r="A216" s="6">
        <v>408030</v>
      </c>
      <c r="B216" s="6" t="s">
        <v>1162</v>
      </c>
    </row>
    <row r="217" spans="1:2" ht="15.75" hidden="1" customHeight="1" x14ac:dyDescent="0.25">
      <c r="A217" s="6">
        <v>408031</v>
      </c>
      <c r="B217" s="6" t="s">
        <v>1032</v>
      </c>
    </row>
    <row r="218" spans="1:2" ht="15.75" hidden="1" customHeight="1" x14ac:dyDescent="0.25">
      <c r="A218" s="6">
        <v>408032</v>
      </c>
      <c r="B218" s="6" t="s">
        <v>1023</v>
      </c>
    </row>
    <row r="219" spans="1:2" ht="15.75" hidden="1" customHeight="1" x14ac:dyDescent="0.25">
      <c r="A219" s="6">
        <v>408033</v>
      </c>
      <c r="B219" s="6" t="s">
        <v>1163</v>
      </c>
    </row>
    <row r="220" spans="1:2" ht="15.75" hidden="1" customHeight="1" x14ac:dyDescent="0.25">
      <c r="A220" s="6">
        <v>408034</v>
      </c>
      <c r="B220" s="6" t="s">
        <v>742</v>
      </c>
    </row>
    <row r="221" spans="1:2" ht="15.75" hidden="1" customHeight="1" x14ac:dyDescent="0.25">
      <c r="A221" s="6">
        <v>408035</v>
      </c>
      <c r="B221" s="6" t="s">
        <v>1026</v>
      </c>
    </row>
    <row r="222" spans="1:2" ht="15.75" hidden="1" customHeight="1" x14ac:dyDescent="0.25">
      <c r="A222" s="6">
        <v>408036</v>
      </c>
      <c r="B222" s="6" t="s">
        <v>854</v>
      </c>
    </row>
    <row r="223" spans="1:2" ht="15.75" hidden="1" customHeight="1" x14ac:dyDescent="0.25">
      <c r="A223" s="6">
        <v>408037</v>
      </c>
      <c r="B223" s="6" t="s">
        <v>1095</v>
      </c>
    </row>
    <row r="224" spans="1:2" ht="15.75" hidden="1" customHeight="1" x14ac:dyDescent="0.25">
      <c r="A224" s="6">
        <v>408038</v>
      </c>
      <c r="B224" s="6" t="s">
        <v>1093</v>
      </c>
    </row>
    <row r="225" spans="1:2" ht="15.75" hidden="1" customHeight="1" x14ac:dyDescent="0.25">
      <c r="A225" s="6">
        <v>408039</v>
      </c>
      <c r="B225" s="6" t="s">
        <v>115</v>
      </c>
    </row>
    <row r="226" spans="1:2" ht="15.75" hidden="1" customHeight="1" x14ac:dyDescent="0.25">
      <c r="A226" s="6">
        <v>209007</v>
      </c>
      <c r="B226" s="6" t="s">
        <v>1157</v>
      </c>
    </row>
    <row r="227" spans="1:2" ht="15.75" hidden="1" customHeight="1" x14ac:dyDescent="0.25">
      <c r="A227" s="6">
        <v>209011</v>
      </c>
      <c r="B227" s="6" t="s">
        <v>1040</v>
      </c>
    </row>
    <row r="228" spans="1:2" ht="15.75" hidden="1" customHeight="1" x14ac:dyDescent="0.25">
      <c r="A228" s="6">
        <v>209015</v>
      </c>
      <c r="B228" s="6" t="s">
        <v>914</v>
      </c>
    </row>
    <row r="229" spans="1:2" ht="15.75" hidden="1" customHeight="1" x14ac:dyDescent="0.25">
      <c r="A229" s="6">
        <v>209016</v>
      </c>
      <c r="B229" s="6" t="s">
        <v>1019</v>
      </c>
    </row>
    <row r="230" spans="1:2" ht="15.75" hidden="1" customHeight="1" x14ac:dyDescent="0.25">
      <c r="A230" s="6">
        <v>209017</v>
      </c>
      <c r="B230" s="6" t="s">
        <v>1379</v>
      </c>
    </row>
    <row r="231" spans="1:2" ht="15.75" hidden="1" customHeight="1" x14ac:dyDescent="0.25">
      <c r="A231" s="6">
        <v>209018</v>
      </c>
      <c r="B231" s="6" t="s">
        <v>1613</v>
      </c>
    </row>
    <row r="232" spans="1:2" ht="15.75" hidden="1" customHeight="1" x14ac:dyDescent="0.25">
      <c r="A232" s="6">
        <v>209020</v>
      </c>
      <c r="B232" s="6" t="s">
        <v>750</v>
      </c>
    </row>
    <row r="233" spans="1:2" ht="15.75" hidden="1" customHeight="1" x14ac:dyDescent="0.25">
      <c r="A233" s="6">
        <v>209021</v>
      </c>
      <c r="B233" s="6" t="s">
        <v>1092</v>
      </c>
    </row>
    <row r="234" spans="1:2" ht="15.75" hidden="1" customHeight="1" x14ac:dyDescent="0.25">
      <c r="A234" s="6">
        <v>209023</v>
      </c>
      <c r="B234" s="6" t="s">
        <v>1544</v>
      </c>
    </row>
    <row r="235" spans="1:2" ht="15.75" hidden="1" customHeight="1" x14ac:dyDescent="0.25">
      <c r="A235" s="6">
        <v>209027</v>
      </c>
      <c r="B235" s="6" t="s">
        <v>698</v>
      </c>
    </row>
    <row r="236" spans="1:2" ht="15.75" hidden="1" customHeight="1" x14ac:dyDescent="0.25">
      <c r="A236" s="6">
        <v>209030</v>
      </c>
      <c r="B236" s="6" t="s">
        <v>1582</v>
      </c>
    </row>
    <row r="237" spans="1:2" ht="15.75" hidden="1" customHeight="1" x14ac:dyDescent="0.25">
      <c r="A237" s="6">
        <v>309001</v>
      </c>
      <c r="B237" s="6" t="s">
        <v>1532</v>
      </c>
    </row>
    <row r="238" spans="1:2" ht="15.75" hidden="1" customHeight="1" x14ac:dyDescent="0.25">
      <c r="A238" s="6">
        <v>309002</v>
      </c>
      <c r="B238" s="6" t="s">
        <v>914</v>
      </c>
    </row>
    <row r="239" spans="1:2" ht="15.75" hidden="1" customHeight="1" x14ac:dyDescent="0.25">
      <c r="A239" s="6">
        <v>309003</v>
      </c>
      <c r="B239" s="6" t="s">
        <v>756</v>
      </c>
    </row>
    <row r="240" spans="1:2" ht="15.75" hidden="1" customHeight="1" x14ac:dyDescent="0.25">
      <c r="A240" s="6">
        <v>309004</v>
      </c>
      <c r="B240" s="6" t="s">
        <v>1357</v>
      </c>
    </row>
    <row r="241" spans="1:2" ht="15.75" hidden="1" customHeight="1" x14ac:dyDescent="0.25">
      <c r="A241" s="6">
        <v>309005</v>
      </c>
      <c r="B241" s="6" t="s">
        <v>1074</v>
      </c>
    </row>
    <row r="242" spans="1:2" ht="15.75" hidden="1" customHeight="1" x14ac:dyDescent="0.25">
      <c r="A242" s="6">
        <v>409001</v>
      </c>
      <c r="B242" s="6" t="s">
        <v>805</v>
      </c>
    </row>
    <row r="243" spans="1:2" ht="15.75" hidden="1" customHeight="1" x14ac:dyDescent="0.25">
      <c r="A243" s="6">
        <v>409005</v>
      </c>
      <c r="B243" s="6" t="s">
        <v>1066</v>
      </c>
    </row>
    <row r="244" spans="1:2" ht="15.75" hidden="1" customHeight="1" x14ac:dyDescent="0.25">
      <c r="A244" s="6">
        <v>409006</v>
      </c>
      <c r="B244" s="6" t="s">
        <v>1107</v>
      </c>
    </row>
    <row r="245" spans="1:2" ht="15.75" hidden="1" customHeight="1" x14ac:dyDescent="0.25">
      <c r="A245" s="6">
        <v>409009</v>
      </c>
      <c r="B245" s="6" t="s">
        <v>1602</v>
      </c>
    </row>
    <row r="246" spans="1:2" ht="15.75" hidden="1" customHeight="1" x14ac:dyDescent="0.25">
      <c r="A246" s="6">
        <v>409010</v>
      </c>
      <c r="B246" s="6" t="s">
        <v>1094</v>
      </c>
    </row>
    <row r="247" spans="1:2" ht="15.75" hidden="1" customHeight="1" x14ac:dyDescent="0.25">
      <c r="A247" s="6">
        <v>409011</v>
      </c>
      <c r="B247" s="6" t="s">
        <v>1105</v>
      </c>
    </row>
    <row r="248" spans="1:2" ht="15.75" hidden="1" customHeight="1" x14ac:dyDescent="0.25">
      <c r="A248" s="6">
        <v>409012</v>
      </c>
      <c r="B248" s="6" t="s">
        <v>1526</v>
      </c>
    </row>
    <row r="249" spans="1:2" ht="15.75" hidden="1" customHeight="1" x14ac:dyDescent="0.25">
      <c r="A249" s="6">
        <v>409013</v>
      </c>
      <c r="B249" s="6" t="s">
        <v>826</v>
      </c>
    </row>
    <row r="250" spans="1:2" ht="15.75" hidden="1" customHeight="1" x14ac:dyDescent="0.25">
      <c r="A250" s="6">
        <v>409014</v>
      </c>
      <c r="B250" s="6" t="s">
        <v>1378</v>
      </c>
    </row>
    <row r="251" spans="1:2" ht="15.75" hidden="1" customHeight="1" x14ac:dyDescent="0.25">
      <c r="A251" s="6">
        <v>409016</v>
      </c>
      <c r="B251" s="6" t="s">
        <v>971</v>
      </c>
    </row>
    <row r="252" spans="1:2" ht="15.75" hidden="1" customHeight="1" x14ac:dyDescent="0.25">
      <c r="A252" s="6">
        <v>409018</v>
      </c>
      <c r="B252" s="6" t="s">
        <v>870</v>
      </c>
    </row>
    <row r="253" spans="1:2" ht="15.75" hidden="1" customHeight="1" x14ac:dyDescent="0.25">
      <c r="A253" s="6">
        <v>409019</v>
      </c>
      <c r="B253" s="6" t="s">
        <v>944</v>
      </c>
    </row>
    <row r="254" spans="1:2" ht="15.75" hidden="1" customHeight="1" x14ac:dyDescent="0.25">
      <c r="A254" s="6">
        <v>409020</v>
      </c>
      <c r="B254" s="6" t="s">
        <v>997</v>
      </c>
    </row>
    <row r="255" spans="1:2" ht="15.75" hidden="1" customHeight="1" x14ac:dyDescent="0.25">
      <c r="A255" s="6">
        <v>409021</v>
      </c>
      <c r="B255" s="6" t="s">
        <v>1046</v>
      </c>
    </row>
    <row r="256" spans="1:2" ht="15.75" hidden="1" customHeight="1" x14ac:dyDescent="0.25">
      <c r="A256" s="6">
        <v>409022</v>
      </c>
      <c r="B256" s="6" t="s">
        <v>1097</v>
      </c>
    </row>
    <row r="257" spans="1:2" ht="15.75" hidden="1" customHeight="1" x14ac:dyDescent="0.25">
      <c r="A257" s="6">
        <v>409023</v>
      </c>
      <c r="B257" s="6" t="s">
        <v>1260</v>
      </c>
    </row>
    <row r="258" spans="1:2" ht="15.75" hidden="1" customHeight="1" x14ac:dyDescent="0.25">
      <c r="A258" s="6">
        <v>409024</v>
      </c>
      <c r="B258" s="6" t="s">
        <v>1546</v>
      </c>
    </row>
    <row r="259" spans="1:2" ht="15.75" hidden="1" customHeight="1" x14ac:dyDescent="0.25">
      <c r="A259" s="6">
        <v>409025</v>
      </c>
      <c r="B259" s="6" t="s">
        <v>1100</v>
      </c>
    </row>
    <row r="260" spans="1:2" ht="15.75" hidden="1" customHeight="1" x14ac:dyDescent="0.25">
      <c r="A260" s="6">
        <v>409026</v>
      </c>
      <c r="B260" s="6" t="s">
        <v>1441</v>
      </c>
    </row>
    <row r="261" spans="1:2" ht="15.75" hidden="1" customHeight="1" x14ac:dyDescent="0.25">
      <c r="A261" s="6">
        <v>409027</v>
      </c>
      <c r="B261" s="6" t="s">
        <v>1680</v>
      </c>
    </row>
    <row r="262" spans="1:2" ht="15.75" hidden="1" customHeight="1" x14ac:dyDescent="0.25">
      <c r="A262" s="6">
        <v>409028</v>
      </c>
      <c r="B262" s="6" t="s">
        <v>1681</v>
      </c>
    </row>
    <row r="263" spans="1:2" ht="15.75" hidden="1" customHeight="1" x14ac:dyDescent="0.25">
      <c r="A263" s="6">
        <v>409029</v>
      </c>
      <c r="B263" s="6" t="s">
        <v>997</v>
      </c>
    </row>
    <row r="264" spans="1:2" ht="15.75" hidden="1" customHeight="1" x14ac:dyDescent="0.25">
      <c r="A264" s="6">
        <v>409030</v>
      </c>
      <c r="B264" s="6" t="s">
        <v>1682</v>
      </c>
    </row>
    <row r="265" spans="1:2" ht="15.75" hidden="1" customHeight="1" x14ac:dyDescent="0.25">
      <c r="A265" s="6">
        <v>409031</v>
      </c>
      <c r="B265" s="6" t="s">
        <v>1046</v>
      </c>
    </row>
    <row r="266" spans="1:2" ht="15.75" hidden="1" customHeight="1" x14ac:dyDescent="0.25">
      <c r="A266" s="6">
        <v>409032</v>
      </c>
      <c r="B266" s="6" t="s">
        <v>1683</v>
      </c>
    </row>
    <row r="267" spans="1:2" ht="15.75" hidden="1" customHeight="1" x14ac:dyDescent="0.25">
      <c r="A267" s="6">
        <v>409033</v>
      </c>
      <c r="B267" s="6" t="s">
        <v>1260</v>
      </c>
    </row>
    <row r="268" spans="1:2" ht="15.75" hidden="1" customHeight="1" x14ac:dyDescent="0.25">
      <c r="A268" s="6">
        <v>210001</v>
      </c>
      <c r="B268" s="6" t="s">
        <v>1612</v>
      </c>
    </row>
    <row r="269" spans="1:2" ht="15.75" hidden="1" customHeight="1" x14ac:dyDescent="0.25">
      <c r="A269" s="6">
        <v>210002</v>
      </c>
      <c r="B269" s="6" t="s">
        <v>1280</v>
      </c>
    </row>
    <row r="270" spans="1:2" ht="15.75" hidden="1" customHeight="1" x14ac:dyDescent="0.25">
      <c r="A270" s="6">
        <v>210003</v>
      </c>
      <c r="B270" s="6" t="s">
        <v>1281</v>
      </c>
    </row>
    <row r="271" spans="1:2" ht="15.75" hidden="1" customHeight="1" x14ac:dyDescent="0.25">
      <c r="A271" s="6">
        <v>210004</v>
      </c>
      <c r="B271" s="6" t="s">
        <v>1282</v>
      </c>
    </row>
    <row r="272" spans="1:2" ht="15.75" hidden="1" customHeight="1" x14ac:dyDescent="0.25">
      <c r="A272" s="6">
        <v>210005</v>
      </c>
      <c r="B272" s="6" t="s">
        <v>1283</v>
      </c>
    </row>
    <row r="273" spans="1:2" ht="15.75" hidden="1" customHeight="1" x14ac:dyDescent="0.25">
      <c r="A273" s="6">
        <v>210006</v>
      </c>
      <c r="B273" s="6" t="s">
        <v>1284</v>
      </c>
    </row>
    <row r="274" spans="1:2" ht="15.75" hidden="1" customHeight="1" x14ac:dyDescent="0.25">
      <c r="A274" s="6">
        <v>210007</v>
      </c>
      <c r="B274" s="6" t="s">
        <v>1285</v>
      </c>
    </row>
    <row r="275" spans="1:2" ht="15.75" hidden="1" customHeight="1" x14ac:dyDescent="0.25">
      <c r="A275" s="6">
        <v>210008</v>
      </c>
      <c r="B275" s="6" t="s">
        <v>1286</v>
      </c>
    </row>
    <row r="276" spans="1:2" ht="15.75" hidden="1" customHeight="1" x14ac:dyDescent="0.25">
      <c r="A276" s="6">
        <v>210009</v>
      </c>
      <c r="B276" s="6" t="s">
        <v>1287</v>
      </c>
    </row>
    <row r="277" spans="1:2" ht="15.75" hidden="1" customHeight="1" x14ac:dyDescent="0.25">
      <c r="A277" s="6">
        <v>210010</v>
      </c>
      <c r="B277" s="6" t="s">
        <v>1288</v>
      </c>
    </row>
    <row r="278" spans="1:2" ht="15.75" hidden="1" customHeight="1" x14ac:dyDescent="0.25">
      <c r="A278" s="6">
        <v>210011</v>
      </c>
      <c r="B278" s="6" t="s">
        <v>1289</v>
      </c>
    </row>
    <row r="279" spans="1:2" ht="15.75" hidden="1" customHeight="1" x14ac:dyDescent="0.25">
      <c r="A279" s="6">
        <v>210012</v>
      </c>
      <c r="B279" s="6" t="s">
        <v>1290</v>
      </c>
    </row>
    <row r="280" spans="1:2" ht="15.75" hidden="1" customHeight="1" x14ac:dyDescent="0.25">
      <c r="A280" s="6">
        <v>210013</v>
      </c>
      <c r="B280" s="6" t="s">
        <v>970</v>
      </c>
    </row>
    <row r="281" spans="1:2" ht="15.75" hidden="1" customHeight="1" x14ac:dyDescent="0.25">
      <c r="A281" s="6">
        <v>210014</v>
      </c>
      <c r="B281" s="6" t="s">
        <v>1556</v>
      </c>
    </row>
    <row r="282" spans="1:2" ht="15.75" hidden="1" customHeight="1" x14ac:dyDescent="0.25">
      <c r="A282" s="6">
        <v>210015</v>
      </c>
      <c r="B282" s="6" t="s">
        <v>869</v>
      </c>
    </row>
    <row r="283" spans="1:2" ht="15.75" hidden="1" customHeight="1" x14ac:dyDescent="0.25">
      <c r="A283" s="6">
        <v>210016</v>
      </c>
      <c r="B283" s="6" t="s">
        <v>1347</v>
      </c>
    </row>
    <row r="284" spans="1:2" ht="15.75" hidden="1" customHeight="1" x14ac:dyDescent="0.25">
      <c r="A284" s="6">
        <v>210017</v>
      </c>
      <c r="B284" s="6" t="s">
        <v>1374</v>
      </c>
    </row>
    <row r="285" spans="1:2" ht="15.75" hidden="1" customHeight="1" x14ac:dyDescent="0.25">
      <c r="A285" s="6">
        <v>210018</v>
      </c>
      <c r="B285" s="6" t="s">
        <v>978</v>
      </c>
    </row>
    <row r="286" spans="1:2" ht="15.75" hidden="1" customHeight="1" x14ac:dyDescent="0.25">
      <c r="A286" s="6">
        <v>210019</v>
      </c>
      <c r="B286" s="6" t="s">
        <v>966</v>
      </c>
    </row>
    <row r="287" spans="1:2" ht="15.75" hidden="1" customHeight="1" x14ac:dyDescent="0.25">
      <c r="A287" s="6">
        <v>210020</v>
      </c>
      <c r="B287" s="6" t="s">
        <v>1578</v>
      </c>
    </row>
    <row r="288" spans="1:2" ht="15.75" hidden="1" customHeight="1" x14ac:dyDescent="0.25">
      <c r="A288" s="6">
        <v>210021</v>
      </c>
      <c r="B288" s="6" t="s">
        <v>864</v>
      </c>
    </row>
    <row r="289" spans="1:2" ht="15.75" hidden="1" customHeight="1" x14ac:dyDescent="0.25">
      <c r="A289" s="6">
        <v>210022</v>
      </c>
      <c r="B289" s="6" t="s">
        <v>867</v>
      </c>
    </row>
    <row r="290" spans="1:2" ht="15.75" hidden="1" customHeight="1" x14ac:dyDescent="0.25">
      <c r="A290" s="6">
        <v>210023</v>
      </c>
      <c r="B290" s="6" t="s">
        <v>1052</v>
      </c>
    </row>
    <row r="291" spans="1:2" ht="15.75" hidden="1" customHeight="1" x14ac:dyDescent="0.25">
      <c r="A291" s="6">
        <v>210024</v>
      </c>
      <c r="B291" s="6" t="s">
        <v>1358</v>
      </c>
    </row>
    <row r="292" spans="1:2" ht="15.75" hidden="1" customHeight="1" x14ac:dyDescent="0.25">
      <c r="A292" s="6">
        <v>210025</v>
      </c>
      <c r="B292" s="6" t="s">
        <v>866</v>
      </c>
    </row>
    <row r="293" spans="1:2" ht="15.75" hidden="1" customHeight="1" x14ac:dyDescent="0.25">
      <c r="A293" s="6">
        <v>211001</v>
      </c>
      <c r="B293" s="6" t="s">
        <v>1349</v>
      </c>
    </row>
    <row r="294" spans="1:2" ht="15.75" hidden="1" customHeight="1" x14ac:dyDescent="0.25">
      <c r="A294" s="6">
        <v>211002</v>
      </c>
      <c r="B294" s="6" t="s">
        <v>697</v>
      </c>
    </row>
    <row r="295" spans="1:2" ht="15.75" hidden="1" customHeight="1" x14ac:dyDescent="0.25">
      <c r="A295" s="6">
        <v>211003</v>
      </c>
      <c r="B295" s="6" t="s">
        <v>1005</v>
      </c>
    </row>
    <row r="296" spans="1:2" ht="15.75" hidden="1" customHeight="1" x14ac:dyDescent="0.25">
      <c r="A296" s="6">
        <v>211004</v>
      </c>
      <c r="B296" s="6" t="s">
        <v>1350</v>
      </c>
    </row>
    <row r="297" spans="1:2" ht="15.75" hidden="1" customHeight="1" x14ac:dyDescent="0.25">
      <c r="A297" s="6">
        <v>211005</v>
      </c>
      <c r="B297" s="6" t="s">
        <v>1053</v>
      </c>
    </row>
    <row r="298" spans="1:2" ht="15.75" hidden="1" customHeight="1" x14ac:dyDescent="0.25">
      <c r="A298" s="6">
        <v>311001</v>
      </c>
      <c r="B298" s="6" t="s">
        <v>673</v>
      </c>
    </row>
    <row r="299" spans="1:2" ht="15.75" hidden="1" customHeight="1" x14ac:dyDescent="0.25">
      <c r="A299" s="6">
        <v>212001</v>
      </c>
      <c r="B299" s="6" t="s">
        <v>1231</v>
      </c>
    </row>
    <row r="300" spans="1:2" ht="15.75" hidden="1" customHeight="1" x14ac:dyDescent="0.25">
      <c r="A300" s="6">
        <v>212002</v>
      </c>
      <c r="B300" s="6" t="s">
        <v>910</v>
      </c>
    </row>
    <row r="301" spans="1:2" ht="15.75" hidden="1" customHeight="1" x14ac:dyDescent="0.25">
      <c r="A301" s="6">
        <v>212003</v>
      </c>
      <c r="B301" s="6" t="s">
        <v>856</v>
      </c>
    </row>
    <row r="302" spans="1:2" ht="15.75" hidden="1" customHeight="1" x14ac:dyDescent="0.25">
      <c r="A302" s="6">
        <v>212004</v>
      </c>
      <c r="B302" s="6" t="s">
        <v>1257</v>
      </c>
    </row>
    <row r="303" spans="1:2" ht="15.75" hidden="1" customHeight="1" x14ac:dyDescent="0.25">
      <c r="A303" s="6">
        <v>212005</v>
      </c>
      <c r="B303" s="6" t="s">
        <v>1294</v>
      </c>
    </row>
    <row r="304" spans="1:2" ht="15.75" hidden="1" customHeight="1" x14ac:dyDescent="0.25">
      <c r="A304" s="6">
        <v>212006</v>
      </c>
      <c r="B304" s="6" t="s">
        <v>991</v>
      </c>
    </row>
    <row r="305" spans="1:2" ht="15.75" hidden="1" customHeight="1" x14ac:dyDescent="0.25">
      <c r="A305" s="6">
        <v>212007</v>
      </c>
      <c r="B305" s="6" t="s">
        <v>865</v>
      </c>
    </row>
    <row r="306" spans="1:2" ht="15.75" hidden="1" customHeight="1" x14ac:dyDescent="0.25">
      <c r="A306" s="6">
        <v>212008</v>
      </c>
      <c r="B306" s="6" t="s">
        <v>947</v>
      </c>
    </row>
    <row r="307" spans="1:2" ht="15.75" hidden="1" customHeight="1" x14ac:dyDescent="0.25">
      <c r="A307" s="6">
        <v>212009</v>
      </c>
      <c r="B307" s="6" t="s">
        <v>904</v>
      </c>
    </row>
    <row r="308" spans="1:2" ht="15.75" hidden="1" customHeight="1" x14ac:dyDescent="0.25">
      <c r="A308" s="6">
        <v>212010</v>
      </c>
      <c r="B308" s="6" t="s">
        <v>945</v>
      </c>
    </row>
    <row r="309" spans="1:2" ht="15.75" hidden="1" customHeight="1" x14ac:dyDescent="0.25">
      <c r="A309" s="6">
        <v>212011</v>
      </c>
      <c r="B309" s="6" t="s">
        <v>1020</v>
      </c>
    </row>
    <row r="310" spans="1:2" ht="15.75" hidden="1" customHeight="1" x14ac:dyDescent="0.25">
      <c r="A310" s="6">
        <v>212012</v>
      </c>
      <c r="B310" s="6" t="s">
        <v>1296</v>
      </c>
    </row>
    <row r="311" spans="1:2" ht="15.75" hidden="1" customHeight="1" x14ac:dyDescent="0.25">
      <c r="A311" s="6">
        <v>212013</v>
      </c>
      <c r="B311" s="6" t="s">
        <v>1261</v>
      </c>
    </row>
    <row r="312" spans="1:2" ht="15.75" hidden="1" customHeight="1" x14ac:dyDescent="0.25">
      <c r="A312" s="6">
        <v>412001</v>
      </c>
      <c r="B312" s="6" t="s">
        <v>1231</v>
      </c>
    </row>
    <row r="313" spans="1:2" ht="15.75" hidden="1" customHeight="1" x14ac:dyDescent="0.25">
      <c r="A313" s="6">
        <v>314013</v>
      </c>
      <c r="B313" s="6" t="s">
        <v>1153</v>
      </c>
    </row>
    <row r="314" spans="1:2" ht="15.75" hidden="1" customHeight="1" x14ac:dyDescent="0.25">
      <c r="A314" s="6">
        <v>314014</v>
      </c>
      <c r="B314" s="6" t="s">
        <v>1154</v>
      </c>
    </row>
    <row r="315" spans="1:2" ht="15.75" hidden="1" customHeight="1" x14ac:dyDescent="0.25">
      <c r="A315" s="6">
        <v>314015</v>
      </c>
      <c r="B315" s="6" t="s">
        <v>1156</v>
      </c>
    </row>
    <row r="316" spans="1:2" ht="15.75" hidden="1" customHeight="1" x14ac:dyDescent="0.25">
      <c r="A316" s="6">
        <v>314016</v>
      </c>
      <c r="B316" s="6" t="s">
        <v>1155</v>
      </c>
    </row>
    <row r="317" spans="1:2" ht="15.75" hidden="1" customHeight="1" x14ac:dyDescent="0.25">
      <c r="A317" s="6">
        <v>314017</v>
      </c>
      <c r="B317" s="6" t="s">
        <v>1152</v>
      </c>
    </row>
    <row r="318" spans="1:2" ht="15.75" hidden="1" customHeight="1" x14ac:dyDescent="0.25">
      <c r="A318" s="6">
        <v>314041</v>
      </c>
      <c r="B318" s="6" t="s">
        <v>1151</v>
      </c>
    </row>
    <row r="319" spans="1:2" ht="15.75" hidden="1" customHeight="1" x14ac:dyDescent="0.25">
      <c r="A319" s="6">
        <v>215001</v>
      </c>
      <c r="B319" s="6" t="s">
        <v>1098</v>
      </c>
    </row>
    <row r="320" spans="1:2" ht="15.75" hidden="1" customHeight="1" x14ac:dyDescent="0.25">
      <c r="A320" s="6">
        <v>216001</v>
      </c>
      <c r="B320" s="6" t="s">
        <v>1234</v>
      </c>
    </row>
    <row r="321" spans="1:2" ht="15.75" hidden="1" customHeight="1" x14ac:dyDescent="0.25">
      <c r="A321" s="6">
        <v>216002</v>
      </c>
      <c r="B321" s="6" t="s">
        <v>1235</v>
      </c>
    </row>
    <row r="322" spans="1:2" ht="15.75" hidden="1" customHeight="1" x14ac:dyDescent="0.25">
      <c r="A322" s="6">
        <v>216003</v>
      </c>
      <c r="B322" s="6" t="s">
        <v>1233</v>
      </c>
    </row>
    <row r="323" spans="1:2" ht="15.75" hidden="1" customHeight="1" x14ac:dyDescent="0.25">
      <c r="A323" s="6">
        <v>216004</v>
      </c>
      <c r="B323" s="6" t="s">
        <v>905</v>
      </c>
    </row>
    <row r="324" spans="1:2" ht="15.75" hidden="1" customHeight="1" x14ac:dyDescent="0.25">
      <c r="A324" s="6">
        <v>216005</v>
      </c>
      <c r="B324" s="6" t="s">
        <v>1025</v>
      </c>
    </row>
    <row r="325" spans="1:2" ht="15.75" hidden="1" customHeight="1" x14ac:dyDescent="0.25">
      <c r="A325" s="6">
        <v>216006</v>
      </c>
      <c r="B325" s="6" t="s">
        <v>1115</v>
      </c>
    </row>
    <row r="326" spans="1:2" ht="15.75" hidden="1" customHeight="1" x14ac:dyDescent="0.25">
      <c r="A326" s="6">
        <v>216007</v>
      </c>
      <c r="B326" s="6" t="s">
        <v>1059</v>
      </c>
    </row>
    <row r="327" spans="1:2" ht="15.75" hidden="1" customHeight="1" x14ac:dyDescent="0.25">
      <c r="A327" s="6">
        <v>216008</v>
      </c>
      <c r="B327" s="6" t="s">
        <v>972</v>
      </c>
    </row>
    <row r="328" spans="1:2" ht="15.75" hidden="1" customHeight="1" x14ac:dyDescent="0.25">
      <c r="A328" s="6">
        <v>216009</v>
      </c>
      <c r="B328" s="6" t="s">
        <v>1292</v>
      </c>
    </row>
    <row r="329" spans="1:2" ht="15.75" hidden="1" customHeight="1" x14ac:dyDescent="0.25">
      <c r="A329" s="6">
        <v>216010</v>
      </c>
      <c r="B329" s="6" t="s">
        <v>1291</v>
      </c>
    </row>
    <row r="330" spans="1:2" ht="15.75" hidden="1" customHeight="1" x14ac:dyDescent="0.25">
      <c r="A330" s="6">
        <v>216011</v>
      </c>
      <c r="B330" s="6" t="s">
        <v>1302</v>
      </c>
    </row>
    <row r="331" spans="1:2" ht="15.75" hidden="1" customHeight="1" x14ac:dyDescent="0.25">
      <c r="A331" s="6">
        <v>216012</v>
      </c>
      <c r="B331" s="6" t="s">
        <v>1303</v>
      </c>
    </row>
    <row r="332" spans="1:2" ht="15.75" hidden="1" customHeight="1" x14ac:dyDescent="0.25">
      <c r="A332" s="6">
        <v>216013</v>
      </c>
      <c r="B332" s="6" t="s">
        <v>1531</v>
      </c>
    </row>
    <row r="333" spans="1:2" ht="15.75" hidden="1" customHeight="1" x14ac:dyDescent="0.25">
      <c r="A333" s="6">
        <v>216014</v>
      </c>
      <c r="B333" s="6" t="s">
        <v>1586</v>
      </c>
    </row>
    <row r="334" spans="1:2" ht="15.75" hidden="1" customHeight="1" x14ac:dyDescent="0.25">
      <c r="A334" s="6">
        <v>216015</v>
      </c>
      <c r="B334" s="6" t="s">
        <v>1599</v>
      </c>
    </row>
    <row r="335" spans="1:2" ht="15.75" hidden="1" customHeight="1" x14ac:dyDescent="0.25">
      <c r="A335" s="6">
        <v>216016</v>
      </c>
      <c r="B335" s="6" t="s">
        <v>1598</v>
      </c>
    </row>
    <row r="336" spans="1:2" ht="15.75" hidden="1" customHeight="1" x14ac:dyDescent="0.25">
      <c r="A336" s="6">
        <v>216017</v>
      </c>
      <c r="B336" s="6" t="s">
        <v>1017</v>
      </c>
    </row>
    <row r="337" spans="1:2" ht="15.75" hidden="1" customHeight="1" x14ac:dyDescent="0.25">
      <c r="A337" s="6">
        <v>216018</v>
      </c>
      <c r="B337" s="6" t="s">
        <v>1016</v>
      </c>
    </row>
    <row r="338" spans="1:2" ht="15.75" hidden="1" customHeight="1" x14ac:dyDescent="0.25">
      <c r="A338" s="6">
        <v>216019</v>
      </c>
      <c r="B338" s="6" t="s">
        <v>1229</v>
      </c>
    </row>
    <row r="339" spans="1:2" ht="15.75" hidden="1" customHeight="1" x14ac:dyDescent="0.25">
      <c r="A339" s="6">
        <v>216020</v>
      </c>
      <c r="B339" s="6" t="s">
        <v>1596</v>
      </c>
    </row>
    <row r="340" spans="1:2" ht="15.75" hidden="1" customHeight="1" x14ac:dyDescent="0.25">
      <c r="A340" s="6">
        <v>216021</v>
      </c>
      <c r="B340" s="6" t="s">
        <v>1597</v>
      </c>
    </row>
    <row r="341" spans="1:2" ht="15.75" hidden="1" customHeight="1" x14ac:dyDescent="0.25">
      <c r="A341" s="6">
        <v>316001</v>
      </c>
      <c r="B341" s="6" t="s">
        <v>103</v>
      </c>
    </row>
    <row r="342" spans="1:2" ht="15.75" hidden="1" customHeight="1" x14ac:dyDescent="0.25">
      <c r="A342" s="6">
        <v>316002</v>
      </c>
      <c r="B342" s="6" t="s">
        <v>1562</v>
      </c>
    </row>
    <row r="343" spans="1:2" ht="15.75" hidden="1" customHeight="1" x14ac:dyDescent="0.25">
      <c r="A343" s="6">
        <v>316003</v>
      </c>
      <c r="B343" s="6" t="s">
        <v>1589</v>
      </c>
    </row>
    <row r="344" spans="1:2" ht="15.75" hidden="1" customHeight="1" x14ac:dyDescent="0.25">
      <c r="A344" s="6">
        <v>316004</v>
      </c>
      <c r="B344" s="6" t="s">
        <v>1297</v>
      </c>
    </row>
    <row r="345" spans="1:2" ht="15.75" hidden="1" customHeight="1" x14ac:dyDescent="0.25">
      <c r="A345" s="6">
        <v>316005</v>
      </c>
      <c r="B345" s="6" t="s">
        <v>1024</v>
      </c>
    </row>
    <row r="346" spans="1:2" ht="15.75" hidden="1" customHeight="1" x14ac:dyDescent="0.25">
      <c r="A346" s="6">
        <v>217001</v>
      </c>
      <c r="B346" s="6" t="s">
        <v>946</v>
      </c>
    </row>
    <row r="347" spans="1:2" ht="15.75" hidden="1" customHeight="1" x14ac:dyDescent="0.25">
      <c r="A347" s="6">
        <v>217002</v>
      </c>
      <c r="B347" s="6" t="s">
        <v>1227</v>
      </c>
    </row>
    <row r="348" spans="1:2" ht="15.75" hidden="1" customHeight="1" x14ac:dyDescent="0.25">
      <c r="A348" s="6">
        <v>218001</v>
      </c>
      <c r="B348" s="6" t="s">
        <v>668</v>
      </c>
    </row>
    <row r="349" spans="1:2" ht="15.75" hidden="1" customHeight="1" x14ac:dyDescent="0.25">
      <c r="A349" s="6">
        <v>219001</v>
      </c>
      <c r="B349" s="6" t="s">
        <v>943</v>
      </c>
    </row>
    <row r="350" spans="1:2" ht="15.75" hidden="1" customHeight="1" x14ac:dyDescent="0.25">
      <c r="A350" s="6">
        <v>219002</v>
      </c>
      <c r="B350" s="6" t="s">
        <v>852</v>
      </c>
    </row>
    <row r="351" spans="1:2" ht="15.75" hidden="1" customHeight="1" x14ac:dyDescent="0.25">
      <c r="A351" s="6">
        <v>220001</v>
      </c>
      <c r="B351" s="6" t="s">
        <v>753</v>
      </c>
    </row>
    <row r="352" spans="1:2" ht="15.75" hidden="1" customHeight="1" x14ac:dyDescent="0.25">
      <c r="A352" s="6">
        <v>220002</v>
      </c>
      <c r="B352" s="6" t="s">
        <v>810</v>
      </c>
    </row>
    <row r="353" spans="1:2" ht="15.75" hidden="1" customHeight="1" x14ac:dyDescent="0.25">
      <c r="A353" s="6">
        <v>220003</v>
      </c>
      <c r="B353" s="6" t="s">
        <v>115</v>
      </c>
    </row>
    <row r="354" spans="1:2" ht="15.75" hidden="1" customHeight="1" x14ac:dyDescent="0.25">
      <c r="A354" s="6">
        <v>220004</v>
      </c>
      <c r="B354" s="6" t="s">
        <v>909</v>
      </c>
    </row>
    <row r="355" spans="1:2" ht="15.75" hidden="1" customHeight="1" x14ac:dyDescent="0.25">
      <c r="A355" s="6">
        <v>220005</v>
      </c>
      <c r="B355" s="6" t="s">
        <v>941</v>
      </c>
    </row>
    <row r="356" spans="1:2" ht="15.75" hidden="1" customHeight="1" x14ac:dyDescent="0.25">
      <c r="A356" s="6">
        <v>220006</v>
      </c>
      <c r="B356" s="6" t="s">
        <v>996</v>
      </c>
    </row>
    <row r="357" spans="1:2" ht="15.75" hidden="1" customHeight="1" x14ac:dyDescent="0.25">
      <c r="A357" s="6">
        <v>220007</v>
      </c>
      <c r="B357" s="6" t="s">
        <v>998</v>
      </c>
    </row>
    <row r="358" spans="1:2" ht="15.75" hidden="1" customHeight="1" x14ac:dyDescent="0.25">
      <c r="A358" s="6">
        <v>220008</v>
      </c>
      <c r="B358" s="6" t="s">
        <v>624</v>
      </c>
    </row>
    <row r="359" spans="1:2" ht="15.75" hidden="1" customHeight="1" x14ac:dyDescent="0.25">
      <c r="A359" s="6">
        <v>220009</v>
      </c>
      <c r="B359" s="6" t="s">
        <v>1040</v>
      </c>
    </row>
    <row r="360" spans="1:2" ht="15.75" hidden="1" customHeight="1" x14ac:dyDescent="0.25">
      <c r="A360" s="6">
        <v>220010</v>
      </c>
      <c r="B360" s="6" t="s">
        <v>1067</v>
      </c>
    </row>
    <row r="361" spans="1:2" ht="15.75" hidden="1" customHeight="1" x14ac:dyDescent="0.25">
      <c r="A361" s="6">
        <v>220011</v>
      </c>
      <c r="B361" s="6" t="s">
        <v>1065</v>
      </c>
    </row>
    <row r="362" spans="1:2" ht="15.75" hidden="1" customHeight="1" x14ac:dyDescent="0.25">
      <c r="A362" s="6">
        <v>220012</v>
      </c>
      <c r="B362" s="6" t="s">
        <v>1099</v>
      </c>
    </row>
    <row r="363" spans="1:2" ht="15.75" hidden="1" customHeight="1" x14ac:dyDescent="0.25">
      <c r="A363" s="6">
        <v>220013</v>
      </c>
      <c r="B363" s="6" t="s">
        <v>1255</v>
      </c>
    </row>
    <row r="364" spans="1:2" ht="15.75" hidden="1" customHeight="1" x14ac:dyDescent="0.25">
      <c r="A364" s="6">
        <v>220014</v>
      </c>
      <c r="B364" s="6" t="s">
        <v>1351</v>
      </c>
    </row>
    <row r="365" spans="1:2" ht="15.75" hidden="1" customHeight="1" x14ac:dyDescent="0.25">
      <c r="A365" s="6">
        <v>220015</v>
      </c>
      <c r="B365" s="6" t="s">
        <v>1369</v>
      </c>
    </row>
    <row r="366" spans="1:2" ht="15.75" hidden="1" customHeight="1" x14ac:dyDescent="0.25">
      <c r="A366" s="6">
        <v>220016</v>
      </c>
      <c r="B366" s="6" t="s">
        <v>1380</v>
      </c>
    </row>
    <row r="367" spans="1:2" ht="15.75" hidden="1" customHeight="1" x14ac:dyDescent="0.25">
      <c r="A367" s="6">
        <v>220017</v>
      </c>
      <c r="B367" s="6" t="s">
        <v>1397</v>
      </c>
    </row>
    <row r="368" spans="1:2" ht="15.75" hidden="1" customHeight="1" x14ac:dyDescent="0.25">
      <c r="A368" s="6">
        <v>220018</v>
      </c>
      <c r="B368" s="6" t="s">
        <v>1402</v>
      </c>
    </row>
    <row r="369" spans="1:2" ht="15.75" hidden="1" customHeight="1" x14ac:dyDescent="0.25">
      <c r="A369" s="6">
        <v>220019</v>
      </c>
      <c r="B369" s="6" t="s">
        <v>1403</v>
      </c>
    </row>
    <row r="370" spans="1:2" ht="15.75" hidden="1" customHeight="1" x14ac:dyDescent="0.25">
      <c r="A370" s="6">
        <v>220020</v>
      </c>
      <c r="B370" s="6" t="s">
        <v>1413</v>
      </c>
    </row>
    <row r="371" spans="1:2" ht="15.75" hidden="1" customHeight="1" x14ac:dyDescent="0.25">
      <c r="A371" s="6">
        <v>220021</v>
      </c>
      <c r="B371" s="6" t="s">
        <v>1414</v>
      </c>
    </row>
    <row r="372" spans="1:2" ht="15.75" hidden="1" customHeight="1" x14ac:dyDescent="0.25">
      <c r="A372" s="6">
        <v>220022</v>
      </c>
      <c r="B372" s="6" t="s">
        <v>1440</v>
      </c>
    </row>
    <row r="373" spans="1:2" ht="15.75" hidden="1" customHeight="1" x14ac:dyDescent="0.25">
      <c r="A373" s="6">
        <v>220023</v>
      </c>
      <c r="B373" s="6" t="s">
        <v>1459</v>
      </c>
    </row>
    <row r="374" spans="1:2" ht="15.75" hidden="1" customHeight="1" x14ac:dyDescent="0.25">
      <c r="A374" s="6">
        <v>220024</v>
      </c>
      <c r="B374" s="6" t="s">
        <v>1458</v>
      </c>
    </row>
    <row r="375" spans="1:2" ht="15.75" hidden="1" customHeight="1" x14ac:dyDescent="0.25">
      <c r="A375" s="6">
        <v>220025</v>
      </c>
      <c r="B375" s="6" t="s">
        <v>1457</v>
      </c>
    </row>
    <row r="376" spans="1:2" ht="15.75" hidden="1" customHeight="1" x14ac:dyDescent="0.25">
      <c r="A376" s="6">
        <v>220026</v>
      </c>
      <c r="B376" s="6" t="s">
        <v>1554</v>
      </c>
    </row>
    <row r="377" spans="1:2" ht="15.75" hidden="1" customHeight="1" x14ac:dyDescent="0.25">
      <c r="A377" s="6">
        <v>220027</v>
      </c>
      <c r="B377" s="6" t="s">
        <v>1575</v>
      </c>
    </row>
    <row r="378" spans="1:2" ht="15.75" hidden="1" customHeight="1" x14ac:dyDescent="0.25">
      <c r="A378" s="6">
        <v>220028</v>
      </c>
      <c r="B378" s="6" t="s">
        <v>1576</v>
      </c>
    </row>
    <row r="379" spans="1:2" ht="15.75" hidden="1" customHeight="1" x14ac:dyDescent="0.25">
      <c r="A379" s="6">
        <v>220029</v>
      </c>
      <c r="B379" s="6" t="s">
        <v>1230</v>
      </c>
    </row>
    <row r="380" spans="1:2" ht="15.75" hidden="1" customHeight="1" x14ac:dyDescent="0.25">
      <c r="A380" s="6">
        <v>220030</v>
      </c>
      <c r="B380" s="6" t="s">
        <v>902</v>
      </c>
    </row>
    <row r="381" spans="1:2" ht="15.75" hidden="1" customHeight="1" x14ac:dyDescent="0.25">
      <c r="A381" s="6">
        <v>220031</v>
      </c>
      <c r="B381" s="6" t="s">
        <v>1381</v>
      </c>
    </row>
    <row r="382" spans="1:2" ht="15.75" hidden="1" customHeight="1" x14ac:dyDescent="0.25">
      <c r="A382" s="6">
        <v>220032</v>
      </c>
      <c r="B382" s="6" t="s">
        <v>1021</v>
      </c>
    </row>
    <row r="383" spans="1:2" ht="15.75" hidden="1" customHeight="1" x14ac:dyDescent="0.25">
      <c r="A383" s="6">
        <v>220033</v>
      </c>
      <c r="B383" s="6" t="s">
        <v>719</v>
      </c>
    </row>
    <row r="384" spans="1:2" ht="15.75" hidden="1" customHeight="1" x14ac:dyDescent="0.25">
      <c r="A384" s="6">
        <v>220034</v>
      </c>
      <c r="B384" s="6" t="s">
        <v>1555</v>
      </c>
    </row>
    <row r="385" spans="1:2" ht="15.75" hidden="1" customHeight="1" x14ac:dyDescent="0.25">
      <c r="A385" s="6">
        <v>220035</v>
      </c>
      <c r="B385" s="6" t="s">
        <v>962</v>
      </c>
    </row>
    <row r="386" spans="1:2" ht="15.75" hidden="1" customHeight="1" x14ac:dyDescent="0.25">
      <c r="A386" s="6">
        <v>220036</v>
      </c>
      <c r="B386" s="6" t="s">
        <v>1538</v>
      </c>
    </row>
    <row r="387" spans="1:2" ht="15.75" hidden="1" customHeight="1" x14ac:dyDescent="0.25">
      <c r="A387" s="6">
        <v>220037</v>
      </c>
      <c r="B387" s="6" t="s">
        <v>1447</v>
      </c>
    </row>
    <row r="388" spans="1:2" ht="15.75" hidden="1" customHeight="1" x14ac:dyDescent="0.25">
      <c r="A388" s="6">
        <v>220038</v>
      </c>
      <c r="B388" s="6" t="s">
        <v>1096</v>
      </c>
    </row>
    <row r="389" spans="1:2" ht="15.75" hidden="1" customHeight="1" x14ac:dyDescent="0.25">
      <c r="A389" s="6">
        <v>220039</v>
      </c>
      <c r="B389" s="6" t="s">
        <v>422</v>
      </c>
    </row>
    <row r="390" spans="1:2" ht="15.75" hidden="1" customHeight="1" x14ac:dyDescent="0.25">
      <c r="A390" s="6">
        <v>21001</v>
      </c>
      <c r="B390" s="6" t="s">
        <v>422</v>
      </c>
    </row>
    <row r="391" spans="1:2" ht="15.75" hidden="1" customHeight="1" x14ac:dyDescent="0.25">
      <c r="A391" s="6">
        <v>21002</v>
      </c>
      <c r="B391" s="6" t="s">
        <v>1440</v>
      </c>
    </row>
    <row r="392" spans="1:2" ht="15.75" hidden="1" customHeight="1" x14ac:dyDescent="0.25">
      <c r="A392" s="6">
        <v>21003</v>
      </c>
      <c r="B392" s="6" t="s">
        <v>115</v>
      </c>
    </row>
    <row r="393" spans="1:2" ht="15.75" hidden="1" customHeight="1" x14ac:dyDescent="0.25">
      <c r="A393" s="6">
        <v>21004</v>
      </c>
      <c r="B393" s="6" t="s">
        <v>1040</v>
      </c>
    </row>
    <row r="394" spans="1:2" ht="15.75" hidden="1" customHeight="1" x14ac:dyDescent="0.25">
      <c r="A394" s="6">
        <v>121005</v>
      </c>
      <c r="B394" s="6" t="s">
        <v>1040</v>
      </c>
    </row>
    <row r="395" spans="1:2" ht="15.75" hidden="1" customHeight="1" x14ac:dyDescent="0.25">
      <c r="A395" s="6">
        <v>121006</v>
      </c>
      <c r="B395" s="6" t="s">
        <v>1574</v>
      </c>
    </row>
    <row r="396" spans="1:2" ht="15.75" hidden="1" customHeight="1" x14ac:dyDescent="0.25">
      <c r="A396" s="6">
        <v>221007</v>
      </c>
      <c r="B396" s="6" t="s">
        <v>1380</v>
      </c>
    </row>
    <row r="397" spans="1:2" ht="15.75" hidden="1" customHeight="1" x14ac:dyDescent="0.25">
      <c r="A397" s="6">
        <v>222001</v>
      </c>
      <c r="B397" s="6" t="s">
        <v>1269</v>
      </c>
    </row>
    <row r="398" spans="1:2" ht="15.75" hidden="1" customHeight="1" x14ac:dyDescent="0.25">
      <c r="A398" s="6">
        <v>222002</v>
      </c>
      <c r="B398" s="6" t="s">
        <v>1270</v>
      </c>
    </row>
    <row r="399" spans="1:2" ht="15.75" hidden="1" customHeight="1" x14ac:dyDescent="0.25">
      <c r="A399" s="6">
        <v>222003</v>
      </c>
      <c r="B399" s="6" t="s">
        <v>1271</v>
      </c>
    </row>
    <row r="400" spans="1:2" ht="15.75" hidden="1" customHeight="1" x14ac:dyDescent="0.25">
      <c r="A400" s="6">
        <v>222004</v>
      </c>
      <c r="B400" s="6" t="s">
        <v>1272</v>
      </c>
    </row>
    <row r="401" spans="1:2" ht="15.75" hidden="1" customHeight="1" x14ac:dyDescent="0.25">
      <c r="A401" s="6">
        <v>222005</v>
      </c>
      <c r="B401" s="6" t="s">
        <v>1273</v>
      </c>
    </row>
    <row r="402" spans="1:2" ht="15.75" hidden="1" customHeight="1" x14ac:dyDescent="0.25">
      <c r="A402" s="6">
        <v>222006</v>
      </c>
      <c r="B402" s="6" t="s">
        <v>1274</v>
      </c>
    </row>
    <row r="403" spans="1:2" ht="15.75" hidden="1" customHeight="1" x14ac:dyDescent="0.25">
      <c r="A403" s="6">
        <v>222007</v>
      </c>
      <c r="B403" s="6" t="s">
        <v>1275</v>
      </c>
    </row>
    <row r="404" spans="1:2" ht="15.75" hidden="1" customHeight="1" x14ac:dyDescent="0.25">
      <c r="A404" s="6">
        <v>222008</v>
      </c>
      <c r="B404" s="6" t="s">
        <v>1276</v>
      </c>
    </row>
    <row r="405" spans="1:2" ht="15.75" hidden="1" customHeight="1" x14ac:dyDescent="0.25">
      <c r="A405" s="6">
        <v>222009</v>
      </c>
      <c r="B405" s="6" t="s">
        <v>1277</v>
      </c>
    </row>
    <row r="406" spans="1:2" ht="15.75" hidden="1" customHeight="1" x14ac:dyDescent="0.25">
      <c r="A406" s="6">
        <v>222010</v>
      </c>
      <c r="B406" s="6" t="s">
        <v>1278</v>
      </c>
    </row>
    <row r="407" spans="1:2" ht="15.75" hidden="1" customHeight="1" x14ac:dyDescent="0.25">
      <c r="A407" s="6">
        <v>222011</v>
      </c>
      <c r="B407" s="6" t="s">
        <v>969</v>
      </c>
    </row>
    <row r="408" spans="1:2" ht="15.75" hidden="1" customHeight="1" x14ac:dyDescent="0.25">
      <c r="A408" s="6">
        <v>222012</v>
      </c>
      <c r="B408" s="6" t="s">
        <v>1556</v>
      </c>
    </row>
    <row r="409" spans="1:2" ht="15.75" hidden="1" customHeight="1" x14ac:dyDescent="0.25">
      <c r="A409" s="6">
        <v>222013</v>
      </c>
      <c r="B409" s="6" t="s">
        <v>868</v>
      </c>
    </row>
    <row r="410" spans="1:2" ht="15.75" hidden="1" customHeight="1" x14ac:dyDescent="0.25">
      <c r="A410" s="6">
        <v>222014</v>
      </c>
      <c r="B410" s="6" t="s">
        <v>1347</v>
      </c>
    </row>
    <row r="411" spans="1:2" ht="15.75" hidden="1" customHeight="1" x14ac:dyDescent="0.25">
      <c r="A411" s="6">
        <v>222015</v>
      </c>
      <c r="B411" s="6" t="s">
        <v>966</v>
      </c>
    </row>
    <row r="412" spans="1:2" ht="15.75" hidden="1" customHeight="1" x14ac:dyDescent="0.25">
      <c r="A412" s="6">
        <v>222016</v>
      </c>
      <c r="B412" s="6" t="s">
        <v>1578</v>
      </c>
    </row>
    <row r="413" spans="1:2" ht="15.75" hidden="1" customHeight="1" x14ac:dyDescent="0.25">
      <c r="A413" s="6">
        <v>222017</v>
      </c>
      <c r="B413" s="6" t="s">
        <v>864</v>
      </c>
    </row>
    <row r="414" spans="1:2" ht="15.75" hidden="1" customHeight="1" x14ac:dyDescent="0.25">
      <c r="A414" s="6">
        <v>222018</v>
      </c>
      <c r="B414" s="6" t="s">
        <v>1052</v>
      </c>
    </row>
    <row r="415" spans="1:2" ht="15.75" hidden="1" customHeight="1" x14ac:dyDescent="0.25">
      <c r="A415" s="6">
        <v>222019</v>
      </c>
      <c r="B415" s="6" t="s">
        <v>1358</v>
      </c>
    </row>
    <row r="416" spans="1:2" ht="15.75" hidden="1" customHeight="1" x14ac:dyDescent="0.25">
      <c r="A416" s="6">
        <v>222020</v>
      </c>
      <c r="B416" s="6" t="s">
        <v>1612</v>
      </c>
    </row>
    <row r="417" spans="1:2" ht="15.75" hidden="1" customHeight="1" x14ac:dyDescent="0.25">
      <c r="A417" s="6">
        <v>222021</v>
      </c>
      <c r="B417" s="6" t="s">
        <v>867</v>
      </c>
    </row>
    <row r="418" spans="1:2" ht="15.75" hidden="1" customHeight="1" x14ac:dyDescent="0.25">
      <c r="A418" s="6">
        <v>222022</v>
      </c>
      <c r="B418" s="6" t="s">
        <v>1375</v>
      </c>
    </row>
    <row r="419" spans="1:2" ht="15.75" hidden="1" customHeight="1" x14ac:dyDescent="0.25">
      <c r="A419" s="6">
        <v>222023</v>
      </c>
      <c r="B419" s="6" t="s">
        <v>866</v>
      </c>
    </row>
    <row r="420" spans="1:2" ht="15.75" hidden="1" customHeight="1" x14ac:dyDescent="0.25">
      <c r="A420" s="6">
        <v>223001</v>
      </c>
      <c r="B420" s="6" t="s">
        <v>1037</v>
      </c>
    </row>
    <row r="421" spans="1:2" ht="15.75" hidden="1" customHeight="1" x14ac:dyDescent="0.25">
      <c r="A421" s="6">
        <v>223002</v>
      </c>
      <c r="B421" s="6" t="s">
        <v>1034</v>
      </c>
    </row>
    <row r="422" spans="1:2" ht="15.75" hidden="1" customHeight="1" x14ac:dyDescent="0.25">
      <c r="A422" s="6">
        <v>223003</v>
      </c>
      <c r="B422" s="6" t="s">
        <v>1035</v>
      </c>
    </row>
    <row r="423" spans="1:2" ht="15.75" hidden="1" customHeight="1" x14ac:dyDescent="0.25">
      <c r="A423" s="6">
        <v>223004</v>
      </c>
      <c r="B423" s="6" t="s">
        <v>1036</v>
      </c>
    </row>
    <row r="424" spans="1:2" ht="15.75" hidden="1" customHeight="1" x14ac:dyDescent="0.25">
      <c r="A424" s="6">
        <v>223005</v>
      </c>
      <c r="B424" s="6" t="s">
        <v>1038</v>
      </c>
    </row>
    <row r="425" spans="1:2" ht="15.75" hidden="1" customHeight="1" x14ac:dyDescent="0.25">
      <c r="A425" s="6">
        <v>224001</v>
      </c>
      <c r="B425" s="6" t="s">
        <v>1221</v>
      </c>
    </row>
    <row r="426" spans="1:2" ht="15.75" hidden="1" customHeight="1" x14ac:dyDescent="0.25">
      <c r="A426" s="6">
        <v>224002</v>
      </c>
      <c r="B426" s="6" t="s">
        <v>1220</v>
      </c>
    </row>
    <row r="427" spans="1:2" ht="15.75" hidden="1" customHeight="1" x14ac:dyDescent="0.25">
      <c r="A427" s="6">
        <v>25001</v>
      </c>
      <c r="B427" s="6" t="s">
        <v>1371</v>
      </c>
    </row>
    <row r="428" spans="1:2" ht="15.75" hidden="1" customHeight="1" x14ac:dyDescent="0.25">
      <c r="A428" s="6">
        <v>25002</v>
      </c>
      <c r="B428" s="6" t="s">
        <v>1370</v>
      </c>
    </row>
    <row r="429" spans="1:2" ht="15.75" hidden="1" customHeight="1" x14ac:dyDescent="0.25">
      <c r="A429" s="6">
        <v>25003</v>
      </c>
      <c r="B429" s="6" t="s">
        <v>1373</v>
      </c>
    </row>
    <row r="430" spans="1:2" ht="15.75" hidden="1" customHeight="1" x14ac:dyDescent="0.25">
      <c r="A430" s="6">
        <v>25004</v>
      </c>
      <c r="B430" s="6" t="s">
        <v>1372</v>
      </c>
    </row>
    <row r="431" spans="1:2" ht="15.75" hidden="1" customHeight="1" x14ac:dyDescent="0.25">
      <c r="A431" s="6">
        <v>26020</v>
      </c>
      <c r="B431" s="6" t="s">
        <v>1415</v>
      </c>
    </row>
    <row r="432" spans="1:2" ht="15.75" hidden="1" customHeight="1" x14ac:dyDescent="0.25">
      <c r="A432" s="6">
        <v>26021</v>
      </c>
      <c r="B432" s="6" t="s">
        <v>1419</v>
      </c>
    </row>
    <row r="433" spans="1:2" ht="15.75" hidden="1" customHeight="1" x14ac:dyDescent="0.25">
      <c r="A433" s="6">
        <v>26022</v>
      </c>
      <c r="B433" s="6" t="s">
        <v>1416</v>
      </c>
    </row>
    <row r="434" spans="1:2" ht="15.75" hidden="1" customHeight="1" x14ac:dyDescent="0.25">
      <c r="A434" s="6">
        <v>26023</v>
      </c>
      <c r="B434" s="6" t="s">
        <v>1418</v>
      </c>
    </row>
    <row r="435" spans="1:2" ht="15.75" hidden="1" customHeight="1" x14ac:dyDescent="0.25">
      <c r="A435" s="6">
        <v>26024</v>
      </c>
      <c r="B435" s="6" t="s">
        <v>1422</v>
      </c>
    </row>
    <row r="436" spans="1:2" ht="15.75" hidden="1" customHeight="1" x14ac:dyDescent="0.25">
      <c r="A436" s="6">
        <v>26025</v>
      </c>
      <c r="B436" s="6" t="s">
        <v>1425</v>
      </c>
    </row>
    <row r="437" spans="1:2" ht="15.75" hidden="1" customHeight="1" x14ac:dyDescent="0.25">
      <c r="A437" s="6">
        <v>26026</v>
      </c>
      <c r="B437" s="6" t="s">
        <v>1423</v>
      </c>
    </row>
    <row r="438" spans="1:2" ht="15.75" hidden="1" customHeight="1" x14ac:dyDescent="0.25">
      <c r="A438" s="6">
        <v>26027</v>
      </c>
      <c r="B438" s="6" t="s">
        <v>1424</v>
      </c>
    </row>
    <row r="439" spans="1:2" ht="15.75" hidden="1" customHeight="1" x14ac:dyDescent="0.25">
      <c r="A439" s="6">
        <v>26028</v>
      </c>
      <c r="B439" s="6" t="s">
        <v>1027</v>
      </c>
    </row>
    <row r="440" spans="1:2" ht="15.75" hidden="1" customHeight="1" x14ac:dyDescent="0.25">
      <c r="A440" s="6">
        <v>26029</v>
      </c>
      <c r="B440" s="6" t="s">
        <v>1028</v>
      </c>
    </row>
    <row r="441" spans="1:2" ht="15.75" hidden="1" customHeight="1" x14ac:dyDescent="0.25">
      <c r="A441" s="6">
        <v>26030</v>
      </c>
      <c r="B441" s="6" t="s">
        <v>1030</v>
      </c>
    </row>
    <row r="442" spans="1:2" ht="15.75" hidden="1" customHeight="1" x14ac:dyDescent="0.25">
      <c r="A442" s="6">
        <v>26031</v>
      </c>
      <c r="B442" s="6" t="s">
        <v>1031</v>
      </c>
    </row>
    <row r="443" spans="1:2" ht="15.75" hidden="1" customHeight="1" x14ac:dyDescent="0.25">
      <c r="A443" s="6">
        <v>26032</v>
      </c>
      <c r="B443" s="6" t="s">
        <v>1029</v>
      </c>
    </row>
    <row r="444" spans="1:2" ht="15.75" hidden="1" customHeight="1" x14ac:dyDescent="0.25">
      <c r="A444" s="6">
        <v>26033</v>
      </c>
      <c r="B444" s="6" t="s">
        <v>992</v>
      </c>
    </row>
    <row r="445" spans="1:2" ht="15.75" hidden="1" customHeight="1" x14ac:dyDescent="0.25">
      <c r="A445" s="6">
        <v>26034</v>
      </c>
      <c r="B445" s="6" t="s">
        <v>993</v>
      </c>
    </row>
    <row r="446" spans="1:2" ht="15.75" hidden="1" customHeight="1" x14ac:dyDescent="0.25">
      <c r="A446" s="6">
        <v>26035</v>
      </c>
      <c r="B446" s="6" t="s">
        <v>994</v>
      </c>
    </row>
    <row r="447" spans="1:2" ht="15.75" hidden="1" customHeight="1" x14ac:dyDescent="0.25">
      <c r="A447" s="6">
        <v>26036</v>
      </c>
      <c r="B447" s="6" t="s">
        <v>1421</v>
      </c>
    </row>
    <row r="448" spans="1:2" ht="15.75" hidden="1" customHeight="1" x14ac:dyDescent="0.25">
      <c r="A448" s="6">
        <v>26037</v>
      </c>
      <c r="B448" s="6" t="s">
        <v>1417</v>
      </c>
    </row>
    <row r="449" spans="1:2" ht="15.75" hidden="1" customHeight="1" x14ac:dyDescent="0.25">
      <c r="A449" s="6">
        <v>26038</v>
      </c>
      <c r="B449" s="6" t="s">
        <v>1420</v>
      </c>
    </row>
    <row r="450" spans="1:2" ht="15.75" hidden="1" customHeight="1" x14ac:dyDescent="0.25">
      <c r="A450" s="6">
        <v>26039</v>
      </c>
      <c r="B450" s="6" t="s">
        <v>1348</v>
      </c>
    </row>
    <row r="451" spans="1:2" ht="15.75" hidden="1" customHeight="1" x14ac:dyDescent="0.25">
      <c r="A451" s="6">
        <v>227001</v>
      </c>
      <c r="B451" s="6" t="s">
        <v>1391</v>
      </c>
    </row>
    <row r="452" spans="1:2" ht="15.75" hidden="1" customHeight="1" x14ac:dyDescent="0.25">
      <c r="A452" s="6">
        <v>227002</v>
      </c>
      <c r="B452" s="6" t="s">
        <v>1389</v>
      </c>
    </row>
    <row r="453" spans="1:2" ht="15.75" hidden="1" customHeight="1" x14ac:dyDescent="0.25">
      <c r="A453" s="6">
        <v>227003</v>
      </c>
      <c r="B453" s="6" t="s">
        <v>1387</v>
      </c>
    </row>
    <row r="454" spans="1:2" ht="15.75" hidden="1" customHeight="1" x14ac:dyDescent="0.25">
      <c r="A454" s="6">
        <v>227004</v>
      </c>
      <c r="B454" s="6" t="s">
        <v>1385</v>
      </c>
    </row>
    <row r="455" spans="1:2" ht="15.75" hidden="1" customHeight="1" x14ac:dyDescent="0.25">
      <c r="A455" s="6">
        <v>227005</v>
      </c>
      <c r="B455" s="6" t="s">
        <v>1390</v>
      </c>
    </row>
    <row r="456" spans="1:2" ht="15.75" hidden="1" customHeight="1" x14ac:dyDescent="0.25">
      <c r="A456" s="6">
        <v>227006</v>
      </c>
      <c r="B456" s="6" t="s">
        <v>1388</v>
      </c>
    </row>
    <row r="457" spans="1:2" ht="15.75" hidden="1" customHeight="1" x14ac:dyDescent="0.25">
      <c r="A457" s="6">
        <v>227007</v>
      </c>
      <c r="B457" s="6" t="s">
        <v>1386</v>
      </c>
    </row>
    <row r="458" spans="1:2" ht="15.75" hidden="1" customHeight="1" x14ac:dyDescent="0.25">
      <c r="A458" s="6">
        <v>227008</v>
      </c>
      <c r="B458" s="6" t="s">
        <v>1392</v>
      </c>
    </row>
    <row r="459" spans="1:2" ht="15.75" hidden="1" customHeight="1" x14ac:dyDescent="0.25">
      <c r="A459" s="6">
        <v>227009</v>
      </c>
      <c r="B459" s="6" t="s">
        <v>1396</v>
      </c>
    </row>
    <row r="460" spans="1:2" ht="15.75" hidden="1" customHeight="1" x14ac:dyDescent="0.25">
      <c r="A460" s="6">
        <v>28001</v>
      </c>
      <c r="B460" s="6" t="s">
        <v>1557</v>
      </c>
    </row>
    <row r="461" spans="1:2" ht="15.75" hidden="1" customHeight="1" x14ac:dyDescent="0.25">
      <c r="A461" s="6">
        <v>29001</v>
      </c>
      <c r="B461" s="6" t="s">
        <v>1436</v>
      </c>
    </row>
    <row r="462" spans="1:2" ht="15.75" hidden="1" customHeight="1" x14ac:dyDescent="0.25">
      <c r="A462" s="6">
        <v>30001</v>
      </c>
      <c r="B462" s="6" t="s">
        <v>1268</v>
      </c>
    </row>
    <row r="463" spans="1:2" ht="15.75" hidden="1" customHeight="1" x14ac:dyDescent="0.25">
      <c r="A463" s="6">
        <v>30002</v>
      </c>
      <c r="B463" s="6" t="s">
        <v>1267</v>
      </c>
    </row>
    <row r="464" spans="1:2" ht="15.75" hidden="1" customHeight="1" x14ac:dyDescent="0.25">
      <c r="A464" s="6">
        <v>32004</v>
      </c>
      <c r="B464" s="6" t="s">
        <v>911</v>
      </c>
    </row>
    <row r="465" spans="1:2" ht="15.75" hidden="1" customHeight="1" x14ac:dyDescent="0.25">
      <c r="A465" s="6">
        <v>32005</v>
      </c>
      <c r="B465" s="6" t="s">
        <v>708</v>
      </c>
    </row>
    <row r="466" spans="1:2" ht="15.75" hidden="1" customHeight="1" x14ac:dyDescent="0.25">
      <c r="A466" s="6">
        <v>32011</v>
      </c>
      <c r="B466" s="6" t="s">
        <v>1182</v>
      </c>
    </row>
    <row r="467" spans="1:2" ht="15.75" hidden="1" customHeight="1" x14ac:dyDescent="0.25">
      <c r="A467" s="6">
        <v>32017</v>
      </c>
      <c r="B467" s="6" t="s">
        <v>1187</v>
      </c>
    </row>
    <row r="468" spans="1:2" ht="15.75" hidden="1" customHeight="1" x14ac:dyDescent="0.25">
      <c r="A468" s="6">
        <v>32018</v>
      </c>
      <c r="B468" s="6" t="s">
        <v>1186</v>
      </c>
    </row>
    <row r="469" spans="1:2" ht="15.75" hidden="1" customHeight="1" x14ac:dyDescent="0.25">
      <c r="A469" s="6">
        <v>32024</v>
      </c>
      <c r="B469" s="6" t="s">
        <v>721</v>
      </c>
    </row>
    <row r="470" spans="1:2" ht="15.75" hidden="1" customHeight="1" x14ac:dyDescent="0.25">
      <c r="A470" s="6">
        <v>32026</v>
      </c>
      <c r="B470" s="6" t="s">
        <v>980</v>
      </c>
    </row>
    <row r="471" spans="1:2" ht="15.75" hidden="1" customHeight="1" x14ac:dyDescent="0.25">
      <c r="A471" s="6">
        <v>32030</v>
      </c>
      <c r="B471" s="6" t="s">
        <v>729</v>
      </c>
    </row>
    <row r="472" spans="1:2" ht="15.75" hidden="1" customHeight="1" x14ac:dyDescent="0.25">
      <c r="A472" s="6">
        <v>32031</v>
      </c>
      <c r="B472" s="6" t="s">
        <v>1181</v>
      </c>
    </row>
    <row r="473" spans="1:2" ht="15.75" hidden="1" customHeight="1" x14ac:dyDescent="0.25">
      <c r="A473" s="6">
        <v>32032</v>
      </c>
      <c r="B473" s="6" t="s">
        <v>1188</v>
      </c>
    </row>
    <row r="474" spans="1:2" ht="15.75" hidden="1" customHeight="1" x14ac:dyDescent="0.25">
      <c r="A474" s="6">
        <v>32054</v>
      </c>
      <c r="B474" s="6" t="s">
        <v>1266</v>
      </c>
    </row>
    <row r="475" spans="1:2" ht="15.75" hidden="1" customHeight="1" x14ac:dyDescent="0.25">
      <c r="A475" s="6">
        <v>32057</v>
      </c>
      <c r="B475" s="6" t="s">
        <v>1433</v>
      </c>
    </row>
    <row r="476" spans="1:2" ht="15.75" hidden="1" customHeight="1" x14ac:dyDescent="0.25">
      <c r="A476" s="6">
        <v>32063</v>
      </c>
      <c r="B476" s="6" t="s">
        <v>1106</v>
      </c>
    </row>
    <row r="477" spans="1:2" ht="15.75" hidden="1" customHeight="1" x14ac:dyDescent="0.25">
      <c r="A477" s="6">
        <v>32068</v>
      </c>
      <c r="B477" s="6" t="s">
        <v>1002</v>
      </c>
    </row>
    <row r="478" spans="1:2" ht="15.75" hidden="1" customHeight="1" x14ac:dyDescent="0.25">
      <c r="A478" s="6">
        <v>32069</v>
      </c>
      <c r="B478" s="6" t="s">
        <v>1004</v>
      </c>
    </row>
    <row r="479" spans="1:2" ht="15.75" hidden="1" customHeight="1" x14ac:dyDescent="0.25">
      <c r="A479" s="6">
        <v>32070</v>
      </c>
      <c r="B479" s="6" t="s">
        <v>938</v>
      </c>
    </row>
    <row r="480" spans="1:2" ht="15.75" hidden="1" customHeight="1" x14ac:dyDescent="0.25">
      <c r="A480" s="6">
        <v>32071</v>
      </c>
      <c r="B480" s="6" t="s">
        <v>706</v>
      </c>
    </row>
    <row r="481" spans="1:2" ht="15.75" hidden="1" customHeight="1" x14ac:dyDescent="0.25">
      <c r="A481" s="6">
        <v>32072</v>
      </c>
      <c r="B481" s="6" t="s">
        <v>1207</v>
      </c>
    </row>
    <row r="482" spans="1:2" ht="15.75" hidden="1" customHeight="1" x14ac:dyDescent="0.25">
      <c r="A482" s="6">
        <v>32089</v>
      </c>
      <c r="B482" s="6" t="s">
        <v>964</v>
      </c>
    </row>
    <row r="483" spans="1:2" ht="15.75" hidden="1" customHeight="1" x14ac:dyDescent="0.25">
      <c r="A483" s="6">
        <v>32090</v>
      </c>
      <c r="B483" s="6" t="s">
        <v>965</v>
      </c>
    </row>
    <row r="484" spans="1:2" ht="15.75" hidden="1" customHeight="1" x14ac:dyDescent="0.25">
      <c r="A484" s="6">
        <v>32102</v>
      </c>
      <c r="B484" s="6" t="s">
        <v>855</v>
      </c>
    </row>
    <row r="485" spans="1:2" ht="15.75" hidden="1" customHeight="1" x14ac:dyDescent="0.25">
      <c r="A485" s="6">
        <v>32103</v>
      </c>
      <c r="B485" s="6" t="s">
        <v>757</v>
      </c>
    </row>
    <row r="486" spans="1:2" ht="15.75" hidden="1" customHeight="1" x14ac:dyDescent="0.25">
      <c r="A486" s="6">
        <v>32110</v>
      </c>
      <c r="B486" s="6" t="s">
        <v>1177</v>
      </c>
    </row>
    <row r="487" spans="1:2" ht="15.75" hidden="1" customHeight="1" x14ac:dyDescent="0.25">
      <c r="A487" s="6">
        <v>32118</v>
      </c>
      <c r="B487" s="6" t="s">
        <v>726</v>
      </c>
    </row>
    <row r="488" spans="1:2" ht="15.75" hidden="1" customHeight="1" x14ac:dyDescent="0.25">
      <c r="A488" s="6">
        <v>32119</v>
      </c>
      <c r="B488" s="6" t="s">
        <v>724</v>
      </c>
    </row>
    <row r="489" spans="1:2" ht="15.75" hidden="1" customHeight="1" x14ac:dyDescent="0.25">
      <c r="A489" s="6">
        <v>32120</v>
      </c>
      <c r="B489" s="6" t="s">
        <v>725</v>
      </c>
    </row>
    <row r="490" spans="1:2" ht="15.75" hidden="1" customHeight="1" x14ac:dyDescent="0.25">
      <c r="A490" s="6">
        <v>32122</v>
      </c>
      <c r="B490" s="6" t="s">
        <v>1205</v>
      </c>
    </row>
    <row r="491" spans="1:2" ht="15.75" hidden="1" customHeight="1" x14ac:dyDescent="0.25">
      <c r="A491" s="6">
        <v>32124</v>
      </c>
      <c r="B491" s="6" t="s">
        <v>1185</v>
      </c>
    </row>
    <row r="492" spans="1:2" ht="15.75" hidden="1" customHeight="1" x14ac:dyDescent="0.25">
      <c r="A492" s="6">
        <v>32128</v>
      </c>
      <c r="B492" s="6" t="s">
        <v>1259</v>
      </c>
    </row>
    <row r="493" spans="1:2" ht="15.75" hidden="1" customHeight="1" x14ac:dyDescent="0.25">
      <c r="A493" s="6">
        <v>32129</v>
      </c>
      <c r="B493" s="6" t="s">
        <v>1258</v>
      </c>
    </row>
    <row r="494" spans="1:2" ht="15.75" hidden="1" customHeight="1" x14ac:dyDescent="0.25">
      <c r="A494" s="6">
        <v>32131</v>
      </c>
      <c r="B494" s="6" t="s">
        <v>1197</v>
      </c>
    </row>
    <row r="495" spans="1:2" ht="15.75" hidden="1" customHeight="1" x14ac:dyDescent="0.25">
      <c r="A495" s="6">
        <v>32132</v>
      </c>
      <c r="B495" s="6" t="s">
        <v>1198</v>
      </c>
    </row>
    <row r="496" spans="1:2" ht="15.75" hidden="1" customHeight="1" x14ac:dyDescent="0.25">
      <c r="A496" s="6">
        <v>32133</v>
      </c>
      <c r="B496" s="6" t="s">
        <v>1195</v>
      </c>
    </row>
    <row r="497" spans="1:2" ht="15.75" hidden="1" customHeight="1" x14ac:dyDescent="0.25">
      <c r="A497" s="6">
        <v>32134</v>
      </c>
      <c r="B497" s="6" t="s">
        <v>1200</v>
      </c>
    </row>
    <row r="498" spans="1:2" ht="15.75" hidden="1" customHeight="1" x14ac:dyDescent="0.25">
      <c r="A498" s="6">
        <v>32135</v>
      </c>
      <c r="B498" s="6" t="s">
        <v>936</v>
      </c>
    </row>
    <row r="499" spans="1:2" ht="15.75" hidden="1" customHeight="1" x14ac:dyDescent="0.25">
      <c r="A499" s="6">
        <v>32136</v>
      </c>
      <c r="B499" s="6" t="s">
        <v>931</v>
      </c>
    </row>
    <row r="500" spans="1:2" ht="15.75" hidden="1" customHeight="1" x14ac:dyDescent="0.25">
      <c r="A500" s="6">
        <v>32139</v>
      </c>
      <c r="B500" s="6" t="s">
        <v>1587</v>
      </c>
    </row>
    <row r="501" spans="1:2" ht="15.75" hidden="1" customHeight="1" x14ac:dyDescent="0.25">
      <c r="A501" s="6">
        <v>32140</v>
      </c>
      <c r="B501" s="6" t="s">
        <v>1588</v>
      </c>
    </row>
    <row r="502" spans="1:2" ht="15.75" hidden="1" customHeight="1" x14ac:dyDescent="0.25">
      <c r="A502" s="6">
        <v>32141</v>
      </c>
      <c r="B502" s="6" t="s">
        <v>1193</v>
      </c>
    </row>
    <row r="503" spans="1:2" ht="15.75" hidden="1" customHeight="1" x14ac:dyDescent="0.25">
      <c r="A503" s="6">
        <v>32142</v>
      </c>
      <c r="B503" s="6" t="s">
        <v>915</v>
      </c>
    </row>
    <row r="504" spans="1:2" ht="15.75" hidden="1" customHeight="1" x14ac:dyDescent="0.25">
      <c r="A504" s="6">
        <v>32143</v>
      </c>
      <c r="B504" s="6" t="s">
        <v>916</v>
      </c>
    </row>
    <row r="505" spans="1:2" ht="15.75" hidden="1" customHeight="1" x14ac:dyDescent="0.25">
      <c r="A505" s="6">
        <v>32144</v>
      </c>
      <c r="B505" s="6" t="s">
        <v>926</v>
      </c>
    </row>
    <row r="506" spans="1:2" ht="15.75" hidden="1" customHeight="1" x14ac:dyDescent="0.25">
      <c r="A506" s="6">
        <v>32145</v>
      </c>
      <c r="B506" s="6" t="s">
        <v>1003</v>
      </c>
    </row>
    <row r="507" spans="1:2" ht="15.75" hidden="1" customHeight="1" x14ac:dyDescent="0.25">
      <c r="A507" s="6">
        <v>32146</v>
      </c>
      <c r="B507" s="6" t="s">
        <v>999</v>
      </c>
    </row>
    <row r="508" spans="1:2" ht="15.75" hidden="1" customHeight="1" x14ac:dyDescent="0.25">
      <c r="A508" s="6">
        <v>32147</v>
      </c>
      <c r="B508" s="6" t="s">
        <v>727</v>
      </c>
    </row>
    <row r="509" spans="1:2" ht="15.75" hidden="1" customHeight="1" x14ac:dyDescent="0.25">
      <c r="A509" s="6">
        <v>32148</v>
      </c>
      <c r="B509" s="6" t="s">
        <v>730</v>
      </c>
    </row>
    <row r="510" spans="1:2" ht="15.75" hidden="1" customHeight="1" x14ac:dyDescent="0.25">
      <c r="A510" s="6">
        <v>32149</v>
      </c>
      <c r="B510" s="6" t="s">
        <v>982</v>
      </c>
    </row>
    <row r="511" spans="1:2" ht="15.75" hidden="1" customHeight="1" x14ac:dyDescent="0.25">
      <c r="A511" s="6">
        <v>32150</v>
      </c>
      <c r="B511" s="6" t="s">
        <v>733</v>
      </c>
    </row>
    <row r="512" spans="1:2" ht="15.75" hidden="1" customHeight="1" x14ac:dyDescent="0.25">
      <c r="A512" s="6">
        <v>32151</v>
      </c>
      <c r="B512" s="6" t="s">
        <v>732</v>
      </c>
    </row>
    <row r="513" spans="1:2" ht="15.75" hidden="1" customHeight="1" x14ac:dyDescent="0.25">
      <c r="A513" s="6">
        <v>32152</v>
      </c>
      <c r="B513" s="6" t="s">
        <v>923</v>
      </c>
    </row>
    <row r="514" spans="1:2" ht="15.75" hidden="1" customHeight="1" x14ac:dyDescent="0.25">
      <c r="A514" s="6">
        <v>32153</v>
      </c>
      <c r="B514" s="6" t="s">
        <v>928</v>
      </c>
    </row>
    <row r="515" spans="1:2" ht="15.75" hidden="1" customHeight="1" x14ac:dyDescent="0.25">
      <c r="A515" s="6">
        <v>32154</v>
      </c>
      <c r="B515" s="6" t="s">
        <v>921</v>
      </c>
    </row>
    <row r="516" spans="1:2" ht="15.75" hidden="1" customHeight="1" x14ac:dyDescent="0.25">
      <c r="A516" s="6">
        <v>32155</v>
      </c>
      <c r="B516" s="6" t="s">
        <v>737</v>
      </c>
    </row>
    <row r="517" spans="1:2" ht="15.75" hidden="1" customHeight="1" x14ac:dyDescent="0.25">
      <c r="A517" s="6">
        <v>32156</v>
      </c>
      <c r="B517" s="6" t="s">
        <v>736</v>
      </c>
    </row>
    <row r="518" spans="1:2" ht="15.75" hidden="1" customHeight="1" x14ac:dyDescent="0.25">
      <c r="A518" s="6">
        <v>32157</v>
      </c>
      <c r="B518" s="6" t="s">
        <v>1211</v>
      </c>
    </row>
    <row r="519" spans="1:2" ht="15.75" hidden="1" customHeight="1" x14ac:dyDescent="0.25">
      <c r="A519" s="6">
        <v>32158</v>
      </c>
      <c r="B519" s="6" t="s">
        <v>1189</v>
      </c>
    </row>
    <row r="520" spans="1:2" ht="15.75" hidden="1" customHeight="1" x14ac:dyDescent="0.25">
      <c r="A520" s="6">
        <v>32159</v>
      </c>
      <c r="B520" s="6" t="s">
        <v>1194</v>
      </c>
    </row>
    <row r="521" spans="1:2" ht="15.75" hidden="1" customHeight="1" x14ac:dyDescent="0.25">
      <c r="A521" s="6">
        <v>32160</v>
      </c>
      <c r="B521" s="6" t="s">
        <v>1204</v>
      </c>
    </row>
    <row r="522" spans="1:2" ht="15.75" hidden="1" customHeight="1" x14ac:dyDescent="0.25">
      <c r="A522" s="6">
        <v>32161</v>
      </c>
      <c r="B522" s="6" t="s">
        <v>1434</v>
      </c>
    </row>
    <row r="523" spans="1:2" ht="15.75" hidden="1" customHeight="1" x14ac:dyDescent="0.25">
      <c r="A523" s="6">
        <v>32162</v>
      </c>
      <c r="B523" s="6" t="s">
        <v>707</v>
      </c>
    </row>
    <row r="524" spans="1:2" ht="15.75" hidden="1" customHeight="1" x14ac:dyDescent="0.25">
      <c r="A524" s="6">
        <v>32163</v>
      </c>
      <c r="B524" s="6" t="s">
        <v>1001</v>
      </c>
    </row>
    <row r="525" spans="1:2" ht="15.75" hidden="1" customHeight="1" x14ac:dyDescent="0.25">
      <c r="A525" s="6">
        <v>32164</v>
      </c>
      <c r="B525" s="6" t="s">
        <v>1000</v>
      </c>
    </row>
    <row r="526" spans="1:2" ht="15.75" hidden="1" customHeight="1" x14ac:dyDescent="0.25">
      <c r="A526" s="6">
        <v>32165</v>
      </c>
      <c r="B526" s="6" t="s">
        <v>925</v>
      </c>
    </row>
    <row r="527" spans="1:2" ht="15.75" hidden="1" customHeight="1" x14ac:dyDescent="0.25">
      <c r="A527" s="6">
        <v>32166</v>
      </c>
      <c r="B527" s="6" t="s">
        <v>930</v>
      </c>
    </row>
    <row r="528" spans="1:2" ht="15.75" hidden="1" customHeight="1" x14ac:dyDescent="0.25">
      <c r="A528" s="6">
        <v>32167</v>
      </c>
      <c r="B528" s="6" t="s">
        <v>912</v>
      </c>
    </row>
    <row r="529" spans="1:2" ht="15.75" hidden="1" customHeight="1" x14ac:dyDescent="0.25">
      <c r="A529" s="6">
        <v>32168</v>
      </c>
      <c r="B529" s="6" t="s">
        <v>734</v>
      </c>
    </row>
    <row r="530" spans="1:2" ht="15.75" hidden="1" customHeight="1" x14ac:dyDescent="0.25">
      <c r="A530" s="6">
        <v>32169</v>
      </c>
      <c r="B530" s="6" t="s">
        <v>1206</v>
      </c>
    </row>
    <row r="531" spans="1:2" ht="15.75" hidden="1" customHeight="1" x14ac:dyDescent="0.25">
      <c r="A531" s="6">
        <v>32170</v>
      </c>
      <c r="B531" s="6" t="s">
        <v>927</v>
      </c>
    </row>
    <row r="532" spans="1:2" ht="15.75" hidden="1" customHeight="1" x14ac:dyDescent="0.25">
      <c r="A532" s="6">
        <v>32171</v>
      </c>
      <c r="B532" s="6" t="s">
        <v>922</v>
      </c>
    </row>
    <row r="533" spans="1:2" ht="15.75" hidden="1" customHeight="1" x14ac:dyDescent="0.25">
      <c r="A533" s="6">
        <v>32172</v>
      </c>
      <c r="B533" s="6" t="s">
        <v>929</v>
      </c>
    </row>
    <row r="534" spans="1:2" ht="15.75" hidden="1" customHeight="1" x14ac:dyDescent="0.25">
      <c r="A534" s="6">
        <v>32173</v>
      </c>
      <c r="B534" s="6" t="s">
        <v>924</v>
      </c>
    </row>
    <row r="535" spans="1:2" ht="15.75" hidden="1" customHeight="1" x14ac:dyDescent="0.25">
      <c r="A535" s="6">
        <v>32174</v>
      </c>
      <c r="B535" s="6" t="s">
        <v>1196</v>
      </c>
    </row>
    <row r="536" spans="1:2" ht="15.75" hidden="1" customHeight="1" x14ac:dyDescent="0.25">
      <c r="A536" s="6">
        <v>32175</v>
      </c>
      <c r="B536" s="6" t="s">
        <v>1180</v>
      </c>
    </row>
    <row r="537" spans="1:2" ht="15.75" hidden="1" customHeight="1" x14ac:dyDescent="0.25">
      <c r="A537" s="6">
        <v>32176</v>
      </c>
      <c r="B537" s="6" t="s">
        <v>1202</v>
      </c>
    </row>
    <row r="538" spans="1:2" ht="15.75" hidden="1" customHeight="1" x14ac:dyDescent="0.25">
      <c r="A538" s="6">
        <v>32177</v>
      </c>
      <c r="B538" s="6" t="s">
        <v>731</v>
      </c>
    </row>
    <row r="539" spans="1:2" ht="15.75" hidden="1" customHeight="1" x14ac:dyDescent="0.25">
      <c r="A539" s="6">
        <v>32178</v>
      </c>
      <c r="B539" s="6" t="s">
        <v>890</v>
      </c>
    </row>
    <row r="540" spans="1:2" ht="15.75" hidden="1" customHeight="1" x14ac:dyDescent="0.25">
      <c r="A540" s="6">
        <v>32179</v>
      </c>
      <c r="B540" s="6" t="s">
        <v>881</v>
      </c>
    </row>
    <row r="541" spans="1:2" ht="15.75" hidden="1" customHeight="1" x14ac:dyDescent="0.25">
      <c r="A541" s="6">
        <v>32180</v>
      </c>
      <c r="B541" s="6" t="s">
        <v>892</v>
      </c>
    </row>
    <row r="542" spans="1:2" ht="15.75" hidden="1" customHeight="1" x14ac:dyDescent="0.25">
      <c r="A542" s="6">
        <v>32181</v>
      </c>
      <c r="B542" s="6" t="s">
        <v>883</v>
      </c>
    </row>
    <row r="543" spans="1:2" ht="15.75" hidden="1" customHeight="1" x14ac:dyDescent="0.25">
      <c r="A543" s="6">
        <v>32182</v>
      </c>
      <c r="B543" s="6" t="s">
        <v>887</v>
      </c>
    </row>
    <row r="544" spans="1:2" ht="15.75" hidden="1" customHeight="1" x14ac:dyDescent="0.25">
      <c r="A544" s="6">
        <v>32183</v>
      </c>
      <c r="B544" s="6" t="s">
        <v>1183</v>
      </c>
    </row>
    <row r="545" spans="1:2" ht="15.75" hidden="1" customHeight="1" x14ac:dyDescent="0.25">
      <c r="A545" s="6">
        <v>32184</v>
      </c>
      <c r="B545" s="6" t="s">
        <v>933</v>
      </c>
    </row>
    <row r="546" spans="1:2" ht="15.75" hidden="1" customHeight="1" x14ac:dyDescent="0.25">
      <c r="A546" s="6">
        <v>32185</v>
      </c>
      <c r="B546" s="6" t="s">
        <v>919</v>
      </c>
    </row>
    <row r="547" spans="1:2" ht="15.75" hidden="1" customHeight="1" x14ac:dyDescent="0.25">
      <c r="A547" s="6">
        <v>32186</v>
      </c>
      <c r="B547" s="6" t="s">
        <v>920</v>
      </c>
    </row>
    <row r="548" spans="1:2" ht="15.75" hidden="1" customHeight="1" x14ac:dyDescent="0.25">
      <c r="A548" s="6">
        <v>32187</v>
      </c>
      <c r="B548" s="6" t="s">
        <v>981</v>
      </c>
    </row>
    <row r="549" spans="1:2" ht="15.75" hidden="1" customHeight="1" x14ac:dyDescent="0.25">
      <c r="A549" s="6">
        <v>32188</v>
      </c>
      <c r="B549" s="6" t="s">
        <v>880</v>
      </c>
    </row>
    <row r="550" spans="1:2" ht="15.75" hidden="1" customHeight="1" x14ac:dyDescent="0.25">
      <c r="A550" s="6">
        <v>32189</v>
      </c>
      <c r="B550" s="6" t="s">
        <v>885</v>
      </c>
    </row>
    <row r="551" spans="1:2" ht="15.75" hidden="1" customHeight="1" x14ac:dyDescent="0.25">
      <c r="A551" s="6">
        <v>32190</v>
      </c>
      <c r="B551" s="6" t="s">
        <v>728</v>
      </c>
    </row>
    <row r="552" spans="1:2" ht="15.75" hidden="1" customHeight="1" x14ac:dyDescent="0.25">
      <c r="A552" s="6">
        <v>32191</v>
      </c>
      <c r="B552" s="6" t="s">
        <v>1192</v>
      </c>
    </row>
    <row r="553" spans="1:2" ht="15.75" hidden="1" customHeight="1" x14ac:dyDescent="0.25">
      <c r="A553" s="6">
        <v>32192</v>
      </c>
      <c r="B553" s="6" t="s">
        <v>1191</v>
      </c>
    </row>
    <row r="554" spans="1:2" ht="15.75" hidden="1" customHeight="1" x14ac:dyDescent="0.25">
      <c r="A554" s="6">
        <v>32193</v>
      </c>
      <c r="B554" s="6" t="s">
        <v>1212</v>
      </c>
    </row>
    <row r="555" spans="1:2" ht="15.75" hidden="1" customHeight="1" x14ac:dyDescent="0.25">
      <c r="A555" s="6">
        <v>32194</v>
      </c>
      <c r="B555" s="6" t="s">
        <v>891</v>
      </c>
    </row>
    <row r="556" spans="1:2" ht="15.75" hidden="1" customHeight="1" x14ac:dyDescent="0.25">
      <c r="A556" s="6">
        <v>32195</v>
      </c>
      <c r="B556" s="6" t="s">
        <v>886</v>
      </c>
    </row>
    <row r="557" spans="1:2" ht="15.75" hidden="1" customHeight="1" x14ac:dyDescent="0.25">
      <c r="A557" s="6">
        <v>32196</v>
      </c>
      <c r="B557" s="6" t="s">
        <v>882</v>
      </c>
    </row>
    <row r="558" spans="1:2" ht="15.75" hidden="1" customHeight="1" x14ac:dyDescent="0.25">
      <c r="A558" s="6">
        <v>32197</v>
      </c>
      <c r="B558" s="6" t="s">
        <v>486</v>
      </c>
    </row>
    <row r="559" spans="1:2" ht="15.75" hidden="1" customHeight="1" x14ac:dyDescent="0.25">
      <c r="A559" s="6">
        <v>32198</v>
      </c>
      <c r="B559" s="6" t="s">
        <v>1210</v>
      </c>
    </row>
    <row r="560" spans="1:2" ht="15.75" hidden="1" customHeight="1" x14ac:dyDescent="0.25">
      <c r="A560" s="6">
        <v>32199</v>
      </c>
      <c r="B560" s="6" t="s">
        <v>979</v>
      </c>
    </row>
    <row r="561" spans="1:2" ht="15.75" hidden="1" customHeight="1" x14ac:dyDescent="0.25">
      <c r="A561" s="6">
        <v>32200</v>
      </c>
      <c r="B561" s="6" t="s">
        <v>917</v>
      </c>
    </row>
    <row r="562" spans="1:2" ht="15.75" hidden="1" customHeight="1" x14ac:dyDescent="0.25">
      <c r="A562" s="6">
        <v>32201</v>
      </c>
      <c r="B562" s="6" t="s">
        <v>1208</v>
      </c>
    </row>
    <row r="563" spans="1:2" ht="15.75" hidden="1" customHeight="1" x14ac:dyDescent="0.25">
      <c r="A563" s="6">
        <v>32202</v>
      </c>
      <c r="B563" s="6" t="s">
        <v>1199</v>
      </c>
    </row>
    <row r="564" spans="1:2" ht="15.75" hidden="1" customHeight="1" x14ac:dyDescent="0.25">
      <c r="A564" s="6">
        <v>32203</v>
      </c>
      <c r="B564" s="6" t="s">
        <v>888</v>
      </c>
    </row>
    <row r="565" spans="1:2" ht="15.75" hidden="1" customHeight="1" x14ac:dyDescent="0.25">
      <c r="A565" s="6">
        <v>32204</v>
      </c>
      <c r="B565" s="6" t="s">
        <v>735</v>
      </c>
    </row>
    <row r="566" spans="1:2" ht="15.75" hidden="1" customHeight="1" x14ac:dyDescent="0.25">
      <c r="A566" s="6">
        <v>32205</v>
      </c>
      <c r="B566" s="6" t="s">
        <v>723</v>
      </c>
    </row>
    <row r="567" spans="1:2" ht="15.75" hidden="1" customHeight="1" x14ac:dyDescent="0.25">
      <c r="A567" s="6">
        <v>32206</v>
      </c>
      <c r="B567" s="6" t="s">
        <v>1184</v>
      </c>
    </row>
    <row r="568" spans="1:2" ht="15.75" hidden="1" customHeight="1" x14ac:dyDescent="0.25">
      <c r="A568" s="6">
        <v>32207</v>
      </c>
      <c r="B568" s="6" t="s">
        <v>1179</v>
      </c>
    </row>
    <row r="569" spans="1:2" ht="15.75" hidden="1" customHeight="1" x14ac:dyDescent="0.25">
      <c r="A569" s="6">
        <v>32208</v>
      </c>
      <c r="B569" s="6" t="s">
        <v>889</v>
      </c>
    </row>
    <row r="570" spans="1:2" ht="15.75" hidden="1" customHeight="1" x14ac:dyDescent="0.25">
      <c r="A570" s="6">
        <v>32209</v>
      </c>
      <c r="B570" s="6" t="s">
        <v>879</v>
      </c>
    </row>
    <row r="571" spans="1:2" ht="15.75" hidden="1" customHeight="1" x14ac:dyDescent="0.25">
      <c r="A571" s="6">
        <v>32210</v>
      </c>
      <c r="B571" s="6" t="s">
        <v>884</v>
      </c>
    </row>
    <row r="572" spans="1:2" ht="15.75" hidden="1" customHeight="1" x14ac:dyDescent="0.25">
      <c r="A572" s="6">
        <v>32211</v>
      </c>
      <c r="B572" s="6" t="s">
        <v>722</v>
      </c>
    </row>
    <row r="573" spans="1:2" ht="15.75" hidden="1" customHeight="1" x14ac:dyDescent="0.25">
      <c r="A573" s="6">
        <v>32212</v>
      </c>
      <c r="B573" s="6" t="s">
        <v>913</v>
      </c>
    </row>
    <row r="574" spans="1:2" ht="15.75" hidden="1" customHeight="1" x14ac:dyDescent="0.25">
      <c r="A574" s="6">
        <v>32213</v>
      </c>
      <c r="B574" s="6" t="s">
        <v>1435</v>
      </c>
    </row>
    <row r="575" spans="1:2" ht="15.75" hidden="1" customHeight="1" x14ac:dyDescent="0.25">
      <c r="A575" s="6">
        <v>32214</v>
      </c>
      <c r="B575" s="6" t="s">
        <v>934</v>
      </c>
    </row>
    <row r="576" spans="1:2" ht="15.75" hidden="1" customHeight="1" x14ac:dyDescent="0.25">
      <c r="A576" s="6">
        <v>32215</v>
      </c>
      <c r="B576" s="6" t="s">
        <v>1209</v>
      </c>
    </row>
    <row r="577" spans="1:2" ht="15.75" hidden="1" customHeight="1" x14ac:dyDescent="0.25">
      <c r="A577" s="6">
        <v>32216</v>
      </c>
      <c r="B577" s="6" t="s">
        <v>918</v>
      </c>
    </row>
    <row r="578" spans="1:2" ht="15.75" hidden="1" customHeight="1" x14ac:dyDescent="0.25">
      <c r="A578" s="6">
        <v>32217</v>
      </c>
      <c r="B578" s="6" t="s">
        <v>932</v>
      </c>
    </row>
    <row r="579" spans="1:2" ht="15.75" hidden="1" customHeight="1" x14ac:dyDescent="0.25">
      <c r="A579" s="6">
        <v>32218</v>
      </c>
      <c r="B579" s="6" t="s">
        <v>1201</v>
      </c>
    </row>
    <row r="580" spans="1:2" ht="15.75" hidden="1" customHeight="1" x14ac:dyDescent="0.25">
      <c r="A580" s="6">
        <v>32219</v>
      </c>
      <c r="B580" s="6" t="s">
        <v>1203</v>
      </c>
    </row>
    <row r="581" spans="1:2" ht="15.75" hidden="1" customHeight="1" x14ac:dyDescent="0.25">
      <c r="A581" s="6">
        <v>32220</v>
      </c>
      <c r="B581" s="6" t="s">
        <v>1190</v>
      </c>
    </row>
    <row r="582" spans="1:2" ht="15.75" hidden="1" customHeight="1" x14ac:dyDescent="0.25">
      <c r="A582" s="6">
        <v>32221</v>
      </c>
      <c r="B582" s="6" t="s">
        <v>1625</v>
      </c>
    </row>
    <row r="583" spans="1:2" ht="15.75" hidden="1" customHeight="1" x14ac:dyDescent="0.25">
      <c r="A583" s="6">
        <v>32222</v>
      </c>
      <c r="B583" s="6" t="s">
        <v>1626</v>
      </c>
    </row>
    <row r="584" spans="1:2" ht="15.75" hidden="1" customHeight="1" x14ac:dyDescent="0.25">
      <c r="A584" s="6">
        <v>32223</v>
      </c>
      <c r="B584" s="6" t="s">
        <v>1627</v>
      </c>
    </row>
    <row r="585" spans="1:2" ht="15.75" hidden="1" customHeight="1" x14ac:dyDescent="0.25">
      <c r="A585" s="6">
        <v>32224</v>
      </c>
      <c r="B585" s="6" t="s">
        <v>1628</v>
      </c>
    </row>
    <row r="586" spans="1:2" ht="15.75" hidden="1" customHeight="1" x14ac:dyDescent="0.25">
      <c r="A586" s="6">
        <v>32225</v>
      </c>
      <c r="B586" s="6" t="s">
        <v>489</v>
      </c>
    </row>
    <row r="587" spans="1:2" ht="15.75" hidden="1" customHeight="1" x14ac:dyDescent="0.25">
      <c r="A587" s="6">
        <v>32226</v>
      </c>
      <c r="B587" s="6" t="s">
        <v>1629</v>
      </c>
    </row>
    <row r="588" spans="1:2" ht="15.75" hidden="1" customHeight="1" x14ac:dyDescent="0.25">
      <c r="A588" s="6">
        <v>32227</v>
      </c>
      <c r="B588" s="6" t="s">
        <v>1630</v>
      </c>
    </row>
    <row r="589" spans="1:2" ht="15.75" hidden="1" customHeight="1" x14ac:dyDescent="0.25">
      <c r="A589" s="6">
        <v>32228</v>
      </c>
      <c r="B589" s="6" t="s">
        <v>1631</v>
      </c>
    </row>
    <row r="590" spans="1:2" ht="15.75" hidden="1" customHeight="1" x14ac:dyDescent="0.25">
      <c r="A590" s="6">
        <v>32229</v>
      </c>
      <c r="B590" s="6" t="s">
        <v>1632</v>
      </c>
    </row>
    <row r="591" spans="1:2" ht="15.75" hidden="1" customHeight="1" x14ac:dyDescent="0.25">
      <c r="A591" s="6">
        <v>32230</v>
      </c>
      <c r="B591" s="6" t="s">
        <v>1633</v>
      </c>
    </row>
    <row r="592" spans="1:2" ht="15.75" hidden="1" customHeight="1" x14ac:dyDescent="0.25">
      <c r="A592" s="6">
        <v>32231</v>
      </c>
      <c r="B592" s="6" t="s">
        <v>1634</v>
      </c>
    </row>
    <row r="593" spans="1:2" ht="15.75" hidden="1" customHeight="1" x14ac:dyDescent="0.25">
      <c r="A593" s="6">
        <v>32232</v>
      </c>
      <c r="B593" s="6" t="s">
        <v>1635</v>
      </c>
    </row>
    <row r="594" spans="1:2" ht="15.75" hidden="1" customHeight="1" x14ac:dyDescent="0.25">
      <c r="A594" s="6">
        <v>32233</v>
      </c>
      <c r="B594" s="6" t="s">
        <v>1636</v>
      </c>
    </row>
    <row r="595" spans="1:2" ht="15.75" hidden="1" customHeight="1" x14ac:dyDescent="0.25">
      <c r="A595" s="6">
        <v>32234</v>
      </c>
      <c r="B595" s="6" t="s">
        <v>1637</v>
      </c>
    </row>
    <row r="596" spans="1:2" ht="15.75" hidden="1" customHeight="1" x14ac:dyDescent="0.25">
      <c r="A596" s="6">
        <v>32235</v>
      </c>
      <c r="B596" s="6" t="s">
        <v>1684</v>
      </c>
    </row>
    <row r="597" spans="1:2" ht="15.75" hidden="1" customHeight="1" x14ac:dyDescent="0.25">
      <c r="A597" s="6">
        <v>32236</v>
      </c>
      <c r="B597" s="6" t="s">
        <v>1685</v>
      </c>
    </row>
    <row r="598" spans="1:2" ht="15.75" hidden="1" customHeight="1" x14ac:dyDescent="0.25">
      <c r="A598" s="6">
        <v>132001</v>
      </c>
      <c r="B598" s="6" t="s">
        <v>182</v>
      </c>
    </row>
    <row r="599" spans="1:2" ht="15.75" hidden="1" customHeight="1" x14ac:dyDescent="0.25">
      <c r="A599" s="6">
        <v>132002</v>
      </c>
      <c r="B599" s="6" t="s">
        <v>935</v>
      </c>
    </row>
    <row r="600" spans="1:2" ht="15.75" hidden="1" customHeight="1" x14ac:dyDescent="0.25">
      <c r="A600" s="6">
        <v>132003</v>
      </c>
      <c r="B600" s="6" t="s">
        <v>1638</v>
      </c>
    </row>
    <row r="601" spans="1:2" ht="15.75" hidden="1" customHeight="1" x14ac:dyDescent="0.25">
      <c r="A601" s="6">
        <v>132004</v>
      </c>
      <c r="B601" s="6" t="s">
        <v>1639</v>
      </c>
    </row>
    <row r="602" spans="1:2" ht="15.75" hidden="1" customHeight="1" x14ac:dyDescent="0.25">
      <c r="A602" s="6">
        <v>132005</v>
      </c>
      <c r="B602" s="6" t="s">
        <v>1640</v>
      </c>
    </row>
    <row r="603" spans="1:2" ht="15.75" hidden="1" customHeight="1" x14ac:dyDescent="0.25">
      <c r="A603" s="6">
        <v>132006</v>
      </c>
      <c r="B603" s="6" t="s">
        <v>1641</v>
      </c>
    </row>
    <row r="604" spans="1:2" ht="15.75" hidden="1" customHeight="1" x14ac:dyDescent="0.25">
      <c r="A604" s="6">
        <v>132007</v>
      </c>
      <c r="B604" s="6" t="s">
        <v>1642</v>
      </c>
    </row>
    <row r="605" spans="1:2" ht="15.75" hidden="1" customHeight="1" x14ac:dyDescent="0.25">
      <c r="A605" s="6">
        <v>132008</v>
      </c>
      <c r="B605" s="6" t="s">
        <v>1643</v>
      </c>
    </row>
    <row r="606" spans="1:2" ht="15.75" hidden="1" customHeight="1" x14ac:dyDescent="0.25">
      <c r="A606" s="6">
        <v>132009</v>
      </c>
      <c r="B606" s="6" t="s">
        <v>1644</v>
      </c>
    </row>
    <row r="607" spans="1:2" ht="15.75" hidden="1" customHeight="1" x14ac:dyDescent="0.25">
      <c r="A607" s="6">
        <v>132022</v>
      </c>
      <c r="B607" s="6" t="s">
        <v>1645</v>
      </c>
    </row>
    <row r="608" spans="1:2" ht="15.75" hidden="1" customHeight="1" x14ac:dyDescent="0.25">
      <c r="A608" s="6">
        <v>132023</v>
      </c>
      <c r="B608" s="6" t="s">
        <v>981</v>
      </c>
    </row>
    <row r="609" spans="1:2" ht="15.75" hidden="1" customHeight="1" x14ac:dyDescent="0.25">
      <c r="A609" s="6">
        <v>332001</v>
      </c>
      <c r="B609" s="6" t="s">
        <v>1686</v>
      </c>
    </row>
    <row r="610" spans="1:2" ht="15.75" hidden="1" customHeight="1" x14ac:dyDescent="0.25">
      <c r="A610" s="6">
        <v>332002</v>
      </c>
      <c r="B610" s="6" t="s">
        <v>1687</v>
      </c>
    </row>
    <row r="611" spans="1:2" ht="15.75" hidden="1" customHeight="1" x14ac:dyDescent="0.25">
      <c r="A611" s="6">
        <v>332003</v>
      </c>
      <c r="B611" s="6" t="s">
        <v>1688</v>
      </c>
    </row>
    <row r="612" spans="1:2" ht="15.75" hidden="1" customHeight="1" x14ac:dyDescent="0.25">
      <c r="A612" s="6">
        <v>332004</v>
      </c>
      <c r="B612" s="6" t="s">
        <v>1689</v>
      </c>
    </row>
    <row r="613" spans="1:2" ht="15.75" hidden="1" customHeight="1" x14ac:dyDescent="0.25">
      <c r="A613" s="6">
        <v>332005</v>
      </c>
      <c r="B613" s="6" t="s">
        <v>1690</v>
      </c>
    </row>
    <row r="614" spans="1:2" ht="15.75" hidden="1" customHeight="1" x14ac:dyDescent="0.25">
      <c r="A614" s="6">
        <v>332006</v>
      </c>
      <c r="B614" s="6" t="s">
        <v>1691</v>
      </c>
    </row>
    <row r="615" spans="1:2" ht="15.75" hidden="1" customHeight="1" x14ac:dyDescent="0.25">
      <c r="A615" s="6">
        <v>33001</v>
      </c>
      <c r="B615" s="6" t="s">
        <v>973</v>
      </c>
    </row>
    <row r="616" spans="1:2" ht="15.75" hidden="1" customHeight="1" x14ac:dyDescent="0.25">
      <c r="A616" s="6">
        <v>434001</v>
      </c>
      <c r="B616" s="6" t="s">
        <v>696</v>
      </c>
    </row>
    <row r="617" spans="1:2" ht="15.75" hidden="1" customHeight="1" x14ac:dyDescent="0.25">
      <c r="A617" s="6">
        <v>434002</v>
      </c>
      <c r="B617" s="6" t="s">
        <v>899</v>
      </c>
    </row>
    <row r="618" spans="1:2" ht="15.75" hidden="1" customHeight="1" x14ac:dyDescent="0.25">
      <c r="A618" s="6">
        <v>434003</v>
      </c>
      <c r="B618" s="6" t="s">
        <v>900</v>
      </c>
    </row>
    <row r="619" spans="1:2" ht="15.75" hidden="1" customHeight="1" x14ac:dyDescent="0.25">
      <c r="A619" s="6">
        <v>434004</v>
      </c>
      <c r="B619" s="6" t="s">
        <v>906</v>
      </c>
    </row>
    <row r="620" spans="1:2" ht="15.75" hidden="1" customHeight="1" x14ac:dyDescent="0.25">
      <c r="A620" s="6">
        <v>434005</v>
      </c>
      <c r="B620" s="6" t="s">
        <v>907</v>
      </c>
    </row>
    <row r="621" spans="1:2" ht="15.75" hidden="1" customHeight="1" x14ac:dyDescent="0.25">
      <c r="A621" s="6">
        <v>434006</v>
      </c>
      <c r="B621" s="6" t="s">
        <v>908</v>
      </c>
    </row>
    <row r="622" spans="1:2" ht="15.75" hidden="1" customHeight="1" x14ac:dyDescent="0.25">
      <c r="A622" s="6">
        <v>434007</v>
      </c>
      <c r="B622" s="6" t="s">
        <v>937</v>
      </c>
    </row>
    <row r="623" spans="1:2" ht="15.75" hidden="1" customHeight="1" x14ac:dyDescent="0.25">
      <c r="A623" s="6">
        <v>434008</v>
      </c>
      <c r="B623" s="6" t="s">
        <v>939</v>
      </c>
    </row>
    <row r="624" spans="1:2" ht="15.75" hidden="1" customHeight="1" x14ac:dyDescent="0.25">
      <c r="A624" s="6">
        <v>434009</v>
      </c>
      <c r="B624" s="6" t="s">
        <v>940</v>
      </c>
    </row>
    <row r="625" spans="1:2" ht="15.75" hidden="1" customHeight="1" x14ac:dyDescent="0.25">
      <c r="A625" s="6">
        <v>434012</v>
      </c>
      <c r="B625" s="6" t="s">
        <v>1047</v>
      </c>
    </row>
    <row r="626" spans="1:2" ht="15.75" hidden="1" customHeight="1" x14ac:dyDescent="0.25">
      <c r="A626" s="6">
        <v>434013</v>
      </c>
      <c r="B626" s="6" t="s">
        <v>1048</v>
      </c>
    </row>
    <row r="627" spans="1:2" ht="15.75" hidden="1" customHeight="1" x14ac:dyDescent="0.25">
      <c r="A627" s="6">
        <v>434014</v>
      </c>
      <c r="B627" s="6" t="s">
        <v>1359</v>
      </c>
    </row>
    <row r="628" spans="1:2" ht="15.75" hidden="1" customHeight="1" x14ac:dyDescent="0.25">
      <c r="A628" s="6">
        <v>434015</v>
      </c>
      <c r="B628" s="6" t="s">
        <v>1360</v>
      </c>
    </row>
    <row r="629" spans="1:2" ht="15.75" hidden="1" customHeight="1" x14ac:dyDescent="0.25">
      <c r="A629" s="6">
        <v>434016</v>
      </c>
      <c r="B629" s="6" t="s">
        <v>1365</v>
      </c>
    </row>
    <row r="630" spans="1:2" ht="15.75" hidden="1" customHeight="1" x14ac:dyDescent="0.25">
      <c r="A630" s="6">
        <v>434017</v>
      </c>
      <c r="B630" s="6" t="s">
        <v>1366</v>
      </c>
    </row>
    <row r="631" spans="1:2" ht="15.75" hidden="1" customHeight="1" x14ac:dyDescent="0.25">
      <c r="A631" s="6">
        <v>434018</v>
      </c>
      <c r="B631" s="6" t="s">
        <v>1376</v>
      </c>
    </row>
    <row r="632" spans="1:2" ht="15.75" hidden="1" customHeight="1" x14ac:dyDescent="0.25">
      <c r="A632" s="6">
        <v>434019</v>
      </c>
      <c r="B632" s="6" t="s">
        <v>1377</v>
      </c>
    </row>
    <row r="633" spans="1:2" ht="15.75" hidden="1" customHeight="1" x14ac:dyDescent="0.25">
      <c r="A633" s="6">
        <v>434020</v>
      </c>
      <c r="B633" s="6" t="s">
        <v>1430</v>
      </c>
    </row>
    <row r="634" spans="1:2" ht="15.75" hidden="1" customHeight="1" x14ac:dyDescent="0.25">
      <c r="A634" s="6">
        <v>434021</v>
      </c>
      <c r="B634" s="6" t="s">
        <v>1431</v>
      </c>
    </row>
    <row r="635" spans="1:2" ht="15.75" hidden="1" customHeight="1" x14ac:dyDescent="0.25">
      <c r="A635" s="6">
        <v>434022</v>
      </c>
      <c r="B635" s="6" t="s">
        <v>1432</v>
      </c>
    </row>
    <row r="636" spans="1:2" ht="15.75" hidden="1" customHeight="1" x14ac:dyDescent="0.25">
      <c r="A636" s="6">
        <v>434023</v>
      </c>
      <c r="B636" s="6" t="s">
        <v>1528</v>
      </c>
    </row>
    <row r="637" spans="1:2" ht="15.75" hidden="1" customHeight="1" x14ac:dyDescent="0.25">
      <c r="A637" s="6">
        <v>434024</v>
      </c>
      <c r="B637" s="6" t="s">
        <v>1529</v>
      </c>
    </row>
    <row r="638" spans="1:2" ht="15.75" hidden="1" customHeight="1" x14ac:dyDescent="0.25">
      <c r="A638" s="6">
        <v>434025</v>
      </c>
      <c r="B638" s="6" t="s">
        <v>1530</v>
      </c>
    </row>
    <row r="639" spans="1:2" ht="15.75" hidden="1" customHeight="1" x14ac:dyDescent="0.25">
      <c r="A639" s="6">
        <v>434026</v>
      </c>
      <c r="B639" s="6" t="s">
        <v>1551</v>
      </c>
    </row>
    <row r="640" spans="1:2" ht="15.75" hidden="1" customHeight="1" x14ac:dyDescent="0.25">
      <c r="A640" s="6">
        <v>434027</v>
      </c>
      <c r="B640" s="6" t="s">
        <v>1552</v>
      </c>
    </row>
    <row r="641" spans="1:2" ht="15.75" hidden="1" customHeight="1" x14ac:dyDescent="0.25">
      <c r="A641" s="6">
        <v>434028</v>
      </c>
      <c r="B641" s="6" t="s">
        <v>1553</v>
      </c>
    </row>
    <row r="642" spans="1:2" ht="15.75" hidden="1" customHeight="1" x14ac:dyDescent="0.25">
      <c r="A642" s="6">
        <v>434029</v>
      </c>
      <c r="B642" s="6" t="s">
        <v>1563</v>
      </c>
    </row>
    <row r="643" spans="1:2" ht="15.75" hidden="1" customHeight="1" x14ac:dyDescent="0.25">
      <c r="A643" s="6">
        <v>434030</v>
      </c>
      <c r="B643" s="6" t="s">
        <v>1564</v>
      </c>
    </row>
    <row r="644" spans="1:2" ht="15.75" hidden="1" customHeight="1" x14ac:dyDescent="0.25">
      <c r="A644" s="6">
        <v>434031</v>
      </c>
      <c r="B644" s="6" t="s">
        <v>1565</v>
      </c>
    </row>
    <row r="645" spans="1:2" ht="15.75" hidden="1" customHeight="1" x14ac:dyDescent="0.25">
      <c r="A645" s="6">
        <v>434032</v>
      </c>
      <c r="B645" s="6" t="s">
        <v>1566</v>
      </c>
    </row>
    <row r="646" spans="1:2" ht="15.75" hidden="1" customHeight="1" x14ac:dyDescent="0.25">
      <c r="A646" s="6">
        <v>434033</v>
      </c>
      <c r="B646" s="6" t="s">
        <v>1568</v>
      </c>
    </row>
    <row r="647" spans="1:2" ht="15.75" hidden="1" customHeight="1" x14ac:dyDescent="0.25">
      <c r="A647" s="6">
        <v>434034</v>
      </c>
      <c r="B647" s="6" t="s">
        <v>1567</v>
      </c>
    </row>
    <row r="648" spans="1:2" ht="15.75" hidden="1" customHeight="1" x14ac:dyDescent="0.25">
      <c r="A648" s="6">
        <v>35001</v>
      </c>
      <c r="B648" s="6" t="s">
        <v>1013</v>
      </c>
    </row>
    <row r="649" spans="1:2" ht="15.75" hidden="1" customHeight="1" x14ac:dyDescent="0.25">
      <c r="A649" s="6">
        <v>35002</v>
      </c>
      <c r="B649" s="6" t="s">
        <v>1014</v>
      </c>
    </row>
    <row r="650" spans="1:2" ht="15.75" hidden="1" customHeight="1" x14ac:dyDescent="0.25">
      <c r="A650" s="6">
        <v>35003</v>
      </c>
      <c r="B650" s="6" t="s">
        <v>1543</v>
      </c>
    </row>
    <row r="651" spans="1:2" ht="15.75" hidden="1" customHeight="1" x14ac:dyDescent="0.25">
      <c r="A651" s="6">
        <v>35004</v>
      </c>
      <c r="B651" s="6" t="s">
        <v>568</v>
      </c>
    </row>
    <row r="652" spans="1:2" ht="15.75" hidden="1" customHeight="1" x14ac:dyDescent="0.25">
      <c r="A652" s="6">
        <v>35005</v>
      </c>
      <c r="B652" s="6" t="s">
        <v>564</v>
      </c>
    </row>
    <row r="653" spans="1:2" ht="15.75" hidden="1" customHeight="1" x14ac:dyDescent="0.25">
      <c r="A653" s="6">
        <v>235003</v>
      </c>
      <c r="B653" s="6" t="s">
        <v>818</v>
      </c>
    </row>
    <row r="654" spans="1:2" ht="15.75" hidden="1" customHeight="1" x14ac:dyDescent="0.25">
      <c r="A654" s="6">
        <v>235004</v>
      </c>
      <c r="B654" s="6" t="s">
        <v>812</v>
      </c>
    </row>
    <row r="655" spans="1:2" ht="15.75" hidden="1" customHeight="1" x14ac:dyDescent="0.25">
      <c r="A655" s="6">
        <v>235005</v>
      </c>
      <c r="B655" s="6" t="s">
        <v>811</v>
      </c>
    </row>
    <row r="656" spans="1:2" ht="15.75" hidden="1" customHeight="1" x14ac:dyDescent="0.25">
      <c r="A656" s="6">
        <v>235006</v>
      </c>
      <c r="B656" s="6" t="s">
        <v>814</v>
      </c>
    </row>
    <row r="657" spans="1:2" ht="15.75" hidden="1" customHeight="1" x14ac:dyDescent="0.25">
      <c r="A657" s="6">
        <v>235007</v>
      </c>
      <c r="B657" s="6" t="s">
        <v>813</v>
      </c>
    </row>
    <row r="658" spans="1:2" ht="15.75" hidden="1" customHeight="1" x14ac:dyDescent="0.25">
      <c r="A658" s="6">
        <v>235008</v>
      </c>
      <c r="B658" s="6" t="s">
        <v>817</v>
      </c>
    </row>
    <row r="659" spans="1:2" ht="15.75" hidden="1" customHeight="1" x14ac:dyDescent="0.25">
      <c r="A659" s="6">
        <v>235009</v>
      </c>
      <c r="B659" s="6" t="s">
        <v>815</v>
      </c>
    </row>
    <row r="660" spans="1:2" ht="15.75" hidden="1" customHeight="1" x14ac:dyDescent="0.25">
      <c r="A660" s="6">
        <v>235010</v>
      </c>
      <c r="B660" s="6" t="s">
        <v>816</v>
      </c>
    </row>
    <row r="661" spans="1:2" ht="15.75" hidden="1" customHeight="1" x14ac:dyDescent="0.25">
      <c r="A661" s="6">
        <v>235011</v>
      </c>
      <c r="B661" s="6" t="s">
        <v>749</v>
      </c>
    </row>
    <row r="662" spans="1:2" ht="15.75" hidden="1" customHeight="1" x14ac:dyDescent="0.25">
      <c r="A662" s="6">
        <v>235012</v>
      </c>
      <c r="B662" s="6" t="s">
        <v>747</v>
      </c>
    </row>
    <row r="663" spans="1:2" ht="15.75" hidden="1" customHeight="1" x14ac:dyDescent="0.25">
      <c r="A663" s="6">
        <v>235013</v>
      </c>
      <c r="B663" s="6" t="s">
        <v>748</v>
      </c>
    </row>
    <row r="664" spans="1:2" ht="15.75" hidden="1" customHeight="1" x14ac:dyDescent="0.25">
      <c r="A664" s="6">
        <v>235014</v>
      </c>
      <c r="B664" s="6" t="s">
        <v>1646</v>
      </c>
    </row>
    <row r="665" spans="1:2" ht="15.75" hidden="1" customHeight="1" x14ac:dyDescent="0.25">
      <c r="A665" s="6">
        <v>235015</v>
      </c>
      <c r="B665" s="6" t="s">
        <v>1647</v>
      </c>
    </row>
    <row r="666" spans="1:2" ht="15.75" hidden="1" customHeight="1" x14ac:dyDescent="0.25">
      <c r="A666" s="6">
        <v>235016</v>
      </c>
      <c r="B666" s="6" t="s">
        <v>1648</v>
      </c>
    </row>
    <row r="667" spans="1:2" ht="15.75" hidden="1" customHeight="1" x14ac:dyDescent="0.25">
      <c r="A667" s="6">
        <v>235017</v>
      </c>
      <c r="B667" s="6" t="s">
        <v>1649</v>
      </c>
    </row>
    <row r="668" spans="1:2" ht="15.75" hidden="1" customHeight="1" x14ac:dyDescent="0.25">
      <c r="A668" s="6">
        <v>236001</v>
      </c>
      <c r="B668" s="6" t="s">
        <v>1394</v>
      </c>
    </row>
    <row r="669" spans="1:2" ht="15.75" hidden="1" customHeight="1" x14ac:dyDescent="0.25">
      <c r="A669" s="6">
        <v>236002</v>
      </c>
      <c r="B669" s="6" t="s">
        <v>1384</v>
      </c>
    </row>
    <row r="670" spans="1:2" ht="15.75" hidden="1" customHeight="1" x14ac:dyDescent="0.25">
      <c r="A670" s="6">
        <v>236003</v>
      </c>
      <c r="B670" s="6" t="s">
        <v>1393</v>
      </c>
    </row>
    <row r="671" spans="1:2" ht="15.75" hidden="1" customHeight="1" x14ac:dyDescent="0.25">
      <c r="A671" s="6">
        <v>236004</v>
      </c>
      <c r="B671" s="6" t="s">
        <v>1395</v>
      </c>
    </row>
    <row r="672" spans="1:2" ht="15.75" hidden="1" customHeight="1" x14ac:dyDescent="0.25">
      <c r="A672" s="6">
        <v>236005</v>
      </c>
      <c r="B672" s="6" t="s">
        <v>1383</v>
      </c>
    </row>
    <row r="673" spans="1:2" ht="15.75" hidden="1" customHeight="1" x14ac:dyDescent="0.25">
      <c r="A673" s="6">
        <v>236006</v>
      </c>
      <c r="B673" s="6" t="s">
        <v>1382</v>
      </c>
    </row>
    <row r="674" spans="1:2" ht="15.75" hidden="1" customHeight="1" x14ac:dyDescent="0.25">
      <c r="A674" s="6">
        <v>37001</v>
      </c>
      <c r="B674" s="6" t="s">
        <v>700</v>
      </c>
    </row>
    <row r="675" spans="1:2" ht="15.75" hidden="1" customHeight="1" x14ac:dyDescent="0.25">
      <c r="A675" s="6">
        <v>37002</v>
      </c>
      <c r="B675" s="6" t="s">
        <v>983</v>
      </c>
    </row>
    <row r="676" spans="1:2" ht="15.75" hidden="1" customHeight="1" x14ac:dyDescent="0.25">
      <c r="A676" s="6">
        <v>37003</v>
      </c>
      <c r="B676" s="6" t="s">
        <v>985</v>
      </c>
    </row>
    <row r="677" spans="1:2" ht="15.75" hidden="1" customHeight="1" x14ac:dyDescent="0.25">
      <c r="A677" s="6">
        <v>37004</v>
      </c>
      <c r="B677" s="6" t="s">
        <v>987</v>
      </c>
    </row>
    <row r="678" spans="1:2" ht="15.75" hidden="1" customHeight="1" x14ac:dyDescent="0.25">
      <c r="A678" s="6">
        <v>37005</v>
      </c>
      <c r="B678" s="6" t="s">
        <v>1455</v>
      </c>
    </row>
    <row r="679" spans="1:2" ht="15.75" hidden="1" customHeight="1" x14ac:dyDescent="0.25">
      <c r="A679" s="6">
        <v>37006</v>
      </c>
      <c r="B679" s="6" t="s">
        <v>1453</v>
      </c>
    </row>
    <row r="680" spans="1:2" ht="15.75" hidden="1" customHeight="1" x14ac:dyDescent="0.25">
      <c r="A680" s="6">
        <v>37007</v>
      </c>
      <c r="B680" s="6" t="s">
        <v>1451</v>
      </c>
    </row>
    <row r="681" spans="1:2" ht="15.75" hidden="1" customHeight="1" x14ac:dyDescent="0.25">
      <c r="A681" s="6">
        <v>37008</v>
      </c>
      <c r="B681" s="6" t="s">
        <v>1456</v>
      </c>
    </row>
    <row r="682" spans="1:2" ht="15.75" hidden="1" customHeight="1" x14ac:dyDescent="0.25">
      <c r="A682" s="6">
        <v>37009</v>
      </c>
      <c r="B682" s="6" t="s">
        <v>1454</v>
      </c>
    </row>
    <row r="683" spans="1:2" ht="15.75" hidden="1" customHeight="1" x14ac:dyDescent="0.25">
      <c r="A683" s="6">
        <v>37010</v>
      </c>
      <c r="B683" s="6" t="s">
        <v>1452</v>
      </c>
    </row>
    <row r="684" spans="1:2" ht="15.75" hidden="1" customHeight="1" x14ac:dyDescent="0.25">
      <c r="A684" s="6">
        <v>37011</v>
      </c>
      <c r="B684" s="6" t="s">
        <v>701</v>
      </c>
    </row>
    <row r="685" spans="1:2" ht="15.75" hidden="1" customHeight="1" x14ac:dyDescent="0.25">
      <c r="A685" s="6">
        <v>37012</v>
      </c>
      <c r="B685" s="6" t="s">
        <v>984</v>
      </c>
    </row>
    <row r="686" spans="1:2" ht="15.75" hidden="1" customHeight="1" x14ac:dyDescent="0.25">
      <c r="A686" s="6">
        <v>37013</v>
      </c>
      <c r="B686" s="6" t="s">
        <v>986</v>
      </c>
    </row>
    <row r="687" spans="1:2" ht="15.75" hidden="1" customHeight="1" x14ac:dyDescent="0.25">
      <c r="A687" s="6">
        <v>37014</v>
      </c>
      <c r="B687" s="6" t="s">
        <v>988</v>
      </c>
    </row>
    <row r="688" spans="1:2" ht="15.75" hidden="1" customHeight="1" x14ac:dyDescent="0.25">
      <c r="A688" s="6">
        <v>37015</v>
      </c>
      <c r="B688" s="6" t="s">
        <v>1362</v>
      </c>
    </row>
    <row r="689" spans="1:2" ht="15.75" hidden="1" customHeight="1" x14ac:dyDescent="0.25">
      <c r="A689" s="6">
        <v>37016</v>
      </c>
      <c r="B689" s="6" t="s">
        <v>1363</v>
      </c>
    </row>
    <row r="690" spans="1:2" ht="15.75" hidden="1" customHeight="1" x14ac:dyDescent="0.25">
      <c r="A690" s="6">
        <v>137017</v>
      </c>
      <c r="B690" s="6" t="s">
        <v>1364</v>
      </c>
    </row>
    <row r="691" spans="1:2" ht="15.75" hidden="1" customHeight="1" x14ac:dyDescent="0.25">
      <c r="A691" s="6">
        <v>338001</v>
      </c>
      <c r="B691" s="6" t="s">
        <v>1091</v>
      </c>
    </row>
    <row r="692" spans="1:2" ht="15.75" hidden="1" customHeight="1" x14ac:dyDescent="0.25">
      <c r="A692" s="6">
        <v>338002</v>
      </c>
      <c r="B692" s="6" t="s">
        <v>1579</v>
      </c>
    </row>
    <row r="693" spans="1:2" ht="15.75" hidden="1" customHeight="1" x14ac:dyDescent="0.25">
      <c r="A693" s="6">
        <v>338003</v>
      </c>
      <c r="B693" s="6" t="s">
        <v>1090</v>
      </c>
    </row>
    <row r="694" spans="1:2" ht="15.75" hidden="1" customHeight="1" x14ac:dyDescent="0.25">
      <c r="A694" s="6">
        <v>338004</v>
      </c>
      <c r="B694" s="6" t="s">
        <v>995</v>
      </c>
    </row>
    <row r="695" spans="1:2" ht="15.75" hidden="1" customHeight="1" x14ac:dyDescent="0.25">
      <c r="A695" s="6">
        <v>338005</v>
      </c>
      <c r="B695" s="6" t="s">
        <v>1072</v>
      </c>
    </row>
    <row r="696" spans="1:2" ht="15.75" hidden="1" customHeight="1" x14ac:dyDescent="0.25">
      <c r="A696" s="6">
        <v>338006</v>
      </c>
      <c r="B696" s="6" t="s">
        <v>1073</v>
      </c>
    </row>
    <row r="697" spans="1:2" ht="15.75" hidden="1" customHeight="1" x14ac:dyDescent="0.25">
      <c r="A697" s="6">
        <v>338007</v>
      </c>
      <c r="B697" s="6" t="s">
        <v>1114</v>
      </c>
    </row>
    <row r="698" spans="1:2" ht="15.75" hidden="1" customHeight="1" x14ac:dyDescent="0.25">
      <c r="A698" s="6">
        <v>338008</v>
      </c>
      <c r="B698" s="6" t="s">
        <v>769</v>
      </c>
    </row>
    <row r="699" spans="1:2" ht="15.75" hidden="1" customHeight="1" x14ac:dyDescent="0.25">
      <c r="A699" s="6">
        <v>338009</v>
      </c>
      <c r="B699" s="6" t="s">
        <v>1590</v>
      </c>
    </row>
    <row r="700" spans="1:2" ht="15.75" hidden="1" customHeight="1" x14ac:dyDescent="0.25">
      <c r="A700" s="6">
        <v>338010</v>
      </c>
      <c r="B700" s="6" t="s">
        <v>1592</v>
      </c>
    </row>
    <row r="701" spans="1:2" ht="15.75" hidden="1" customHeight="1" x14ac:dyDescent="0.25">
      <c r="A701" s="6">
        <v>338011</v>
      </c>
      <c r="B701" s="6" t="s">
        <v>1591</v>
      </c>
    </row>
    <row r="702" spans="1:2" ht="15.75" hidden="1" customHeight="1" x14ac:dyDescent="0.25">
      <c r="A702" s="6">
        <v>338012</v>
      </c>
      <c r="B702" s="6" t="s">
        <v>1593</v>
      </c>
    </row>
    <row r="703" spans="1:2" ht="15.75" hidden="1" customHeight="1" x14ac:dyDescent="0.25">
      <c r="A703" s="6">
        <v>338013</v>
      </c>
      <c r="B703" s="6" t="s">
        <v>1595</v>
      </c>
    </row>
    <row r="704" spans="1:2" ht="15.75" hidden="1" customHeight="1" x14ac:dyDescent="0.25">
      <c r="A704" s="6">
        <v>338014</v>
      </c>
      <c r="B704" s="6" t="s">
        <v>1594</v>
      </c>
    </row>
    <row r="705" spans="1:2" ht="15.75" hidden="1" customHeight="1" x14ac:dyDescent="0.25">
      <c r="A705" s="6">
        <v>338015</v>
      </c>
      <c r="B705" s="6" t="s">
        <v>1078</v>
      </c>
    </row>
    <row r="706" spans="1:2" ht="15.75" hidden="1" customHeight="1" x14ac:dyDescent="0.25">
      <c r="A706" s="6">
        <v>338016</v>
      </c>
      <c r="B706" s="6" t="s">
        <v>1079</v>
      </c>
    </row>
    <row r="707" spans="1:2" ht="15.75" hidden="1" customHeight="1" x14ac:dyDescent="0.25">
      <c r="A707" s="6">
        <v>338017</v>
      </c>
      <c r="B707" s="6" t="s">
        <v>1080</v>
      </c>
    </row>
    <row r="708" spans="1:2" ht="15.75" hidden="1" customHeight="1" x14ac:dyDescent="0.25">
      <c r="A708" s="6">
        <v>338018</v>
      </c>
      <c r="B708" s="6" t="s">
        <v>1076</v>
      </c>
    </row>
    <row r="709" spans="1:2" ht="15.75" hidden="1" customHeight="1" x14ac:dyDescent="0.25">
      <c r="A709" s="6">
        <v>338019</v>
      </c>
      <c r="B709" s="6" t="s">
        <v>1075</v>
      </c>
    </row>
    <row r="710" spans="1:2" ht="15.75" hidden="1" customHeight="1" x14ac:dyDescent="0.25">
      <c r="A710" s="6">
        <v>338020</v>
      </c>
      <c r="B710" s="6" t="s">
        <v>1077</v>
      </c>
    </row>
    <row r="711" spans="1:2" ht="15.75" hidden="1" customHeight="1" x14ac:dyDescent="0.25">
      <c r="A711" s="6">
        <v>338021</v>
      </c>
      <c r="B711" s="6" t="s">
        <v>1081</v>
      </c>
    </row>
    <row r="712" spans="1:2" ht="15.75" hidden="1" customHeight="1" x14ac:dyDescent="0.25">
      <c r="A712" s="6">
        <v>39001</v>
      </c>
      <c r="B712" s="6" t="s">
        <v>1510</v>
      </c>
    </row>
    <row r="713" spans="1:2" ht="15.75" hidden="1" customHeight="1" x14ac:dyDescent="0.25">
      <c r="A713" s="6">
        <v>39002</v>
      </c>
      <c r="B713" s="6" t="s">
        <v>1494</v>
      </c>
    </row>
    <row r="714" spans="1:2" ht="15.75" hidden="1" customHeight="1" x14ac:dyDescent="0.25">
      <c r="A714" s="6">
        <v>39003</v>
      </c>
      <c r="B714" s="6" t="s">
        <v>1520</v>
      </c>
    </row>
    <row r="715" spans="1:2" ht="15.75" hidden="1" customHeight="1" x14ac:dyDescent="0.25">
      <c r="A715" s="6">
        <v>39004</v>
      </c>
      <c r="B715" s="6" t="s">
        <v>1511</v>
      </c>
    </row>
    <row r="716" spans="1:2" ht="15.75" hidden="1" customHeight="1" x14ac:dyDescent="0.25">
      <c r="A716" s="6">
        <v>39005</v>
      </c>
      <c r="B716" s="6" t="s">
        <v>1495</v>
      </c>
    </row>
    <row r="717" spans="1:2" ht="15.75" hidden="1" customHeight="1" x14ac:dyDescent="0.25">
      <c r="A717" s="6">
        <v>39006</v>
      </c>
      <c r="B717" s="6" t="s">
        <v>1521</v>
      </c>
    </row>
    <row r="718" spans="1:2" ht="15.75" hidden="1" customHeight="1" x14ac:dyDescent="0.25">
      <c r="A718" s="6">
        <v>39007</v>
      </c>
      <c r="B718" s="6" t="s">
        <v>1508</v>
      </c>
    </row>
    <row r="719" spans="1:2" ht="15.75" hidden="1" customHeight="1" x14ac:dyDescent="0.25">
      <c r="A719" s="6">
        <v>39008</v>
      </c>
      <c r="B719" s="6" t="s">
        <v>1492</v>
      </c>
    </row>
    <row r="720" spans="1:2" ht="15.75" hidden="1" customHeight="1" x14ac:dyDescent="0.25">
      <c r="A720" s="6">
        <v>39009</v>
      </c>
      <c r="B720" s="6" t="s">
        <v>1518</v>
      </c>
    </row>
    <row r="721" spans="1:2" ht="15.75" hidden="1" customHeight="1" x14ac:dyDescent="0.25">
      <c r="A721" s="6">
        <v>39010</v>
      </c>
      <c r="B721" s="6" t="s">
        <v>1509</v>
      </c>
    </row>
    <row r="722" spans="1:2" ht="15.75" hidden="1" customHeight="1" x14ac:dyDescent="0.25">
      <c r="A722" s="6">
        <v>39011</v>
      </c>
      <c r="B722" s="6" t="s">
        <v>1493</v>
      </c>
    </row>
    <row r="723" spans="1:2" ht="15.75" hidden="1" customHeight="1" x14ac:dyDescent="0.25">
      <c r="A723" s="6">
        <v>39012</v>
      </c>
      <c r="B723" s="6" t="s">
        <v>1519</v>
      </c>
    </row>
    <row r="724" spans="1:2" ht="15.75" hidden="1" customHeight="1" x14ac:dyDescent="0.25">
      <c r="A724" s="6">
        <v>39013</v>
      </c>
      <c r="B724" s="6" t="s">
        <v>1506</v>
      </c>
    </row>
    <row r="725" spans="1:2" ht="15.75" hidden="1" customHeight="1" x14ac:dyDescent="0.25">
      <c r="A725" s="6">
        <v>39014</v>
      </c>
      <c r="B725" s="6" t="s">
        <v>1490</v>
      </c>
    </row>
    <row r="726" spans="1:2" ht="15.75" hidden="1" customHeight="1" x14ac:dyDescent="0.25">
      <c r="A726" s="6">
        <v>39015</v>
      </c>
      <c r="B726" s="6" t="s">
        <v>1516</v>
      </c>
    </row>
    <row r="727" spans="1:2" ht="15.75" hidden="1" customHeight="1" x14ac:dyDescent="0.25">
      <c r="A727" s="6">
        <v>39016</v>
      </c>
      <c r="B727" s="6" t="s">
        <v>1507</v>
      </c>
    </row>
    <row r="728" spans="1:2" ht="15.75" hidden="1" customHeight="1" x14ac:dyDescent="0.25">
      <c r="A728" s="6">
        <v>39017</v>
      </c>
      <c r="B728" s="6" t="s">
        <v>1491</v>
      </c>
    </row>
    <row r="729" spans="1:2" ht="15.75" hidden="1" customHeight="1" x14ac:dyDescent="0.25">
      <c r="A729" s="6">
        <v>39018</v>
      </c>
      <c r="B729" s="6" t="s">
        <v>1517</v>
      </c>
    </row>
    <row r="730" spans="1:2" ht="15.75" hidden="1" customHeight="1" x14ac:dyDescent="0.25">
      <c r="A730" s="6">
        <v>440001</v>
      </c>
      <c r="B730" s="6" t="s">
        <v>796</v>
      </c>
    </row>
    <row r="731" spans="1:2" ht="15.75" hidden="1" customHeight="1" x14ac:dyDescent="0.25">
      <c r="A731" s="6">
        <v>440002</v>
      </c>
      <c r="B731" s="6" t="s">
        <v>802</v>
      </c>
    </row>
    <row r="732" spans="1:2" ht="15.75" hidden="1" customHeight="1" x14ac:dyDescent="0.25">
      <c r="A732" s="6">
        <v>440003</v>
      </c>
      <c r="B732" s="6" t="s">
        <v>797</v>
      </c>
    </row>
    <row r="733" spans="1:2" ht="15.75" hidden="1" customHeight="1" x14ac:dyDescent="0.25">
      <c r="A733" s="6">
        <v>440004</v>
      </c>
      <c r="B733" s="6" t="s">
        <v>798</v>
      </c>
    </row>
    <row r="734" spans="1:2" ht="15.75" hidden="1" customHeight="1" x14ac:dyDescent="0.25">
      <c r="A734" s="6">
        <v>440005</v>
      </c>
      <c r="B734" s="6" t="s">
        <v>804</v>
      </c>
    </row>
    <row r="735" spans="1:2" ht="15.75" hidden="1" customHeight="1" x14ac:dyDescent="0.25">
      <c r="A735" s="6">
        <v>440006</v>
      </c>
      <c r="B735" s="6" t="s">
        <v>801</v>
      </c>
    </row>
    <row r="736" spans="1:2" ht="15.75" hidden="1" customHeight="1" x14ac:dyDescent="0.25">
      <c r="A736" s="6">
        <v>440007</v>
      </c>
      <c r="B736" s="6" t="s">
        <v>803</v>
      </c>
    </row>
    <row r="737" spans="1:2" ht="15.75" hidden="1" customHeight="1" x14ac:dyDescent="0.25">
      <c r="A737" s="6">
        <v>440008</v>
      </c>
      <c r="B737" s="6" t="s">
        <v>799</v>
      </c>
    </row>
    <row r="738" spans="1:2" ht="15.75" hidden="1" customHeight="1" x14ac:dyDescent="0.25">
      <c r="A738" s="6">
        <v>440009</v>
      </c>
      <c r="B738" s="6" t="s">
        <v>800</v>
      </c>
    </row>
    <row r="739" spans="1:2" ht="15.75" hidden="1" customHeight="1" x14ac:dyDescent="0.25">
      <c r="A739" s="6">
        <v>440010</v>
      </c>
      <c r="B739" s="6" t="s">
        <v>787</v>
      </c>
    </row>
    <row r="740" spans="1:2" ht="15.75" hidden="1" customHeight="1" x14ac:dyDescent="0.25">
      <c r="A740" s="6">
        <v>440011</v>
      </c>
      <c r="B740" s="6" t="s">
        <v>793</v>
      </c>
    </row>
    <row r="741" spans="1:2" ht="15.75" hidden="1" customHeight="1" x14ac:dyDescent="0.25">
      <c r="A741" s="6">
        <v>440012</v>
      </c>
      <c r="B741" s="6" t="s">
        <v>788</v>
      </c>
    </row>
    <row r="742" spans="1:2" ht="15.75" hidden="1" customHeight="1" x14ac:dyDescent="0.25">
      <c r="A742" s="6">
        <v>440013</v>
      </c>
      <c r="B742" s="6" t="s">
        <v>789</v>
      </c>
    </row>
    <row r="743" spans="1:2" ht="15.75" hidden="1" customHeight="1" x14ac:dyDescent="0.25">
      <c r="A743" s="6">
        <v>440014</v>
      </c>
      <c r="B743" s="6" t="s">
        <v>795</v>
      </c>
    </row>
    <row r="744" spans="1:2" ht="15.75" hidden="1" customHeight="1" x14ac:dyDescent="0.25">
      <c r="A744" s="6">
        <v>440015</v>
      </c>
      <c r="B744" s="6" t="s">
        <v>792</v>
      </c>
    </row>
    <row r="745" spans="1:2" ht="15.75" hidden="1" customHeight="1" x14ac:dyDescent="0.25">
      <c r="A745" s="6">
        <v>440016</v>
      </c>
      <c r="B745" s="6" t="s">
        <v>794</v>
      </c>
    </row>
    <row r="746" spans="1:2" ht="15.75" hidden="1" customHeight="1" x14ac:dyDescent="0.25">
      <c r="A746" s="6">
        <v>440017</v>
      </c>
      <c r="B746" s="6" t="s">
        <v>790</v>
      </c>
    </row>
    <row r="747" spans="1:2" ht="15.75" hidden="1" customHeight="1" x14ac:dyDescent="0.25">
      <c r="A747" s="6">
        <v>440018</v>
      </c>
      <c r="B747" s="6" t="s">
        <v>791</v>
      </c>
    </row>
    <row r="748" spans="1:2" ht="15.75" hidden="1" customHeight="1" x14ac:dyDescent="0.25">
      <c r="A748" s="6">
        <v>440019</v>
      </c>
      <c r="B748" s="6" t="s">
        <v>778</v>
      </c>
    </row>
    <row r="749" spans="1:2" ht="15.75" hidden="1" customHeight="1" x14ac:dyDescent="0.25">
      <c r="A749" s="6">
        <v>440020</v>
      </c>
      <c r="B749" s="6" t="s">
        <v>784</v>
      </c>
    </row>
    <row r="750" spans="1:2" ht="15.75" hidden="1" customHeight="1" x14ac:dyDescent="0.25">
      <c r="A750" s="6">
        <v>440021</v>
      </c>
      <c r="B750" s="6" t="s">
        <v>779</v>
      </c>
    </row>
    <row r="751" spans="1:2" ht="15.75" hidden="1" customHeight="1" x14ac:dyDescent="0.25">
      <c r="A751" s="6">
        <v>440022</v>
      </c>
      <c r="B751" s="6" t="s">
        <v>780</v>
      </c>
    </row>
    <row r="752" spans="1:2" ht="15.75" hidden="1" customHeight="1" x14ac:dyDescent="0.25">
      <c r="A752" s="6">
        <v>440023</v>
      </c>
      <c r="B752" s="6" t="s">
        <v>786</v>
      </c>
    </row>
    <row r="753" spans="1:2" ht="15.75" hidden="1" customHeight="1" x14ac:dyDescent="0.25">
      <c r="A753" s="6">
        <v>440024</v>
      </c>
      <c r="B753" s="6" t="s">
        <v>783</v>
      </c>
    </row>
    <row r="754" spans="1:2" ht="15.75" hidden="1" customHeight="1" x14ac:dyDescent="0.25">
      <c r="A754" s="6">
        <v>440025</v>
      </c>
      <c r="B754" s="6" t="s">
        <v>785</v>
      </c>
    </row>
    <row r="755" spans="1:2" ht="15.75" hidden="1" customHeight="1" x14ac:dyDescent="0.25">
      <c r="A755" s="6">
        <v>440026</v>
      </c>
      <c r="B755" s="6" t="s">
        <v>781</v>
      </c>
    </row>
    <row r="756" spans="1:2" ht="15.75" hidden="1" customHeight="1" x14ac:dyDescent="0.25">
      <c r="A756" s="6">
        <v>440027</v>
      </c>
      <c r="B756" s="6" t="s">
        <v>782</v>
      </c>
    </row>
    <row r="757" spans="1:2" ht="15.75" hidden="1" customHeight="1" x14ac:dyDescent="0.25">
      <c r="A757" s="6">
        <v>440028</v>
      </c>
      <c r="B757" s="6" t="s">
        <v>770</v>
      </c>
    </row>
    <row r="758" spans="1:2" ht="15.75" hidden="1" customHeight="1" x14ac:dyDescent="0.25">
      <c r="A758" s="6">
        <v>440029</v>
      </c>
      <c r="B758" s="6" t="s">
        <v>775</v>
      </c>
    </row>
    <row r="759" spans="1:2" ht="15.75" hidden="1" customHeight="1" x14ac:dyDescent="0.25">
      <c r="A759" s="6">
        <v>440030</v>
      </c>
      <c r="B759" s="6" t="s">
        <v>771</v>
      </c>
    </row>
    <row r="760" spans="1:2" ht="15.75" hidden="1" customHeight="1" x14ac:dyDescent="0.25">
      <c r="A760" s="6">
        <v>440031</v>
      </c>
      <c r="B760" s="6" t="s">
        <v>772</v>
      </c>
    </row>
    <row r="761" spans="1:2" ht="15.75" hidden="1" customHeight="1" x14ac:dyDescent="0.25">
      <c r="A761" s="6">
        <v>440032</v>
      </c>
      <c r="B761" s="6" t="s">
        <v>777</v>
      </c>
    </row>
    <row r="762" spans="1:2" ht="15.75" hidden="1" customHeight="1" x14ac:dyDescent="0.25">
      <c r="A762" s="6">
        <v>440033</v>
      </c>
      <c r="B762" s="6" t="s">
        <v>774</v>
      </c>
    </row>
    <row r="763" spans="1:2" ht="15.75" hidden="1" customHeight="1" x14ac:dyDescent="0.25">
      <c r="A763" s="6">
        <v>440034</v>
      </c>
      <c r="B763" s="6" t="s">
        <v>776</v>
      </c>
    </row>
    <row r="764" spans="1:2" ht="15.75" hidden="1" customHeight="1" x14ac:dyDescent="0.25">
      <c r="A764" s="6">
        <v>440035</v>
      </c>
      <c r="B764" s="6" t="s">
        <v>773</v>
      </c>
    </row>
    <row r="765" spans="1:2" ht="15.75" hidden="1" customHeight="1" x14ac:dyDescent="0.25">
      <c r="A765" s="6">
        <v>440036</v>
      </c>
      <c r="B765" s="6" t="s">
        <v>712</v>
      </c>
    </row>
    <row r="766" spans="1:2" ht="15.75" hidden="1" customHeight="1" x14ac:dyDescent="0.25">
      <c r="A766" s="6">
        <v>440037</v>
      </c>
      <c r="B766" s="6" t="s">
        <v>710</v>
      </c>
    </row>
    <row r="767" spans="1:2" ht="15.75" hidden="1" customHeight="1" x14ac:dyDescent="0.25">
      <c r="A767" s="6">
        <v>440038</v>
      </c>
      <c r="B767" s="6" t="s">
        <v>716</v>
      </c>
    </row>
    <row r="768" spans="1:2" ht="15.75" hidden="1" customHeight="1" x14ac:dyDescent="0.25">
      <c r="A768" s="6">
        <v>440039</v>
      </c>
      <c r="B768" s="6" t="s">
        <v>711</v>
      </c>
    </row>
    <row r="769" spans="1:2" ht="15.75" hidden="1" customHeight="1" x14ac:dyDescent="0.25">
      <c r="A769" s="6">
        <v>440040</v>
      </c>
      <c r="B769" s="6" t="s">
        <v>715</v>
      </c>
    </row>
    <row r="770" spans="1:2" ht="15.75" hidden="1" customHeight="1" x14ac:dyDescent="0.25">
      <c r="A770" s="6">
        <v>440041</v>
      </c>
      <c r="B770" s="6" t="s">
        <v>718</v>
      </c>
    </row>
    <row r="771" spans="1:2" ht="15.75" hidden="1" customHeight="1" x14ac:dyDescent="0.25">
      <c r="A771" s="6">
        <v>440042</v>
      </c>
      <c r="B771" s="6" t="s">
        <v>717</v>
      </c>
    </row>
    <row r="772" spans="1:2" ht="15.75" hidden="1" customHeight="1" x14ac:dyDescent="0.25">
      <c r="A772" s="6">
        <v>440043</v>
      </c>
      <c r="B772" s="6" t="s">
        <v>713</v>
      </c>
    </row>
    <row r="773" spans="1:2" ht="15.75" hidden="1" customHeight="1" x14ac:dyDescent="0.25">
      <c r="A773" s="6">
        <v>440044</v>
      </c>
      <c r="B773" s="6" t="s">
        <v>714</v>
      </c>
    </row>
    <row r="774" spans="1:2" ht="15.75" hidden="1" customHeight="1" x14ac:dyDescent="0.25">
      <c r="A774" s="6">
        <v>440045</v>
      </c>
      <c r="B774" s="6" t="s">
        <v>709</v>
      </c>
    </row>
    <row r="775" spans="1:2" ht="15.75" hidden="1" customHeight="1" x14ac:dyDescent="0.25">
      <c r="A775" s="6">
        <v>440046</v>
      </c>
      <c r="B775" s="6" t="s">
        <v>1170</v>
      </c>
    </row>
    <row r="776" spans="1:2" ht="15.75" hidden="1" customHeight="1" x14ac:dyDescent="0.25">
      <c r="A776" s="6">
        <v>440047</v>
      </c>
      <c r="B776" s="6" t="s">
        <v>1168</v>
      </c>
    </row>
    <row r="777" spans="1:2" ht="15.75" hidden="1" customHeight="1" x14ac:dyDescent="0.25">
      <c r="A777" s="6">
        <v>440048</v>
      </c>
      <c r="B777" s="6" t="s">
        <v>1174</v>
      </c>
    </row>
    <row r="778" spans="1:2" ht="15.75" hidden="1" customHeight="1" x14ac:dyDescent="0.25">
      <c r="A778" s="6">
        <v>440049</v>
      </c>
      <c r="B778" s="6" t="s">
        <v>1169</v>
      </c>
    </row>
    <row r="779" spans="1:2" ht="15.75" hidden="1" customHeight="1" x14ac:dyDescent="0.25">
      <c r="A779" s="6">
        <v>440050</v>
      </c>
      <c r="B779" s="6" t="s">
        <v>1173</v>
      </c>
    </row>
    <row r="780" spans="1:2" ht="15.75" hidden="1" customHeight="1" x14ac:dyDescent="0.25">
      <c r="A780" s="6">
        <v>440051</v>
      </c>
      <c r="B780" s="6" t="s">
        <v>1176</v>
      </c>
    </row>
    <row r="781" spans="1:2" ht="15.75" hidden="1" customHeight="1" x14ac:dyDescent="0.25">
      <c r="A781" s="6">
        <v>440052</v>
      </c>
      <c r="B781" s="6" t="s">
        <v>1175</v>
      </c>
    </row>
    <row r="782" spans="1:2" ht="15.75" hidden="1" customHeight="1" x14ac:dyDescent="0.25">
      <c r="A782" s="6">
        <v>440053</v>
      </c>
      <c r="B782" s="6" t="s">
        <v>1171</v>
      </c>
    </row>
    <row r="783" spans="1:2" ht="15.75" hidden="1" customHeight="1" x14ac:dyDescent="0.25">
      <c r="A783" s="6">
        <v>440054</v>
      </c>
      <c r="B783" s="6" t="s">
        <v>1172</v>
      </c>
    </row>
    <row r="784" spans="1:2" ht="15.75" hidden="1" customHeight="1" x14ac:dyDescent="0.25">
      <c r="A784" s="6">
        <v>440055</v>
      </c>
      <c r="B784" s="6" t="s">
        <v>1167</v>
      </c>
    </row>
    <row r="785" spans="1:2" ht="15.75" hidden="1" customHeight="1" x14ac:dyDescent="0.25">
      <c r="A785" s="6">
        <v>441001</v>
      </c>
      <c r="B785" s="6" t="s">
        <v>796</v>
      </c>
    </row>
    <row r="786" spans="1:2" ht="15.75" hidden="1" customHeight="1" x14ac:dyDescent="0.25">
      <c r="A786" s="6">
        <v>441002</v>
      </c>
      <c r="B786" s="6" t="s">
        <v>802</v>
      </c>
    </row>
    <row r="787" spans="1:2" ht="15.75" hidden="1" customHeight="1" x14ac:dyDescent="0.25">
      <c r="A787" s="6">
        <v>441003</v>
      </c>
      <c r="B787" s="6" t="s">
        <v>797</v>
      </c>
    </row>
    <row r="788" spans="1:2" ht="15.75" hidden="1" customHeight="1" x14ac:dyDescent="0.25">
      <c r="A788" s="6">
        <v>441004</v>
      </c>
      <c r="B788" s="6" t="s">
        <v>798</v>
      </c>
    </row>
    <row r="789" spans="1:2" ht="15.75" hidden="1" customHeight="1" x14ac:dyDescent="0.25">
      <c r="A789" s="6">
        <v>441005</v>
      </c>
      <c r="B789" s="6" t="s">
        <v>804</v>
      </c>
    </row>
    <row r="790" spans="1:2" ht="15.75" hidden="1" customHeight="1" x14ac:dyDescent="0.25">
      <c r="A790" s="6">
        <v>441006</v>
      </c>
      <c r="B790" s="6" t="s">
        <v>801</v>
      </c>
    </row>
    <row r="791" spans="1:2" ht="15.75" hidden="1" customHeight="1" x14ac:dyDescent="0.25">
      <c r="A791" s="6">
        <v>441007</v>
      </c>
      <c r="B791" s="6" t="s">
        <v>803</v>
      </c>
    </row>
    <row r="792" spans="1:2" ht="15.75" hidden="1" customHeight="1" x14ac:dyDescent="0.25">
      <c r="A792" s="6">
        <v>441008</v>
      </c>
      <c r="B792" s="6" t="s">
        <v>799</v>
      </c>
    </row>
    <row r="793" spans="1:2" ht="15.75" hidden="1" customHeight="1" x14ac:dyDescent="0.25">
      <c r="A793" s="6">
        <v>441009</v>
      </c>
      <c r="B793" s="6" t="s">
        <v>800</v>
      </c>
    </row>
    <row r="794" spans="1:2" ht="15.75" hidden="1" customHeight="1" x14ac:dyDescent="0.25">
      <c r="A794" s="6">
        <v>441010</v>
      </c>
      <c r="B794" s="6" t="s">
        <v>787</v>
      </c>
    </row>
    <row r="795" spans="1:2" ht="15.75" hidden="1" customHeight="1" x14ac:dyDescent="0.25">
      <c r="A795" s="6">
        <v>441011</v>
      </c>
      <c r="B795" s="6" t="s">
        <v>793</v>
      </c>
    </row>
    <row r="796" spans="1:2" ht="15.75" hidden="1" customHeight="1" x14ac:dyDescent="0.25">
      <c r="A796" s="6">
        <v>441012</v>
      </c>
      <c r="B796" s="6" t="s">
        <v>788</v>
      </c>
    </row>
    <row r="797" spans="1:2" ht="15.75" hidden="1" customHeight="1" x14ac:dyDescent="0.25">
      <c r="A797" s="6">
        <v>441013</v>
      </c>
      <c r="B797" s="6" t="s">
        <v>789</v>
      </c>
    </row>
    <row r="798" spans="1:2" ht="15.75" hidden="1" customHeight="1" x14ac:dyDescent="0.25">
      <c r="A798" s="6">
        <v>441014</v>
      </c>
      <c r="B798" s="6" t="s">
        <v>795</v>
      </c>
    </row>
    <row r="799" spans="1:2" ht="15.75" hidden="1" customHeight="1" x14ac:dyDescent="0.25">
      <c r="A799" s="6">
        <v>441015</v>
      </c>
      <c r="B799" s="6" t="s">
        <v>792</v>
      </c>
    </row>
    <row r="800" spans="1:2" ht="15.75" hidden="1" customHeight="1" x14ac:dyDescent="0.25">
      <c r="A800" s="6">
        <v>441016</v>
      </c>
      <c r="B800" s="6" t="s">
        <v>794</v>
      </c>
    </row>
    <row r="801" spans="1:2" ht="15.75" hidden="1" customHeight="1" x14ac:dyDescent="0.25">
      <c r="A801" s="6">
        <v>441017</v>
      </c>
      <c r="B801" s="6" t="s">
        <v>790</v>
      </c>
    </row>
    <row r="802" spans="1:2" ht="15.75" hidden="1" customHeight="1" x14ac:dyDescent="0.25">
      <c r="A802" s="6">
        <v>441018</v>
      </c>
      <c r="B802" s="6" t="s">
        <v>791</v>
      </c>
    </row>
    <row r="803" spans="1:2" ht="15.75" hidden="1" customHeight="1" x14ac:dyDescent="0.25">
      <c r="A803" s="6">
        <v>441019</v>
      </c>
      <c r="B803" s="6" t="s">
        <v>778</v>
      </c>
    </row>
    <row r="804" spans="1:2" ht="15.75" hidden="1" customHeight="1" x14ac:dyDescent="0.25">
      <c r="A804" s="6">
        <v>441020</v>
      </c>
      <c r="B804" s="6" t="s">
        <v>784</v>
      </c>
    </row>
    <row r="805" spans="1:2" ht="15.75" hidden="1" customHeight="1" x14ac:dyDescent="0.25">
      <c r="A805" s="6">
        <v>441021</v>
      </c>
      <c r="B805" s="6" t="s">
        <v>779</v>
      </c>
    </row>
    <row r="806" spans="1:2" ht="15.75" hidden="1" customHeight="1" x14ac:dyDescent="0.25">
      <c r="A806" s="6">
        <v>441022</v>
      </c>
      <c r="B806" s="6" t="s">
        <v>780</v>
      </c>
    </row>
    <row r="807" spans="1:2" ht="15.75" hidden="1" customHeight="1" x14ac:dyDescent="0.25">
      <c r="A807" s="6">
        <v>441023</v>
      </c>
      <c r="B807" s="6" t="s">
        <v>786</v>
      </c>
    </row>
    <row r="808" spans="1:2" ht="15.75" hidden="1" customHeight="1" x14ac:dyDescent="0.25">
      <c r="A808" s="6">
        <v>441024</v>
      </c>
      <c r="B808" s="6" t="s">
        <v>783</v>
      </c>
    </row>
    <row r="809" spans="1:2" ht="15.75" hidden="1" customHeight="1" x14ac:dyDescent="0.25">
      <c r="A809" s="6">
        <v>441025</v>
      </c>
      <c r="B809" s="6" t="s">
        <v>785</v>
      </c>
    </row>
    <row r="810" spans="1:2" ht="15.75" hidden="1" customHeight="1" x14ac:dyDescent="0.25">
      <c r="A810" s="6">
        <v>441026</v>
      </c>
      <c r="B810" s="6" t="s">
        <v>781</v>
      </c>
    </row>
    <row r="811" spans="1:2" ht="15.75" hidden="1" customHeight="1" x14ac:dyDescent="0.25">
      <c r="A811" s="6">
        <v>441027</v>
      </c>
      <c r="B811" s="6" t="s">
        <v>782</v>
      </c>
    </row>
    <row r="812" spans="1:2" ht="15.75" hidden="1" customHeight="1" x14ac:dyDescent="0.25">
      <c r="A812" s="6">
        <v>441028</v>
      </c>
      <c r="B812" s="6" t="s">
        <v>770</v>
      </c>
    </row>
    <row r="813" spans="1:2" ht="15.75" hidden="1" customHeight="1" x14ac:dyDescent="0.25">
      <c r="A813" s="6">
        <v>441029</v>
      </c>
      <c r="B813" s="6" t="s">
        <v>775</v>
      </c>
    </row>
    <row r="814" spans="1:2" ht="15.75" hidden="1" customHeight="1" x14ac:dyDescent="0.25">
      <c r="A814" s="6">
        <v>441030</v>
      </c>
      <c r="B814" s="6" t="s">
        <v>771</v>
      </c>
    </row>
    <row r="815" spans="1:2" ht="15.75" hidden="1" customHeight="1" x14ac:dyDescent="0.25">
      <c r="A815" s="6">
        <v>441031</v>
      </c>
      <c r="B815" s="6" t="s">
        <v>772</v>
      </c>
    </row>
    <row r="816" spans="1:2" ht="15.75" hidden="1" customHeight="1" x14ac:dyDescent="0.25">
      <c r="A816" s="6">
        <v>441032</v>
      </c>
      <c r="B816" s="6" t="s">
        <v>777</v>
      </c>
    </row>
    <row r="817" spans="1:2" ht="15.75" hidden="1" customHeight="1" x14ac:dyDescent="0.25">
      <c r="A817" s="6">
        <v>441033</v>
      </c>
      <c r="B817" s="6" t="s">
        <v>774</v>
      </c>
    </row>
    <row r="818" spans="1:2" ht="15.75" hidden="1" customHeight="1" x14ac:dyDescent="0.25">
      <c r="A818" s="6">
        <v>441034</v>
      </c>
      <c r="B818" s="6" t="s">
        <v>776</v>
      </c>
    </row>
    <row r="819" spans="1:2" ht="15.75" hidden="1" customHeight="1" x14ac:dyDescent="0.25">
      <c r="A819" s="6">
        <v>441035</v>
      </c>
      <c r="B819" s="6" t="s">
        <v>773</v>
      </c>
    </row>
    <row r="820" spans="1:2" ht="15.75" hidden="1" customHeight="1" x14ac:dyDescent="0.25">
      <c r="A820" s="6">
        <v>441036</v>
      </c>
      <c r="B820" s="6" t="s">
        <v>712</v>
      </c>
    </row>
    <row r="821" spans="1:2" ht="15.75" hidden="1" customHeight="1" x14ac:dyDescent="0.25">
      <c r="A821" s="6">
        <v>441037</v>
      </c>
      <c r="B821" s="6" t="s">
        <v>710</v>
      </c>
    </row>
    <row r="822" spans="1:2" ht="15.75" hidden="1" customHeight="1" x14ac:dyDescent="0.25">
      <c r="A822" s="6">
        <v>441038</v>
      </c>
      <c r="B822" s="6" t="s">
        <v>716</v>
      </c>
    </row>
    <row r="823" spans="1:2" ht="15.75" hidden="1" customHeight="1" x14ac:dyDescent="0.25">
      <c r="A823" s="6">
        <v>441039</v>
      </c>
      <c r="B823" s="6" t="s">
        <v>711</v>
      </c>
    </row>
    <row r="824" spans="1:2" ht="15.75" hidden="1" customHeight="1" x14ac:dyDescent="0.25">
      <c r="A824" s="6">
        <v>441040</v>
      </c>
      <c r="B824" s="6" t="s">
        <v>715</v>
      </c>
    </row>
    <row r="825" spans="1:2" ht="15.75" hidden="1" customHeight="1" x14ac:dyDescent="0.25">
      <c r="A825" s="6">
        <v>441041</v>
      </c>
      <c r="B825" s="6" t="s">
        <v>718</v>
      </c>
    </row>
    <row r="826" spans="1:2" ht="15.75" hidden="1" customHeight="1" x14ac:dyDescent="0.25">
      <c r="A826" s="6">
        <v>441042</v>
      </c>
      <c r="B826" s="6" t="s">
        <v>717</v>
      </c>
    </row>
    <row r="827" spans="1:2" ht="15.75" hidden="1" customHeight="1" x14ac:dyDescent="0.25">
      <c r="A827" s="6">
        <v>441043</v>
      </c>
      <c r="B827" s="6" t="s">
        <v>713</v>
      </c>
    </row>
    <row r="828" spans="1:2" ht="15.75" hidden="1" customHeight="1" x14ac:dyDescent="0.25">
      <c r="A828" s="6">
        <v>441044</v>
      </c>
      <c r="B828" s="6" t="s">
        <v>714</v>
      </c>
    </row>
    <row r="829" spans="1:2" ht="15.75" hidden="1" customHeight="1" x14ac:dyDescent="0.25">
      <c r="A829" s="6">
        <v>441045</v>
      </c>
      <c r="B829" s="6" t="s">
        <v>709</v>
      </c>
    </row>
    <row r="830" spans="1:2" ht="15.75" hidden="1" customHeight="1" x14ac:dyDescent="0.25">
      <c r="A830" s="6">
        <v>42001</v>
      </c>
      <c r="B830" s="6" t="s">
        <v>1467</v>
      </c>
    </row>
    <row r="831" spans="1:2" ht="15.75" hidden="1" customHeight="1" x14ac:dyDescent="0.25">
      <c r="A831" s="6">
        <v>42002</v>
      </c>
      <c r="B831" s="6" t="s">
        <v>1465</v>
      </c>
    </row>
    <row r="832" spans="1:2" ht="15.75" hidden="1" customHeight="1" x14ac:dyDescent="0.25">
      <c r="A832" s="6">
        <v>42003</v>
      </c>
      <c r="B832" s="6" t="s">
        <v>1478</v>
      </c>
    </row>
    <row r="833" spans="1:2" ht="15.75" hidden="1" customHeight="1" x14ac:dyDescent="0.25">
      <c r="A833" s="6">
        <v>42004</v>
      </c>
      <c r="B833" s="6" t="s">
        <v>1468</v>
      </c>
    </row>
    <row r="834" spans="1:2" ht="15.75" hidden="1" customHeight="1" x14ac:dyDescent="0.25">
      <c r="A834" s="6">
        <v>42005</v>
      </c>
      <c r="B834" s="6" t="s">
        <v>1466</v>
      </c>
    </row>
    <row r="835" spans="1:2" ht="15.75" hidden="1" customHeight="1" x14ac:dyDescent="0.25">
      <c r="A835" s="6">
        <v>42006</v>
      </c>
      <c r="B835" s="6" t="s">
        <v>1479</v>
      </c>
    </row>
    <row r="836" spans="1:2" ht="15.75" hidden="1" customHeight="1" x14ac:dyDescent="0.25">
      <c r="A836" s="6">
        <v>42013</v>
      </c>
      <c r="B836" s="6" t="s">
        <v>1482</v>
      </c>
    </row>
    <row r="837" spans="1:2" ht="15.75" hidden="1" customHeight="1" x14ac:dyDescent="0.25">
      <c r="A837" s="6">
        <v>42014</v>
      </c>
      <c r="B837" s="6" t="s">
        <v>1480</v>
      </c>
    </row>
    <row r="838" spans="1:2" ht="15.75" hidden="1" customHeight="1" x14ac:dyDescent="0.25">
      <c r="A838" s="6">
        <v>42015</v>
      </c>
      <c r="B838" s="6" t="s">
        <v>1484</v>
      </c>
    </row>
    <row r="839" spans="1:2" ht="15.75" hidden="1" customHeight="1" x14ac:dyDescent="0.25">
      <c r="A839" s="6">
        <v>42016</v>
      </c>
      <c r="B839" s="6" t="s">
        <v>1483</v>
      </c>
    </row>
    <row r="840" spans="1:2" ht="15.75" hidden="1" customHeight="1" x14ac:dyDescent="0.25">
      <c r="A840" s="6">
        <v>42017</v>
      </c>
      <c r="B840" s="6" t="s">
        <v>1481</v>
      </c>
    </row>
    <row r="841" spans="1:2" ht="15.75" hidden="1" customHeight="1" x14ac:dyDescent="0.25">
      <c r="A841" s="6">
        <v>42018</v>
      </c>
      <c r="B841" s="6" t="s">
        <v>1485</v>
      </c>
    </row>
    <row r="842" spans="1:2" ht="15.75" hidden="1" customHeight="1" x14ac:dyDescent="0.25">
      <c r="A842" s="6">
        <v>42031</v>
      </c>
      <c r="B842" s="6" t="s">
        <v>1513</v>
      </c>
    </row>
    <row r="843" spans="1:2" ht="15.75" hidden="1" customHeight="1" x14ac:dyDescent="0.25">
      <c r="A843" s="6">
        <v>42032</v>
      </c>
      <c r="B843" s="6" t="s">
        <v>1497</v>
      </c>
    </row>
    <row r="844" spans="1:2" ht="15.75" hidden="1" customHeight="1" x14ac:dyDescent="0.25">
      <c r="A844" s="6">
        <v>42033</v>
      </c>
      <c r="B844" s="6" t="s">
        <v>1523</v>
      </c>
    </row>
    <row r="845" spans="1:2" ht="15.75" hidden="1" customHeight="1" x14ac:dyDescent="0.25">
      <c r="A845" s="6">
        <v>42034</v>
      </c>
      <c r="B845" s="6" t="s">
        <v>1515</v>
      </c>
    </row>
    <row r="846" spans="1:2" ht="15.75" hidden="1" customHeight="1" x14ac:dyDescent="0.25">
      <c r="A846" s="6">
        <v>42035</v>
      </c>
      <c r="B846" s="6" t="s">
        <v>1499</v>
      </c>
    </row>
    <row r="847" spans="1:2" ht="15.75" hidden="1" customHeight="1" x14ac:dyDescent="0.25">
      <c r="A847" s="6">
        <v>42036</v>
      </c>
      <c r="B847" s="6" t="s">
        <v>1525</v>
      </c>
    </row>
    <row r="848" spans="1:2" ht="15.75" hidden="1" customHeight="1" x14ac:dyDescent="0.25">
      <c r="A848" s="6">
        <v>42037</v>
      </c>
      <c r="B848" s="6" t="s">
        <v>1512</v>
      </c>
    </row>
    <row r="849" spans="1:2" ht="15.75" hidden="1" customHeight="1" x14ac:dyDescent="0.25">
      <c r="A849" s="6">
        <v>42038</v>
      </c>
      <c r="B849" s="6" t="s">
        <v>1496</v>
      </c>
    </row>
    <row r="850" spans="1:2" ht="15.75" hidden="1" customHeight="1" x14ac:dyDescent="0.25">
      <c r="A850" s="6">
        <v>42039</v>
      </c>
      <c r="B850" s="6" t="s">
        <v>1522</v>
      </c>
    </row>
    <row r="851" spans="1:2" ht="15.75" hidden="1" customHeight="1" x14ac:dyDescent="0.25">
      <c r="A851" s="6">
        <v>42040</v>
      </c>
      <c r="B851" s="6" t="s">
        <v>1514</v>
      </c>
    </row>
    <row r="852" spans="1:2" ht="15.75" hidden="1" customHeight="1" x14ac:dyDescent="0.25">
      <c r="A852" s="6">
        <v>42041</v>
      </c>
      <c r="B852" s="6" t="s">
        <v>1498</v>
      </c>
    </row>
    <row r="853" spans="1:2" ht="15.75" hidden="1" customHeight="1" x14ac:dyDescent="0.25">
      <c r="A853" s="6">
        <v>42042</v>
      </c>
      <c r="B853" s="6" t="s">
        <v>1524</v>
      </c>
    </row>
    <row r="854" spans="1:2" ht="15.75" hidden="1" customHeight="1" x14ac:dyDescent="0.25">
      <c r="A854" s="6">
        <v>42043</v>
      </c>
      <c r="B854" s="6" t="s">
        <v>1476</v>
      </c>
    </row>
    <row r="855" spans="1:2" ht="15.75" hidden="1" customHeight="1" x14ac:dyDescent="0.25">
      <c r="A855" s="6">
        <v>42044</v>
      </c>
      <c r="B855" s="6" t="s">
        <v>1477</v>
      </c>
    </row>
    <row r="856" spans="1:2" ht="15.75" hidden="1" customHeight="1" x14ac:dyDescent="0.25">
      <c r="A856" s="6">
        <v>42045</v>
      </c>
      <c r="B856" s="6" t="s">
        <v>1475</v>
      </c>
    </row>
    <row r="857" spans="1:2" ht="15.75" hidden="1" customHeight="1" x14ac:dyDescent="0.25">
      <c r="A857" s="6">
        <v>42046</v>
      </c>
      <c r="B857" s="6" t="s">
        <v>1650</v>
      </c>
    </row>
    <row r="858" spans="1:2" ht="15.75" hidden="1" customHeight="1" x14ac:dyDescent="0.25">
      <c r="A858" s="6">
        <v>42047</v>
      </c>
      <c r="B858" s="6" t="s">
        <v>1651</v>
      </c>
    </row>
    <row r="859" spans="1:2" ht="15.75" hidden="1" customHeight="1" x14ac:dyDescent="0.25">
      <c r="A859" s="6">
        <v>42048</v>
      </c>
      <c r="B859" s="6" t="s">
        <v>1652</v>
      </c>
    </row>
    <row r="860" spans="1:2" ht="15.75" hidden="1" customHeight="1" x14ac:dyDescent="0.25">
      <c r="A860" s="6">
        <v>42049</v>
      </c>
      <c r="B860" s="6" t="s">
        <v>1653</v>
      </c>
    </row>
    <row r="861" spans="1:2" ht="15.75" hidden="1" customHeight="1" x14ac:dyDescent="0.25">
      <c r="A861" s="6">
        <v>43001</v>
      </c>
      <c r="B861" s="6" t="s">
        <v>1600</v>
      </c>
    </row>
    <row r="862" spans="1:2" ht="15.75" hidden="1" customHeight="1" x14ac:dyDescent="0.25">
      <c r="A862" s="6">
        <v>43002</v>
      </c>
      <c r="B862" s="6" t="s">
        <v>1603</v>
      </c>
    </row>
    <row r="863" spans="1:2" ht="15.75" hidden="1" customHeight="1" x14ac:dyDescent="0.25">
      <c r="A863" s="6">
        <v>43003</v>
      </c>
      <c r="B863" s="6" t="s">
        <v>1601</v>
      </c>
    </row>
    <row r="864" spans="1:2" ht="15.75" hidden="1" customHeight="1" x14ac:dyDescent="0.25">
      <c r="A864" s="6">
        <v>43004</v>
      </c>
      <c r="B864" s="6" t="s">
        <v>1604</v>
      </c>
    </row>
    <row r="865" spans="1:2" ht="15.75" hidden="1" customHeight="1" x14ac:dyDescent="0.25">
      <c r="A865" s="6">
        <v>43005</v>
      </c>
      <c r="B865" s="6" t="s">
        <v>1607</v>
      </c>
    </row>
    <row r="866" spans="1:2" ht="15.75" hidden="1" customHeight="1" x14ac:dyDescent="0.25">
      <c r="A866" s="6">
        <v>43006</v>
      </c>
      <c r="B866" s="6" t="s">
        <v>1606</v>
      </c>
    </row>
    <row r="867" spans="1:2" ht="15.75" hidden="1" customHeight="1" x14ac:dyDescent="0.25">
      <c r="A867" s="6">
        <v>43007</v>
      </c>
      <c r="B867" s="6" t="s">
        <v>1605</v>
      </c>
    </row>
    <row r="868" spans="1:2" ht="15.75" hidden="1" customHeight="1" x14ac:dyDescent="0.25">
      <c r="A868" s="6">
        <v>43008</v>
      </c>
      <c r="B868" s="6" t="s">
        <v>844</v>
      </c>
    </row>
    <row r="869" spans="1:2" ht="15.75" hidden="1" customHeight="1" x14ac:dyDescent="0.25">
      <c r="A869" s="6">
        <v>43009</v>
      </c>
      <c r="B869" s="6" t="s">
        <v>843</v>
      </c>
    </row>
    <row r="870" spans="1:2" ht="15.75" hidden="1" customHeight="1" x14ac:dyDescent="0.25">
      <c r="A870" s="6">
        <v>43010</v>
      </c>
      <c r="B870" s="6" t="s">
        <v>842</v>
      </c>
    </row>
    <row r="871" spans="1:2" ht="15.75" hidden="1" customHeight="1" x14ac:dyDescent="0.25">
      <c r="A871" s="6">
        <v>43011</v>
      </c>
      <c r="B871" s="6" t="s">
        <v>850</v>
      </c>
    </row>
    <row r="872" spans="1:2" ht="15.75" hidden="1" customHeight="1" x14ac:dyDescent="0.25">
      <c r="A872" s="6">
        <v>43012</v>
      </c>
      <c r="B872" s="6" t="s">
        <v>830</v>
      </c>
    </row>
    <row r="873" spans="1:2" ht="15.75" hidden="1" customHeight="1" x14ac:dyDescent="0.25">
      <c r="A873" s="6">
        <v>43013</v>
      </c>
      <c r="B873" s="6" t="s">
        <v>833</v>
      </c>
    </row>
    <row r="874" spans="1:2" ht="15.75" hidden="1" customHeight="1" x14ac:dyDescent="0.25">
      <c r="A874" s="6">
        <v>43014</v>
      </c>
      <c r="B874" s="6" t="s">
        <v>1448</v>
      </c>
    </row>
    <row r="875" spans="1:2" ht="15.75" hidden="1" customHeight="1" x14ac:dyDescent="0.25">
      <c r="A875" s="6">
        <v>43015</v>
      </c>
      <c r="B875" s="6" t="s">
        <v>1654</v>
      </c>
    </row>
    <row r="876" spans="1:2" ht="15.75" hidden="1" customHeight="1" x14ac:dyDescent="0.25">
      <c r="A876" s="6">
        <v>43016</v>
      </c>
      <c r="B876" s="6" t="s">
        <v>1655</v>
      </c>
    </row>
    <row r="877" spans="1:2" ht="15.75" hidden="1" customHeight="1" x14ac:dyDescent="0.25">
      <c r="A877" s="6">
        <v>43017</v>
      </c>
      <c r="B877" s="6" t="s">
        <v>1656</v>
      </c>
    </row>
    <row r="878" spans="1:2" ht="15.75" hidden="1" customHeight="1" x14ac:dyDescent="0.25">
      <c r="A878" s="6">
        <v>43018</v>
      </c>
      <c r="B878" s="6" t="s">
        <v>1657</v>
      </c>
    </row>
    <row r="879" spans="1:2" ht="15.75" hidden="1" customHeight="1" x14ac:dyDescent="0.25">
      <c r="A879" s="6">
        <v>43019</v>
      </c>
      <c r="B879" s="6" t="s">
        <v>1658</v>
      </c>
    </row>
    <row r="880" spans="1:2" ht="15.75" hidden="1" customHeight="1" x14ac:dyDescent="0.25">
      <c r="A880" s="6">
        <v>43020</v>
      </c>
      <c r="B880" s="6" t="s">
        <v>1692</v>
      </c>
    </row>
    <row r="881" spans="1:2" ht="15.75" hidden="1" customHeight="1" x14ac:dyDescent="0.25">
      <c r="A881" s="6">
        <v>43021</v>
      </c>
      <c r="B881" s="6" t="s">
        <v>1693</v>
      </c>
    </row>
    <row r="882" spans="1:2" ht="15.75" hidden="1" customHeight="1" x14ac:dyDescent="0.25">
      <c r="A882" s="6">
        <v>43022</v>
      </c>
      <c r="B882" s="6" t="s">
        <v>1694</v>
      </c>
    </row>
    <row r="883" spans="1:2" ht="15.75" hidden="1" customHeight="1" x14ac:dyDescent="0.25">
      <c r="A883" s="6">
        <v>43023</v>
      </c>
      <c r="B883" s="6" t="s">
        <v>1695</v>
      </c>
    </row>
    <row r="884" spans="1:2" ht="15.75" hidden="1" customHeight="1" x14ac:dyDescent="0.25">
      <c r="A884" s="6">
        <v>44001</v>
      </c>
      <c r="B884" s="6" t="s">
        <v>1158</v>
      </c>
    </row>
    <row r="885" spans="1:2" ht="15.75" hidden="1" customHeight="1" x14ac:dyDescent="0.25">
      <c r="A885" s="6">
        <v>44002</v>
      </c>
      <c r="B885" s="6" t="s">
        <v>1161</v>
      </c>
    </row>
    <row r="886" spans="1:2" ht="15.75" hidden="1" customHeight="1" x14ac:dyDescent="0.25">
      <c r="A886" s="6">
        <v>44003</v>
      </c>
      <c r="B886" s="6" t="s">
        <v>1160</v>
      </c>
    </row>
    <row r="887" spans="1:2" ht="15.75" hidden="1" customHeight="1" x14ac:dyDescent="0.25">
      <c r="A887" s="6">
        <v>44004</v>
      </c>
      <c r="B887" s="6" t="s">
        <v>1159</v>
      </c>
    </row>
    <row r="888" spans="1:2" ht="15.75" hidden="1" customHeight="1" x14ac:dyDescent="0.25">
      <c r="A888" s="6">
        <v>44005</v>
      </c>
      <c r="B888" s="6" t="s">
        <v>1279</v>
      </c>
    </row>
    <row r="889" spans="1:2" ht="15.75" hidden="1" customHeight="1" x14ac:dyDescent="0.25">
      <c r="A889" s="6">
        <v>45001</v>
      </c>
      <c r="B889" s="6" t="s">
        <v>1009</v>
      </c>
    </row>
    <row r="890" spans="1:2" ht="15.75" hidden="1" customHeight="1" x14ac:dyDescent="0.25">
      <c r="A890" s="6">
        <v>45002</v>
      </c>
      <c r="B890" s="6" t="s">
        <v>1006</v>
      </c>
    </row>
    <row r="891" spans="1:2" ht="15.75" hidden="1" customHeight="1" x14ac:dyDescent="0.25">
      <c r="A891" s="6">
        <v>45003</v>
      </c>
      <c r="B891" s="6" t="s">
        <v>1007</v>
      </c>
    </row>
    <row r="892" spans="1:2" ht="15.75" hidden="1" customHeight="1" x14ac:dyDescent="0.25">
      <c r="A892" s="6">
        <v>45004</v>
      </c>
      <c r="B892" s="6" t="s">
        <v>1008</v>
      </c>
    </row>
    <row r="893" spans="1:2" ht="15.75" hidden="1" customHeight="1" x14ac:dyDescent="0.25">
      <c r="A893" s="6">
        <v>45005</v>
      </c>
      <c r="B893" s="6" t="s">
        <v>1010</v>
      </c>
    </row>
    <row r="894" spans="1:2" ht="15.75" hidden="1" customHeight="1" x14ac:dyDescent="0.25">
      <c r="A894" s="6">
        <v>45006</v>
      </c>
      <c r="B894" s="6" t="s">
        <v>1536</v>
      </c>
    </row>
    <row r="895" spans="1:2" ht="15.75" hidden="1" customHeight="1" x14ac:dyDescent="0.25">
      <c r="A895" s="6">
        <v>45007</v>
      </c>
      <c r="B895" s="6" t="s">
        <v>1533</v>
      </c>
    </row>
    <row r="896" spans="1:2" ht="15.75" hidden="1" customHeight="1" x14ac:dyDescent="0.25">
      <c r="A896" s="6">
        <v>45008</v>
      </c>
      <c r="B896" s="6" t="s">
        <v>1534</v>
      </c>
    </row>
    <row r="897" spans="1:2" ht="15.75" hidden="1" customHeight="1" x14ac:dyDescent="0.25">
      <c r="A897" s="6">
        <v>45009</v>
      </c>
      <c r="B897" s="6" t="s">
        <v>1535</v>
      </c>
    </row>
    <row r="898" spans="1:2" ht="15.75" hidden="1" customHeight="1" x14ac:dyDescent="0.25">
      <c r="A898" s="6">
        <v>45010</v>
      </c>
      <c r="B898" s="6" t="s">
        <v>1537</v>
      </c>
    </row>
    <row r="899" spans="1:2" ht="15.75" hidden="1" customHeight="1" x14ac:dyDescent="0.25">
      <c r="A899" s="6">
        <v>45011</v>
      </c>
      <c r="B899" s="6" t="s">
        <v>1462</v>
      </c>
    </row>
    <row r="900" spans="1:2" ht="15.75" hidden="1" customHeight="1" x14ac:dyDescent="0.25">
      <c r="A900" s="6">
        <v>45012</v>
      </c>
      <c r="B900" s="6" t="s">
        <v>1113</v>
      </c>
    </row>
    <row r="901" spans="1:2" ht="15.75" hidden="1" customHeight="1" x14ac:dyDescent="0.25">
      <c r="A901" s="6">
        <v>45013</v>
      </c>
      <c r="B901" s="6" t="s">
        <v>690</v>
      </c>
    </row>
    <row r="902" spans="1:2" ht="15.75" hidden="1" customHeight="1" x14ac:dyDescent="0.25">
      <c r="A902" s="6">
        <v>45014</v>
      </c>
      <c r="B902" s="6" t="s">
        <v>688</v>
      </c>
    </row>
    <row r="903" spans="1:2" ht="15.75" hidden="1" customHeight="1" x14ac:dyDescent="0.25">
      <c r="A903" s="6">
        <v>45015</v>
      </c>
      <c r="B903" s="6" t="s">
        <v>689</v>
      </c>
    </row>
    <row r="904" spans="1:2" ht="15.75" hidden="1" customHeight="1" x14ac:dyDescent="0.25">
      <c r="A904" s="6">
        <v>45016</v>
      </c>
      <c r="B904" s="6" t="s">
        <v>680</v>
      </c>
    </row>
    <row r="905" spans="1:2" ht="15.75" hidden="1" customHeight="1" x14ac:dyDescent="0.25">
      <c r="A905" s="6">
        <v>45017</v>
      </c>
      <c r="B905" s="6" t="s">
        <v>678</v>
      </c>
    </row>
    <row r="906" spans="1:2" ht="15.75" hidden="1" customHeight="1" x14ac:dyDescent="0.25">
      <c r="A906" s="6">
        <v>45018</v>
      </c>
      <c r="B906" s="6" t="s">
        <v>679</v>
      </c>
    </row>
    <row r="907" spans="1:2" ht="15.75" hidden="1" customHeight="1" x14ac:dyDescent="0.25">
      <c r="A907" s="6">
        <v>45019</v>
      </c>
      <c r="B907" s="6" t="s">
        <v>1051</v>
      </c>
    </row>
    <row r="908" spans="1:2" ht="15.75" hidden="1" customHeight="1" x14ac:dyDescent="0.25">
      <c r="A908" s="6">
        <v>45020</v>
      </c>
      <c r="B908" s="6" t="s">
        <v>1049</v>
      </c>
    </row>
    <row r="909" spans="1:2" ht="15.75" hidden="1" customHeight="1" x14ac:dyDescent="0.25">
      <c r="A909" s="6">
        <v>45021</v>
      </c>
      <c r="B909" s="6" t="s">
        <v>1050</v>
      </c>
    </row>
    <row r="910" spans="1:2" ht="15.75" hidden="1" customHeight="1" x14ac:dyDescent="0.25">
      <c r="A910" s="6">
        <v>45022</v>
      </c>
      <c r="B910" s="6" t="s">
        <v>1216</v>
      </c>
    </row>
    <row r="911" spans="1:2" ht="15.75" hidden="1" customHeight="1" x14ac:dyDescent="0.25">
      <c r="A911" s="6">
        <v>45023</v>
      </c>
      <c r="B911" s="6" t="s">
        <v>1214</v>
      </c>
    </row>
    <row r="912" spans="1:2" ht="15.75" hidden="1" customHeight="1" x14ac:dyDescent="0.25">
      <c r="A912" s="6">
        <v>45024</v>
      </c>
      <c r="B912" s="6" t="s">
        <v>1215</v>
      </c>
    </row>
    <row r="913" spans="1:2" ht="15.75" hidden="1" customHeight="1" x14ac:dyDescent="0.25">
      <c r="A913" s="6">
        <v>45025</v>
      </c>
      <c r="B913" s="6" t="s">
        <v>1301</v>
      </c>
    </row>
    <row r="914" spans="1:2" ht="15.75" hidden="1" customHeight="1" x14ac:dyDescent="0.25">
      <c r="A914" s="6">
        <v>45026</v>
      </c>
      <c r="B914" s="6" t="s">
        <v>1298</v>
      </c>
    </row>
    <row r="915" spans="1:2" ht="15.75" hidden="1" customHeight="1" x14ac:dyDescent="0.25">
      <c r="A915" s="6">
        <v>45027</v>
      </c>
      <c r="B915" s="6" t="s">
        <v>1299</v>
      </c>
    </row>
    <row r="916" spans="1:2" ht="15.75" hidden="1" customHeight="1" x14ac:dyDescent="0.25">
      <c r="A916" s="6">
        <v>45028</v>
      </c>
      <c r="B916" s="6" t="s">
        <v>1300</v>
      </c>
    </row>
    <row r="917" spans="1:2" ht="15.75" hidden="1" customHeight="1" x14ac:dyDescent="0.25">
      <c r="A917" s="6">
        <v>45029</v>
      </c>
      <c r="B917" s="6" t="s">
        <v>1439</v>
      </c>
    </row>
    <row r="918" spans="1:2" ht="15.75" hidden="1" customHeight="1" x14ac:dyDescent="0.25">
      <c r="A918" s="6">
        <v>45030</v>
      </c>
      <c r="B918" s="6" t="s">
        <v>1437</v>
      </c>
    </row>
    <row r="919" spans="1:2" ht="15.75" hidden="1" customHeight="1" x14ac:dyDescent="0.25">
      <c r="A919" s="6">
        <v>45031</v>
      </c>
      <c r="B919" s="6" t="s">
        <v>1438</v>
      </c>
    </row>
    <row r="920" spans="1:2" ht="15.75" hidden="1" customHeight="1" x14ac:dyDescent="0.25">
      <c r="A920" s="6">
        <v>45032</v>
      </c>
      <c r="B920" s="6" t="s">
        <v>705</v>
      </c>
    </row>
    <row r="921" spans="1:2" ht="15.75" hidden="1" customHeight="1" x14ac:dyDescent="0.25">
      <c r="A921" s="6">
        <v>45033</v>
      </c>
      <c r="B921" s="6" t="s">
        <v>702</v>
      </c>
    </row>
    <row r="922" spans="1:2" ht="15.75" hidden="1" customHeight="1" x14ac:dyDescent="0.25">
      <c r="A922" s="6">
        <v>45034</v>
      </c>
      <c r="B922" s="6" t="s">
        <v>703</v>
      </c>
    </row>
    <row r="923" spans="1:2" ht="15.75" hidden="1" customHeight="1" x14ac:dyDescent="0.25">
      <c r="A923" s="6">
        <v>45035</v>
      </c>
      <c r="B923" s="6" t="s">
        <v>704</v>
      </c>
    </row>
    <row r="924" spans="1:2" ht="15.75" hidden="1" customHeight="1" x14ac:dyDescent="0.25">
      <c r="A924" s="6">
        <v>45036</v>
      </c>
      <c r="B924" s="6" t="s">
        <v>1150</v>
      </c>
    </row>
    <row r="925" spans="1:2" ht="15.75" hidden="1" customHeight="1" x14ac:dyDescent="0.25">
      <c r="A925" s="6">
        <v>45037</v>
      </c>
      <c r="B925" s="6" t="s">
        <v>1148</v>
      </c>
    </row>
    <row r="926" spans="1:2" ht="15.75" hidden="1" customHeight="1" x14ac:dyDescent="0.25">
      <c r="A926" s="6">
        <v>45038</v>
      </c>
      <c r="B926" s="6" t="s">
        <v>1149</v>
      </c>
    </row>
    <row r="927" spans="1:2" ht="15.75" hidden="1" customHeight="1" x14ac:dyDescent="0.25">
      <c r="A927" s="6">
        <v>45039</v>
      </c>
      <c r="B927" s="6" t="s">
        <v>1464</v>
      </c>
    </row>
    <row r="928" spans="1:2" ht="15.75" hidden="1" customHeight="1" x14ac:dyDescent="0.25">
      <c r="A928" s="6">
        <v>45040</v>
      </c>
      <c r="B928" s="6" t="s">
        <v>1463</v>
      </c>
    </row>
    <row r="929" spans="1:2" ht="15.75" hidden="1" customHeight="1" x14ac:dyDescent="0.25">
      <c r="A929" s="6">
        <v>45041</v>
      </c>
      <c r="B929" s="6" t="s">
        <v>1109</v>
      </c>
    </row>
    <row r="930" spans="1:2" ht="15.75" hidden="1" customHeight="1" x14ac:dyDescent="0.25">
      <c r="A930" s="6">
        <v>45042</v>
      </c>
      <c r="B930" s="6" t="s">
        <v>1110</v>
      </c>
    </row>
    <row r="931" spans="1:2" ht="15.75" hidden="1" customHeight="1" x14ac:dyDescent="0.25">
      <c r="A931" s="6">
        <v>45043</v>
      </c>
      <c r="B931" s="6" t="s">
        <v>1112</v>
      </c>
    </row>
    <row r="932" spans="1:2" ht="15.75" hidden="1" customHeight="1" x14ac:dyDescent="0.25">
      <c r="A932" s="6">
        <v>45044</v>
      </c>
      <c r="B932" s="6" t="s">
        <v>821</v>
      </c>
    </row>
    <row r="933" spans="1:2" ht="15.75" hidden="1" customHeight="1" x14ac:dyDescent="0.25">
      <c r="A933" s="6">
        <v>45045</v>
      </c>
      <c r="B933" s="6" t="s">
        <v>819</v>
      </c>
    </row>
    <row r="934" spans="1:2" ht="15.75" hidden="1" customHeight="1" x14ac:dyDescent="0.25">
      <c r="A934" s="6">
        <v>45046</v>
      </c>
      <c r="B934" s="6" t="s">
        <v>820</v>
      </c>
    </row>
    <row r="935" spans="1:2" ht="15.75" hidden="1" customHeight="1" x14ac:dyDescent="0.25">
      <c r="A935" s="6">
        <v>45047</v>
      </c>
      <c r="B935" s="6" t="s">
        <v>873</v>
      </c>
    </row>
    <row r="936" spans="1:2" ht="15.75" hidden="1" customHeight="1" x14ac:dyDescent="0.25">
      <c r="A936" s="6">
        <v>45048</v>
      </c>
      <c r="B936" s="6" t="s">
        <v>874</v>
      </c>
    </row>
    <row r="937" spans="1:2" ht="15.75" hidden="1" customHeight="1" x14ac:dyDescent="0.25">
      <c r="A937" s="6">
        <v>45049</v>
      </c>
      <c r="B937" s="6" t="s">
        <v>871</v>
      </c>
    </row>
    <row r="938" spans="1:2" ht="15.75" hidden="1" customHeight="1" x14ac:dyDescent="0.25">
      <c r="A938" s="6">
        <v>45050</v>
      </c>
      <c r="B938" s="6" t="s">
        <v>872</v>
      </c>
    </row>
    <row r="939" spans="1:2" ht="15.75" hidden="1" customHeight="1" x14ac:dyDescent="0.25">
      <c r="A939" s="6">
        <v>45051</v>
      </c>
      <c r="B939" s="6" t="s">
        <v>672</v>
      </c>
    </row>
    <row r="940" spans="1:2" ht="15.75" hidden="1" customHeight="1" x14ac:dyDescent="0.25">
      <c r="A940" s="6">
        <v>45052</v>
      </c>
      <c r="B940" s="6" t="s">
        <v>670</v>
      </c>
    </row>
    <row r="941" spans="1:2" ht="15.75" hidden="1" customHeight="1" x14ac:dyDescent="0.25">
      <c r="A941" s="6">
        <v>45053</v>
      </c>
      <c r="B941" s="6" t="s">
        <v>671</v>
      </c>
    </row>
    <row r="942" spans="1:2" ht="15.75" hidden="1" customHeight="1" x14ac:dyDescent="0.25">
      <c r="A942" s="6">
        <v>45054</v>
      </c>
      <c r="B942" s="6" t="s">
        <v>878</v>
      </c>
    </row>
    <row r="943" spans="1:2" ht="15.75" hidden="1" customHeight="1" x14ac:dyDescent="0.25">
      <c r="A943" s="6">
        <v>45055</v>
      </c>
      <c r="B943" s="6" t="s">
        <v>875</v>
      </c>
    </row>
    <row r="944" spans="1:2" ht="15.75" hidden="1" customHeight="1" x14ac:dyDescent="0.25">
      <c r="A944" s="6">
        <v>45056</v>
      </c>
      <c r="B944" s="6" t="s">
        <v>876</v>
      </c>
    </row>
    <row r="945" spans="1:2" ht="15.75" hidden="1" customHeight="1" x14ac:dyDescent="0.25">
      <c r="A945" s="6">
        <v>45057</v>
      </c>
      <c r="B945" s="6" t="s">
        <v>877</v>
      </c>
    </row>
    <row r="946" spans="1:2" ht="15.75" hidden="1" customHeight="1" x14ac:dyDescent="0.25">
      <c r="A946" s="6">
        <v>45058</v>
      </c>
      <c r="B946" s="6" t="s">
        <v>1166</v>
      </c>
    </row>
    <row r="947" spans="1:2" ht="15.75" hidden="1" customHeight="1" x14ac:dyDescent="0.25">
      <c r="A947" s="6">
        <v>45059</v>
      </c>
      <c r="B947" s="6" t="s">
        <v>1164</v>
      </c>
    </row>
    <row r="948" spans="1:2" ht="15.75" hidden="1" customHeight="1" x14ac:dyDescent="0.25">
      <c r="A948" s="6">
        <v>45060</v>
      </c>
      <c r="B948" s="6" t="s">
        <v>1165</v>
      </c>
    </row>
    <row r="949" spans="1:2" ht="15.75" hidden="1" customHeight="1" x14ac:dyDescent="0.25">
      <c r="A949" s="6">
        <v>45061</v>
      </c>
      <c r="B949" s="6" t="s">
        <v>687</v>
      </c>
    </row>
    <row r="950" spans="1:2" ht="15.75" hidden="1" customHeight="1" x14ac:dyDescent="0.25">
      <c r="A950" s="6">
        <v>45062</v>
      </c>
      <c r="B950" s="6" t="s">
        <v>686</v>
      </c>
    </row>
    <row r="951" spans="1:2" ht="15.75" hidden="1" customHeight="1" x14ac:dyDescent="0.25">
      <c r="A951" s="6">
        <v>45064</v>
      </c>
      <c r="B951" s="6" t="s">
        <v>1111</v>
      </c>
    </row>
    <row r="952" spans="1:2" ht="15.75" hidden="1" customHeight="1" x14ac:dyDescent="0.25">
      <c r="A952" s="6">
        <v>446001</v>
      </c>
      <c r="B952" s="6" t="s">
        <v>1611</v>
      </c>
    </row>
    <row r="953" spans="1:2" ht="15.75" hidden="1" customHeight="1" x14ac:dyDescent="0.25">
      <c r="A953" s="6">
        <v>446002</v>
      </c>
      <c r="B953" s="6" t="s">
        <v>1608</v>
      </c>
    </row>
    <row r="954" spans="1:2" ht="15.75" hidden="1" customHeight="1" x14ac:dyDescent="0.25">
      <c r="A954" s="6">
        <v>446003</v>
      </c>
      <c r="B954" s="6" t="s">
        <v>1610</v>
      </c>
    </row>
    <row r="955" spans="1:2" ht="15.75" hidden="1" customHeight="1" x14ac:dyDescent="0.25">
      <c r="A955" s="6">
        <v>446004</v>
      </c>
      <c r="B955" s="6" t="s">
        <v>1609</v>
      </c>
    </row>
    <row r="956" spans="1:2" ht="15.75" hidden="1" customHeight="1" x14ac:dyDescent="0.25">
      <c r="A956" s="6">
        <v>446005</v>
      </c>
      <c r="B956" s="6" t="s">
        <v>663</v>
      </c>
    </row>
    <row r="957" spans="1:2" ht="15.75" hidden="1" customHeight="1" x14ac:dyDescent="0.25">
      <c r="A957" s="6">
        <v>446006</v>
      </c>
      <c r="B957" s="6" t="s">
        <v>651</v>
      </c>
    </row>
    <row r="958" spans="1:2" ht="15.75" hidden="1" customHeight="1" x14ac:dyDescent="0.25">
      <c r="A958" s="6">
        <v>446007</v>
      </c>
      <c r="B958" s="6" t="s">
        <v>660</v>
      </c>
    </row>
    <row r="959" spans="1:2" ht="15.75" hidden="1" customHeight="1" x14ac:dyDescent="0.25">
      <c r="A959" s="6">
        <v>446008</v>
      </c>
      <c r="B959" s="6" t="s">
        <v>652</v>
      </c>
    </row>
    <row r="960" spans="1:2" ht="15.75" hidden="1" customHeight="1" x14ac:dyDescent="0.25">
      <c r="A960" s="6">
        <v>446009</v>
      </c>
      <c r="B960" s="6" t="s">
        <v>653</v>
      </c>
    </row>
    <row r="961" spans="1:2" ht="15.75" hidden="1" customHeight="1" x14ac:dyDescent="0.25">
      <c r="A961" s="6">
        <v>446010</v>
      </c>
      <c r="B961" s="6" t="s">
        <v>657</v>
      </c>
    </row>
    <row r="962" spans="1:2" ht="15.75" hidden="1" customHeight="1" x14ac:dyDescent="0.25">
      <c r="A962" s="6">
        <v>446011</v>
      </c>
      <c r="B962" s="6" t="s">
        <v>655</v>
      </c>
    </row>
    <row r="963" spans="1:2" ht="15.75" hidden="1" customHeight="1" x14ac:dyDescent="0.25">
      <c r="A963" s="6">
        <v>446012</v>
      </c>
      <c r="B963" s="6" t="s">
        <v>654</v>
      </c>
    </row>
    <row r="964" spans="1:2" ht="15.75" hidden="1" customHeight="1" x14ac:dyDescent="0.25">
      <c r="A964" s="6">
        <v>446013</v>
      </c>
      <c r="B964" s="6" t="s">
        <v>662</v>
      </c>
    </row>
    <row r="965" spans="1:2" ht="15.75" hidden="1" customHeight="1" x14ac:dyDescent="0.25">
      <c r="A965" s="6">
        <v>446014</v>
      </c>
      <c r="B965" s="6" t="s">
        <v>661</v>
      </c>
    </row>
    <row r="966" spans="1:2" ht="15.75" hidden="1" customHeight="1" x14ac:dyDescent="0.25">
      <c r="A966" s="6">
        <v>446015</v>
      </c>
      <c r="B966" s="6" t="s">
        <v>659</v>
      </c>
    </row>
    <row r="967" spans="1:2" ht="15.75" hidden="1" customHeight="1" x14ac:dyDescent="0.25">
      <c r="A967" s="6">
        <v>446016</v>
      </c>
      <c r="B967" s="6" t="s">
        <v>656</v>
      </c>
    </row>
    <row r="968" spans="1:2" ht="15.75" hidden="1" customHeight="1" x14ac:dyDescent="0.25">
      <c r="A968" s="6">
        <v>446017</v>
      </c>
      <c r="B968" s="6" t="s">
        <v>658</v>
      </c>
    </row>
    <row r="969" spans="1:2" ht="15.75" hidden="1" customHeight="1" x14ac:dyDescent="0.25">
      <c r="A969" s="6">
        <v>446018</v>
      </c>
      <c r="B969" s="6" t="s">
        <v>664</v>
      </c>
    </row>
    <row r="970" spans="1:2" ht="15.75" hidden="1" customHeight="1" x14ac:dyDescent="0.25">
      <c r="A970" s="6">
        <v>446019</v>
      </c>
      <c r="B970" s="6" t="s">
        <v>665</v>
      </c>
    </row>
    <row r="971" spans="1:2" ht="15.75" hidden="1" customHeight="1" x14ac:dyDescent="0.25">
      <c r="A971" s="6">
        <v>47001</v>
      </c>
      <c r="B971" s="6" t="s">
        <v>1503</v>
      </c>
    </row>
    <row r="972" spans="1:2" ht="15.75" hidden="1" customHeight="1" x14ac:dyDescent="0.25">
      <c r="A972" s="6">
        <v>47002</v>
      </c>
      <c r="B972" s="6" t="s">
        <v>1501</v>
      </c>
    </row>
    <row r="973" spans="1:2" ht="15.75" hidden="1" customHeight="1" x14ac:dyDescent="0.25">
      <c r="A973" s="6">
        <v>47003</v>
      </c>
      <c r="B973" s="6" t="s">
        <v>1505</v>
      </c>
    </row>
    <row r="974" spans="1:2" ht="15.75" hidden="1" customHeight="1" x14ac:dyDescent="0.25">
      <c r="A974" s="6">
        <v>47004</v>
      </c>
      <c r="B974" s="6" t="s">
        <v>1472</v>
      </c>
    </row>
    <row r="975" spans="1:2" ht="15.75" hidden="1" customHeight="1" x14ac:dyDescent="0.25">
      <c r="A975" s="6">
        <v>47005</v>
      </c>
      <c r="B975" s="6" t="s">
        <v>1470</v>
      </c>
    </row>
    <row r="976" spans="1:2" ht="15.75" hidden="1" customHeight="1" x14ac:dyDescent="0.25">
      <c r="A976" s="6">
        <v>47006</v>
      </c>
      <c r="B976" s="6" t="s">
        <v>1474</v>
      </c>
    </row>
    <row r="977" spans="1:2" ht="15.75" hidden="1" customHeight="1" x14ac:dyDescent="0.25">
      <c r="A977" s="6">
        <v>47007</v>
      </c>
      <c r="B977" s="6" t="s">
        <v>1502</v>
      </c>
    </row>
    <row r="978" spans="1:2" ht="15.75" hidden="1" customHeight="1" x14ac:dyDescent="0.25">
      <c r="A978" s="6">
        <v>47008</v>
      </c>
      <c r="B978" s="6" t="s">
        <v>1500</v>
      </c>
    </row>
    <row r="979" spans="1:2" ht="15.75" hidden="1" customHeight="1" x14ac:dyDescent="0.25">
      <c r="A979" s="6">
        <v>47009</v>
      </c>
      <c r="B979" s="6" t="s">
        <v>1504</v>
      </c>
    </row>
    <row r="980" spans="1:2" ht="15.75" hidden="1" customHeight="1" x14ac:dyDescent="0.25">
      <c r="A980" s="6">
        <v>47010</v>
      </c>
      <c r="B980" s="6" t="s">
        <v>1471</v>
      </c>
    </row>
    <row r="981" spans="1:2" ht="15.75" hidden="1" customHeight="1" x14ac:dyDescent="0.25">
      <c r="A981" s="6">
        <v>47011</v>
      </c>
      <c r="B981" s="6" t="s">
        <v>1469</v>
      </c>
    </row>
    <row r="982" spans="1:2" ht="15.75" hidden="1" customHeight="1" x14ac:dyDescent="0.25">
      <c r="A982" s="6">
        <v>47012</v>
      </c>
      <c r="B982" s="6" t="s">
        <v>1473</v>
      </c>
    </row>
    <row r="983" spans="1:2" ht="15.75" hidden="1" customHeight="1" x14ac:dyDescent="0.25">
      <c r="A983" s="6">
        <v>47013</v>
      </c>
      <c r="B983" s="6" t="s">
        <v>860</v>
      </c>
    </row>
    <row r="984" spans="1:2" ht="15.75" hidden="1" customHeight="1" x14ac:dyDescent="0.25">
      <c r="A984" s="6">
        <v>47014</v>
      </c>
      <c r="B984" s="6" t="s">
        <v>858</v>
      </c>
    </row>
    <row r="985" spans="1:2" ht="15.75" hidden="1" customHeight="1" x14ac:dyDescent="0.25">
      <c r="A985" s="6">
        <v>47015</v>
      </c>
      <c r="B985" s="6" t="s">
        <v>862</v>
      </c>
    </row>
    <row r="986" spans="1:2" ht="15.75" hidden="1" customHeight="1" x14ac:dyDescent="0.25">
      <c r="A986" s="6">
        <v>47016</v>
      </c>
      <c r="B986" s="6" t="s">
        <v>859</v>
      </c>
    </row>
    <row r="987" spans="1:2" ht="15.75" hidden="1" customHeight="1" x14ac:dyDescent="0.25">
      <c r="A987" s="6">
        <v>47017</v>
      </c>
      <c r="B987" s="6" t="s">
        <v>857</v>
      </c>
    </row>
    <row r="988" spans="1:2" ht="15.75" hidden="1" customHeight="1" x14ac:dyDescent="0.25">
      <c r="A988" s="6">
        <v>47018</v>
      </c>
      <c r="B988" s="6" t="s">
        <v>861</v>
      </c>
    </row>
    <row r="989" spans="1:2" ht="15.75" hidden="1" customHeight="1" x14ac:dyDescent="0.25">
      <c r="A989" s="6">
        <v>47019</v>
      </c>
      <c r="B989" s="6" t="s">
        <v>1696</v>
      </c>
    </row>
    <row r="990" spans="1:2" ht="15.75" hidden="1" customHeight="1" x14ac:dyDescent="0.25">
      <c r="A990" s="6">
        <v>47020</v>
      </c>
      <c r="B990" s="6" t="s">
        <v>1697</v>
      </c>
    </row>
    <row r="991" spans="1:2" ht="15.75" hidden="1" customHeight="1" x14ac:dyDescent="0.25">
      <c r="A991" s="6">
        <v>47021</v>
      </c>
      <c r="B991" s="6" t="s">
        <v>1698</v>
      </c>
    </row>
    <row r="992" spans="1:2" ht="15.75" hidden="1" customHeight="1" x14ac:dyDescent="0.25">
      <c r="A992" s="6">
        <v>47022</v>
      </c>
      <c r="B992" s="6" t="s">
        <v>1699</v>
      </c>
    </row>
    <row r="993" spans="1:2" ht="15.75" hidden="1" customHeight="1" x14ac:dyDescent="0.25">
      <c r="A993" s="6">
        <v>47023</v>
      </c>
      <c r="B993" s="6" t="s">
        <v>1700</v>
      </c>
    </row>
    <row r="994" spans="1:2" ht="15.75" hidden="1" customHeight="1" x14ac:dyDescent="0.25">
      <c r="A994" s="6">
        <v>47024</v>
      </c>
      <c r="B994" s="6" t="s">
        <v>1701</v>
      </c>
    </row>
    <row r="995" spans="1:2" ht="15.75" hidden="1" customHeight="1" x14ac:dyDescent="0.25">
      <c r="A995" s="6">
        <v>48001</v>
      </c>
      <c r="B995" s="6" t="s">
        <v>115</v>
      </c>
    </row>
    <row r="996" spans="1:2" ht="15.75" hidden="1" customHeight="1" x14ac:dyDescent="0.25">
      <c r="A996" s="6">
        <v>48002</v>
      </c>
      <c r="B996" s="6" t="s">
        <v>903</v>
      </c>
    </row>
    <row r="997" spans="1:2" ht="15.75" hidden="1" customHeight="1" x14ac:dyDescent="0.25">
      <c r="A997" s="6">
        <v>48003</v>
      </c>
      <c r="B997" s="6" t="s">
        <v>1367</v>
      </c>
    </row>
    <row r="998" spans="1:2" ht="15.75" hidden="1" customHeight="1" x14ac:dyDescent="0.25">
      <c r="A998" s="6">
        <v>48004</v>
      </c>
      <c r="B998" s="6" t="s">
        <v>1368</v>
      </c>
    </row>
    <row r="999" spans="1:2" ht="15.75" hidden="1" customHeight="1" x14ac:dyDescent="0.25">
      <c r="A999" s="6">
        <v>48005</v>
      </c>
      <c r="B999" s="6" t="s">
        <v>1440</v>
      </c>
    </row>
    <row r="1000" spans="1:2" ht="15.75" customHeight="1" x14ac:dyDescent="0.25">
      <c r="A1000" s="6">
        <v>49001</v>
      </c>
      <c r="B1000" s="6" t="s">
        <v>1064</v>
      </c>
    </row>
    <row r="1001" spans="1:2" ht="15.75" customHeight="1" x14ac:dyDescent="0.25">
      <c r="A1001" s="6">
        <v>49002</v>
      </c>
      <c r="B1001" s="6" t="s">
        <v>1060</v>
      </c>
    </row>
    <row r="1002" spans="1:2" ht="15.75" hidden="1" customHeight="1" x14ac:dyDescent="0.25">
      <c r="A1002" s="6">
        <v>49003</v>
      </c>
      <c r="B1002" s="6" t="s">
        <v>1219</v>
      </c>
    </row>
    <row r="1003" spans="1:2" ht="15.75" hidden="1" customHeight="1" x14ac:dyDescent="0.25">
      <c r="A1003" s="6">
        <v>49004</v>
      </c>
      <c r="B1003" s="6" t="s">
        <v>1217</v>
      </c>
    </row>
    <row r="1004" spans="1:2" ht="15.75" hidden="1" customHeight="1" x14ac:dyDescent="0.25">
      <c r="A1004" s="6">
        <v>49005</v>
      </c>
      <c r="B1004" s="6" t="s">
        <v>1218</v>
      </c>
    </row>
    <row r="1005" spans="1:2" ht="15.75" customHeight="1" x14ac:dyDescent="0.25">
      <c r="A1005" s="6">
        <v>49006</v>
      </c>
      <c r="B1005" s="6" t="s">
        <v>1063</v>
      </c>
    </row>
    <row r="1006" spans="1:2" ht="15.75" customHeight="1" x14ac:dyDescent="0.25">
      <c r="A1006" s="6">
        <v>49007</v>
      </c>
      <c r="B1006" s="6" t="s">
        <v>1061</v>
      </c>
    </row>
    <row r="1007" spans="1:2" ht="15.75" customHeight="1" x14ac:dyDescent="0.25">
      <c r="A1007" s="6">
        <v>49008</v>
      </c>
      <c r="B1007" s="6" t="s">
        <v>1062</v>
      </c>
    </row>
    <row r="1008" spans="1:2" ht="15.75" hidden="1" customHeight="1" x14ac:dyDescent="0.25">
      <c r="A1008" s="6">
        <v>50001</v>
      </c>
      <c r="B1008" s="6" t="s">
        <v>1527</v>
      </c>
    </row>
    <row r="1009" spans="1:2" ht="15.75" hidden="1" customHeight="1" x14ac:dyDescent="0.25">
      <c r="A1009" s="6">
        <v>51001</v>
      </c>
      <c r="B1009" s="6" t="s">
        <v>1361</v>
      </c>
    </row>
    <row r="1010" spans="1:2" ht="15.75" hidden="1" customHeight="1" x14ac:dyDescent="0.25">
      <c r="A1010" s="6">
        <v>52001</v>
      </c>
      <c r="B1010" s="6" t="s">
        <v>768</v>
      </c>
    </row>
    <row r="1011" spans="1:2" ht="15.75" hidden="1" customHeight="1" x14ac:dyDescent="0.25">
      <c r="A1011" s="6">
        <v>52002</v>
      </c>
      <c r="B1011" s="6" t="s">
        <v>901</v>
      </c>
    </row>
    <row r="1012" spans="1:2" ht="15.75" hidden="1" customHeight="1" x14ac:dyDescent="0.25">
      <c r="A1012" s="6">
        <v>52003</v>
      </c>
      <c r="B1012" s="6" t="s">
        <v>1352</v>
      </c>
    </row>
    <row r="1013" spans="1:2" ht="15.75" hidden="1" customHeight="1" x14ac:dyDescent="0.25">
      <c r="A1013" s="6">
        <v>53001</v>
      </c>
      <c r="B1013" s="6" t="s">
        <v>683</v>
      </c>
    </row>
    <row r="1014" spans="1:2" ht="15.75" hidden="1" customHeight="1" x14ac:dyDescent="0.25">
      <c r="A1014" s="6">
        <v>53002</v>
      </c>
      <c r="B1014" s="6" t="s">
        <v>684</v>
      </c>
    </row>
    <row r="1015" spans="1:2" ht="15.75" hidden="1" customHeight="1" x14ac:dyDescent="0.25">
      <c r="A1015" s="6">
        <v>53003</v>
      </c>
      <c r="B1015" s="6" t="s">
        <v>681</v>
      </c>
    </row>
    <row r="1016" spans="1:2" ht="15.75" hidden="1" customHeight="1" x14ac:dyDescent="0.25">
      <c r="A1016" s="6">
        <v>53004</v>
      </c>
      <c r="B1016" s="6" t="s">
        <v>682</v>
      </c>
    </row>
    <row r="1017" spans="1:2" ht="15.75" hidden="1" customHeight="1" x14ac:dyDescent="0.25">
      <c r="A1017" s="6">
        <v>53005</v>
      </c>
      <c r="B1017" s="6" t="s">
        <v>1044</v>
      </c>
    </row>
    <row r="1018" spans="1:2" ht="15.75" hidden="1" customHeight="1" x14ac:dyDescent="0.25">
      <c r="A1018" s="6">
        <v>53006</v>
      </c>
      <c r="B1018" s="6" t="s">
        <v>1045</v>
      </c>
    </row>
    <row r="1019" spans="1:2" ht="15.75" hidden="1" customHeight="1" x14ac:dyDescent="0.25">
      <c r="A1019" s="6">
        <v>53007</v>
      </c>
      <c r="B1019" s="6" t="s">
        <v>1042</v>
      </c>
    </row>
    <row r="1020" spans="1:2" ht="15.75" hidden="1" customHeight="1" x14ac:dyDescent="0.25">
      <c r="A1020" s="6">
        <v>53008</v>
      </c>
      <c r="B1020" s="6" t="s">
        <v>1043</v>
      </c>
    </row>
    <row r="1021" spans="1:2" ht="15.75" hidden="1" customHeight="1" x14ac:dyDescent="0.25">
      <c r="A1021" s="6">
        <v>53009</v>
      </c>
      <c r="B1021" s="6" t="s">
        <v>693</v>
      </c>
    </row>
    <row r="1022" spans="1:2" ht="15.75" hidden="1" customHeight="1" x14ac:dyDescent="0.25">
      <c r="A1022" s="6">
        <v>53010</v>
      </c>
      <c r="B1022" s="6" t="s">
        <v>694</v>
      </c>
    </row>
    <row r="1023" spans="1:2" ht="15.75" hidden="1" customHeight="1" x14ac:dyDescent="0.25">
      <c r="A1023" s="6">
        <v>53011</v>
      </c>
      <c r="B1023" s="6" t="s">
        <v>691</v>
      </c>
    </row>
    <row r="1024" spans="1:2" ht="15.75" hidden="1" customHeight="1" x14ac:dyDescent="0.25">
      <c r="A1024" s="6">
        <v>53012</v>
      </c>
      <c r="B1024" s="6" t="s">
        <v>692</v>
      </c>
    </row>
    <row r="1025" spans="1:2" ht="15.75" hidden="1" customHeight="1" x14ac:dyDescent="0.25">
      <c r="A1025" s="6">
        <v>53013</v>
      </c>
      <c r="B1025" s="6" t="s">
        <v>824</v>
      </c>
    </row>
    <row r="1026" spans="1:2" ht="15.75" hidden="1" customHeight="1" x14ac:dyDescent="0.25">
      <c r="A1026" s="6">
        <v>53014</v>
      </c>
      <c r="B1026" s="6" t="s">
        <v>825</v>
      </c>
    </row>
    <row r="1027" spans="1:2" ht="15.75" hidden="1" customHeight="1" x14ac:dyDescent="0.25">
      <c r="A1027" s="6">
        <v>53015</v>
      </c>
      <c r="B1027" s="6" t="s">
        <v>822</v>
      </c>
    </row>
    <row r="1028" spans="1:2" ht="15.75" hidden="1" customHeight="1" x14ac:dyDescent="0.25">
      <c r="A1028" s="6">
        <v>53016</v>
      </c>
      <c r="B1028" s="6" t="s">
        <v>823</v>
      </c>
    </row>
    <row r="1029" spans="1:2" ht="15.75" hidden="1" customHeight="1" x14ac:dyDescent="0.25">
      <c r="A1029" s="6">
        <v>53017</v>
      </c>
      <c r="B1029" s="6" t="s">
        <v>745</v>
      </c>
    </row>
    <row r="1030" spans="1:2" ht="15.75" hidden="1" customHeight="1" x14ac:dyDescent="0.25">
      <c r="A1030" s="6">
        <v>53018</v>
      </c>
      <c r="B1030" s="6" t="s">
        <v>746</v>
      </c>
    </row>
    <row r="1031" spans="1:2" ht="15.75" hidden="1" customHeight="1" x14ac:dyDescent="0.25">
      <c r="A1031" s="6">
        <v>53019</v>
      </c>
      <c r="B1031" s="6" t="s">
        <v>743</v>
      </c>
    </row>
    <row r="1032" spans="1:2" ht="15.75" hidden="1" customHeight="1" x14ac:dyDescent="0.25">
      <c r="A1032" s="6">
        <v>53020</v>
      </c>
      <c r="B1032" s="6" t="s">
        <v>744</v>
      </c>
    </row>
    <row r="1033" spans="1:2" ht="15.75" hidden="1" customHeight="1" x14ac:dyDescent="0.25">
      <c r="A1033" s="6">
        <v>53021</v>
      </c>
      <c r="B1033" s="6" t="s">
        <v>960</v>
      </c>
    </row>
    <row r="1034" spans="1:2" ht="15.75" hidden="1" customHeight="1" x14ac:dyDescent="0.25">
      <c r="A1034" s="6">
        <v>53022</v>
      </c>
      <c r="B1034" s="6" t="s">
        <v>961</v>
      </c>
    </row>
    <row r="1035" spans="1:2" ht="15.75" hidden="1" customHeight="1" x14ac:dyDescent="0.25">
      <c r="A1035" s="6">
        <v>53023</v>
      </c>
      <c r="B1035" s="6" t="s">
        <v>958</v>
      </c>
    </row>
    <row r="1036" spans="1:2" ht="15.75" hidden="1" customHeight="1" x14ac:dyDescent="0.25">
      <c r="A1036" s="6">
        <v>53024</v>
      </c>
      <c r="B1036" s="6" t="s">
        <v>959</v>
      </c>
    </row>
    <row r="1037" spans="1:2" ht="15.75" hidden="1" customHeight="1" x14ac:dyDescent="0.25">
      <c r="A1037" s="6">
        <v>53025</v>
      </c>
      <c r="B1037" s="6" t="s">
        <v>1428</v>
      </c>
    </row>
    <row r="1038" spans="1:2" ht="15.75" hidden="1" customHeight="1" x14ac:dyDescent="0.25">
      <c r="A1038" s="6">
        <v>53026</v>
      </c>
      <c r="B1038" s="6" t="s">
        <v>1429</v>
      </c>
    </row>
    <row r="1039" spans="1:2" ht="15.75" hidden="1" customHeight="1" x14ac:dyDescent="0.25">
      <c r="A1039" s="6">
        <v>53027</v>
      </c>
      <c r="B1039" s="6" t="s">
        <v>1426</v>
      </c>
    </row>
    <row r="1040" spans="1:2" ht="15.75" hidden="1" customHeight="1" x14ac:dyDescent="0.25">
      <c r="A1040" s="6">
        <v>53028</v>
      </c>
      <c r="B1040" s="6" t="s">
        <v>1427</v>
      </c>
    </row>
    <row r="1041" spans="1:2" ht="15.75" hidden="1" customHeight="1" x14ac:dyDescent="0.25">
      <c r="A1041" s="6">
        <v>53029</v>
      </c>
      <c r="B1041" s="6" t="s">
        <v>763</v>
      </c>
    </row>
    <row r="1042" spans="1:2" ht="15.75" hidden="1" customHeight="1" x14ac:dyDescent="0.25">
      <c r="A1042" s="6">
        <v>53030</v>
      </c>
      <c r="B1042" s="6" t="s">
        <v>759</v>
      </c>
    </row>
    <row r="1043" spans="1:2" ht="15.75" hidden="1" customHeight="1" x14ac:dyDescent="0.25">
      <c r="A1043" s="6">
        <v>53031</v>
      </c>
      <c r="B1043" s="6" t="s">
        <v>758</v>
      </c>
    </row>
    <row r="1044" spans="1:2" ht="15.75" hidden="1" customHeight="1" x14ac:dyDescent="0.25">
      <c r="A1044" s="6">
        <v>53032</v>
      </c>
      <c r="B1044" s="6" t="s">
        <v>761</v>
      </c>
    </row>
    <row r="1045" spans="1:2" ht="15.75" hidden="1" customHeight="1" x14ac:dyDescent="0.25">
      <c r="A1045" s="6">
        <v>53033</v>
      </c>
      <c r="B1045" s="6" t="s">
        <v>764</v>
      </c>
    </row>
    <row r="1046" spans="1:2" ht="15.75" hidden="1" customHeight="1" x14ac:dyDescent="0.25">
      <c r="A1046" s="6">
        <v>53034</v>
      </c>
      <c r="B1046" s="6" t="s">
        <v>767</v>
      </c>
    </row>
    <row r="1047" spans="1:2" ht="15.75" hidden="1" customHeight="1" x14ac:dyDescent="0.25">
      <c r="A1047" s="6">
        <v>53035</v>
      </c>
      <c r="B1047" s="6" t="s">
        <v>765</v>
      </c>
    </row>
    <row r="1048" spans="1:2" ht="15.75" hidden="1" customHeight="1" x14ac:dyDescent="0.25">
      <c r="A1048" s="6">
        <v>53036</v>
      </c>
      <c r="B1048" s="6" t="s">
        <v>766</v>
      </c>
    </row>
    <row r="1049" spans="1:2" ht="15.75" hidden="1" customHeight="1" x14ac:dyDescent="0.25">
      <c r="A1049" s="6">
        <v>53037</v>
      </c>
      <c r="B1049" s="6" t="s">
        <v>762</v>
      </c>
    </row>
    <row r="1050" spans="1:2" ht="15.75" hidden="1" customHeight="1" x14ac:dyDescent="0.25">
      <c r="A1050" s="6">
        <v>53038</v>
      </c>
      <c r="B1050" s="6" t="s">
        <v>760</v>
      </c>
    </row>
    <row r="1051" spans="1:2" ht="15.75" hidden="1" customHeight="1" x14ac:dyDescent="0.25">
      <c r="A1051" s="6">
        <v>53039</v>
      </c>
      <c r="B1051" s="6" t="s">
        <v>740</v>
      </c>
    </row>
    <row r="1052" spans="1:2" ht="15.75" hidden="1" customHeight="1" x14ac:dyDescent="0.25">
      <c r="A1052" s="6">
        <v>53040</v>
      </c>
      <c r="B1052" s="6" t="s">
        <v>741</v>
      </c>
    </row>
    <row r="1053" spans="1:2" ht="15.75" hidden="1" customHeight="1" x14ac:dyDescent="0.25">
      <c r="A1053" s="6">
        <v>53041</v>
      </c>
      <c r="B1053" s="6" t="s">
        <v>738</v>
      </c>
    </row>
    <row r="1054" spans="1:2" ht="15.75" hidden="1" customHeight="1" x14ac:dyDescent="0.25">
      <c r="A1054" s="6">
        <v>53042</v>
      </c>
      <c r="B1054" s="6" t="s">
        <v>739</v>
      </c>
    </row>
    <row r="1055" spans="1:2" ht="15.75" hidden="1" customHeight="1" x14ac:dyDescent="0.25">
      <c r="A1055" s="6">
        <v>53043</v>
      </c>
      <c r="B1055" s="6" t="s">
        <v>1264</v>
      </c>
    </row>
    <row r="1056" spans="1:2" ht="15.75" hidden="1" customHeight="1" x14ac:dyDescent="0.25">
      <c r="A1056" s="6">
        <v>53044</v>
      </c>
      <c r="B1056" s="6" t="s">
        <v>1265</v>
      </c>
    </row>
    <row r="1057" spans="1:2" ht="15.75" hidden="1" customHeight="1" x14ac:dyDescent="0.25">
      <c r="A1057" s="6">
        <v>53045</v>
      </c>
      <c r="B1057" s="6" t="s">
        <v>1262</v>
      </c>
    </row>
    <row r="1058" spans="1:2" ht="15.75" hidden="1" customHeight="1" x14ac:dyDescent="0.25">
      <c r="A1058" s="6">
        <v>53046</v>
      </c>
      <c r="B1058" s="6" t="s">
        <v>1263</v>
      </c>
    </row>
    <row r="1059" spans="1:2" ht="15.75" hidden="1" customHeight="1" x14ac:dyDescent="0.25">
      <c r="A1059" s="6">
        <v>53047</v>
      </c>
      <c r="B1059" s="6" t="s">
        <v>1445</v>
      </c>
    </row>
    <row r="1060" spans="1:2" ht="15.75" hidden="1" customHeight="1" x14ac:dyDescent="0.25">
      <c r="A1060" s="6">
        <v>53048</v>
      </c>
      <c r="B1060" s="6" t="s">
        <v>1446</v>
      </c>
    </row>
    <row r="1061" spans="1:2" ht="15.75" hidden="1" customHeight="1" x14ac:dyDescent="0.25">
      <c r="A1061" s="6">
        <v>53049</v>
      </c>
      <c r="B1061" s="6" t="s">
        <v>1443</v>
      </c>
    </row>
    <row r="1062" spans="1:2" ht="15.75" hidden="1" customHeight="1" x14ac:dyDescent="0.25">
      <c r="A1062" s="6">
        <v>53050</v>
      </c>
      <c r="B1062" s="6" t="s">
        <v>1444</v>
      </c>
    </row>
    <row r="1063" spans="1:2" ht="15.75" hidden="1" customHeight="1" x14ac:dyDescent="0.25">
      <c r="A1063" s="6">
        <v>53051</v>
      </c>
      <c r="B1063" s="6" t="s">
        <v>1572</v>
      </c>
    </row>
    <row r="1064" spans="1:2" ht="15.75" hidden="1" customHeight="1" x14ac:dyDescent="0.25">
      <c r="A1064" s="6">
        <v>53052</v>
      </c>
      <c r="B1064" s="6" t="s">
        <v>1573</v>
      </c>
    </row>
    <row r="1065" spans="1:2" ht="15.75" hidden="1" customHeight="1" x14ac:dyDescent="0.25">
      <c r="A1065" s="6">
        <v>53053</v>
      </c>
      <c r="B1065" s="6" t="s">
        <v>1570</v>
      </c>
    </row>
    <row r="1066" spans="1:2" ht="15.75" hidden="1" customHeight="1" x14ac:dyDescent="0.25">
      <c r="A1066" s="6">
        <v>53054</v>
      </c>
      <c r="B1066" s="6" t="s">
        <v>1571</v>
      </c>
    </row>
    <row r="1067" spans="1:2" ht="15.75" hidden="1" customHeight="1" x14ac:dyDescent="0.25">
      <c r="A1067" s="6">
        <v>53055</v>
      </c>
      <c r="B1067" s="6" t="s">
        <v>1118</v>
      </c>
    </row>
    <row r="1068" spans="1:2" ht="15.75" hidden="1" customHeight="1" x14ac:dyDescent="0.25">
      <c r="A1068" s="6">
        <v>53056</v>
      </c>
      <c r="B1068" s="6" t="s">
        <v>1119</v>
      </c>
    </row>
    <row r="1069" spans="1:2" ht="15.75" hidden="1" customHeight="1" x14ac:dyDescent="0.25">
      <c r="A1069" s="6">
        <v>53057</v>
      </c>
      <c r="B1069" s="6" t="s">
        <v>1116</v>
      </c>
    </row>
    <row r="1070" spans="1:2" ht="15.75" hidden="1" customHeight="1" x14ac:dyDescent="0.25">
      <c r="A1070" s="6">
        <v>53058</v>
      </c>
      <c r="B1070" s="6" t="s">
        <v>1117</v>
      </c>
    </row>
    <row r="1071" spans="1:2" ht="15.75" hidden="1" customHeight="1" x14ac:dyDescent="0.25">
      <c r="A1071" s="6">
        <v>53059</v>
      </c>
      <c r="B1071" s="6" t="s">
        <v>1355</v>
      </c>
    </row>
    <row r="1072" spans="1:2" ht="15.75" hidden="1" customHeight="1" x14ac:dyDescent="0.25">
      <c r="A1072" s="6">
        <v>53060</v>
      </c>
      <c r="B1072" s="6" t="s">
        <v>1356</v>
      </c>
    </row>
    <row r="1073" spans="1:2" ht="15.75" hidden="1" customHeight="1" x14ac:dyDescent="0.25">
      <c r="A1073" s="6">
        <v>53061</v>
      </c>
      <c r="B1073" s="6" t="s">
        <v>1353</v>
      </c>
    </row>
    <row r="1074" spans="1:2" ht="15.75" hidden="1" customHeight="1" x14ac:dyDescent="0.25">
      <c r="A1074" s="6">
        <v>53062</v>
      </c>
      <c r="B1074" s="6" t="s">
        <v>1354</v>
      </c>
    </row>
    <row r="1075" spans="1:2" ht="15.75" hidden="1" customHeight="1" x14ac:dyDescent="0.25">
      <c r="A1075" s="6">
        <v>53063</v>
      </c>
      <c r="B1075" s="6" t="s">
        <v>676</v>
      </c>
    </row>
    <row r="1076" spans="1:2" ht="15.75" hidden="1" customHeight="1" x14ac:dyDescent="0.25">
      <c r="A1076" s="6">
        <v>53064</v>
      </c>
      <c r="B1076" s="6" t="s">
        <v>677</v>
      </c>
    </row>
    <row r="1077" spans="1:2" ht="15.75" hidden="1" customHeight="1" x14ac:dyDescent="0.25">
      <c r="A1077" s="6">
        <v>53065</v>
      </c>
      <c r="B1077" s="6" t="s">
        <v>674</v>
      </c>
    </row>
    <row r="1078" spans="1:2" ht="15.75" hidden="1" customHeight="1" x14ac:dyDescent="0.25">
      <c r="A1078" s="6">
        <v>53066</v>
      </c>
      <c r="B1078" s="6" t="s">
        <v>675</v>
      </c>
    </row>
    <row r="1079" spans="1:2" ht="15.75" hidden="1" customHeight="1" x14ac:dyDescent="0.25">
      <c r="A1079" s="6">
        <v>53067</v>
      </c>
      <c r="B1079" s="6" t="s">
        <v>1057</v>
      </c>
    </row>
    <row r="1080" spans="1:2" ht="15.75" hidden="1" customHeight="1" x14ac:dyDescent="0.25">
      <c r="A1080" s="6">
        <v>53068</v>
      </c>
      <c r="B1080" s="6" t="s">
        <v>1058</v>
      </c>
    </row>
    <row r="1081" spans="1:2" ht="15.75" hidden="1" customHeight="1" x14ac:dyDescent="0.25">
      <c r="A1081" s="6">
        <v>53069</v>
      </c>
      <c r="B1081" s="6" t="s">
        <v>1055</v>
      </c>
    </row>
    <row r="1082" spans="1:2" ht="15.75" hidden="1" customHeight="1" x14ac:dyDescent="0.25">
      <c r="A1082" s="6">
        <v>53070</v>
      </c>
      <c r="B1082" s="6" t="s">
        <v>1056</v>
      </c>
    </row>
    <row r="1083" spans="1:2" ht="15.75" hidden="1" customHeight="1" x14ac:dyDescent="0.25">
      <c r="A1083" s="6">
        <v>53071</v>
      </c>
      <c r="B1083" s="6" t="s">
        <v>1400</v>
      </c>
    </row>
    <row r="1084" spans="1:2" ht="15.75" hidden="1" customHeight="1" x14ac:dyDescent="0.25">
      <c r="A1084" s="6">
        <v>53072</v>
      </c>
      <c r="B1084" s="6" t="s">
        <v>1398</v>
      </c>
    </row>
    <row r="1085" spans="1:2" ht="15.75" hidden="1" customHeight="1" x14ac:dyDescent="0.25">
      <c r="A1085" s="6">
        <v>53073</v>
      </c>
      <c r="B1085" s="6" t="s">
        <v>1401</v>
      </c>
    </row>
    <row r="1086" spans="1:2" ht="15.75" hidden="1" customHeight="1" x14ac:dyDescent="0.25">
      <c r="A1086" s="6">
        <v>53074</v>
      </c>
      <c r="B1086" s="6" t="s">
        <v>1399</v>
      </c>
    </row>
    <row r="1087" spans="1:2" ht="15.75" hidden="1" customHeight="1" x14ac:dyDescent="0.25">
      <c r="A1087" s="6">
        <v>53075</v>
      </c>
      <c r="B1087" s="6" t="s">
        <v>1488</v>
      </c>
    </row>
    <row r="1088" spans="1:2" ht="15.75" hidden="1" customHeight="1" x14ac:dyDescent="0.25">
      <c r="A1088" s="6">
        <v>53076</v>
      </c>
      <c r="B1088" s="6" t="s">
        <v>1489</v>
      </c>
    </row>
    <row r="1089" spans="1:2" ht="15.75" hidden="1" customHeight="1" x14ac:dyDescent="0.25">
      <c r="A1089" s="6">
        <v>53077</v>
      </c>
      <c r="B1089" s="6" t="s">
        <v>1486</v>
      </c>
    </row>
    <row r="1090" spans="1:2" ht="15.75" hidden="1" customHeight="1" x14ac:dyDescent="0.25">
      <c r="A1090" s="6">
        <v>53078</v>
      </c>
      <c r="B1090" s="6" t="s">
        <v>1487</v>
      </c>
    </row>
    <row r="1091" spans="1:2" ht="15.75" hidden="1" customHeight="1" x14ac:dyDescent="0.25">
      <c r="A1091" s="6">
        <v>53079</v>
      </c>
      <c r="B1091" s="6" t="s">
        <v>808</v>
      </c>
    </row>
    <row r="1092" spans="1:2" ht="15.75" hidden="1" customHeight="1" x14ac:dyDescent="0.25">
      <c r="A1092" s="6">
        <v>53080</v>
      </c>
      <c r="B1092" s="6" t="s">
        <v>809</v>
      </c>
    </row>
    <row r="1093" spans="1:2" ht="15.75" hidden="1" customHeight="1" x14ac:dyDescent="0.25">
      <c r="A1093" s="6">
        <v>53081</v>
      </c>
      <c r="B1093" s="6" t="s">
        <v>806</v>
      </c>
    </row>
    <row r="1094" spans="1:2" ht="15.75" hidden="1" customHeight="1" x14ac:dyDescent="0.25">
      <c r="A1094" s="6">
        <v>53082</v>
      </c>
      <c r="B1094" s="6" t="s">
        <v>807</v>
      </c>
    </row>
    <row r="1095" spans="1:2" ht="15.75" hidden="1" customHeight="1" x14ac:dyDescent="0.25">
      <c r="A1095" s="6">
        <v>53083</v>
      </c>
      <c r="B1095" s="6" t="s">
        <v>1070</v>
      </c>
    </row>
    <row r="1096" spans="1:2" ht="15.75" hidden="1" customHeight="1" x14ac:dyDescent="0.25">
      <c r="A1096" s="6">
        <v>53084</v>
      </c>
      <c r="B1096" s="6" t="s">
        <v>1071</v>
      </c>
    </row>
    <row r="1097" spans="1:2" ht="15.75" hidden="1" customHeight="1" x14ac:dyDescent="0.25">
      <c r="A1097" s="6">
        <v>53085</v>
      </c>
      <c r="B1097" s="6" t="s">
        <v>1068</v>
      </c>
    </row>
    <row r="1098" spans="1:2" ht="15.75" hidden="1" customHeight="1" x14ac:dyDescent="0.25">
      <c r="A1098" s="6">
        <v>53086</v>
      </c>
      <c r="B1098" s="6" t="s">
        <v>1069</v>
      </c>
    </row>
    <row r="1099" spans="1:2" ht="15.75" hidden="1" customHeight="1" x14ac:dyDescent="0.25">
      <c r="A1099" s="6">
        <v>53087</v>
      </c>
      <c r="B1099" s="6" t="s">
        <v>1103</v>
      </c>
    </row>
    <row r="1100" spans="1:2" ht="15.75" hidden="1" customHeight="1" x14ac:dyDescent="0.25">
      <c r="A1100" s="6">
        <v>53088</v>
      </c>
      <c r="B1100" s="6" t="s">
        <v>1104</v>
      </c>
    </row>
    <row r="1101" spans="1:2" ht="15.75" hidden="1" customHeight="1" x14ac:dyDescent="0.25">
      <c r="A1101" s="6">
        <v>53089</v>
      </c>
      <c r="B1101" s="6" t="s">
        <v>1101</v>
      </c>
    </row>
    <row r="1102" spans="1:2" ht="15.75" hidden="1" customHeight="1" x14ac:dyDescent="0.25">
      <c r="A1102" s="6">
        <v>53090</v>
      </c>
      <c r="B1102" s="6" t="s">
        <v>1102</v>
      </c>
    </row>
    <row r="1103" spans="1:2" ht="15.75" hidden="1" customHeight="1" x14ac:dyDescent="0.25">
      <c r="A1103" s="6">
        <v>53091</v>
      </c>
      <c r="B1103" s="6" t="s">
        <v>555</v>
      </c>
    </row>
    <row r="1104" spans="1:2" ht="15.75" hidden="1" customHeight="1" x14ac:dyDescent="0.25">
      <c r="A1104" s="6">
        <v>53092</v>
      </c>
      <c r="B1104" s="6" t="s">
        <v>552</v>
      </c>
    </row>
    <row r="1105" spans="1:2" ht="15.75" hidden="1" customHeight="1" x14ac:dyDescent="0.25">
      <c r="A1105" s="6">
        <v>53093</v>
      </c>
      <c r="B1105" s="6" t="s">
        <v>561</v>
      </c>
    </row>
    <row r="1106" spans="1:2" ht="15.75" hidden="1" customHeight="1" x14ac:dyDescent="0.25">
      <c r="A1106" s="6">
        <v>53094</v>
      </c>
      <c r="B1106" s="6" t="s">
        <v>558</v>
      </c>
    </row>
    <row r="1107" spans="1:2" ht="15.75" hidden="1" customHeight="1" x14ac:dyDescent="0.25">
      <c r="A1107" s="6">
        <v>53095</v>
      </c>
      <c r="B1107" s="6" t="s">
        <v>897</v>
      </c>
    </row>
    <row r="1108" spans="1:2" ht="15.75" hidden="1" customHeight="1" x14ac:dyDescent="0.25">
      <c r="A1108" s="6">
        <v>53096</v>
      </c>
      <c r="B1108" s="6" t="s">
        <v>898</v>
      </c>
    </row>
    <row r="1109" spans="1:2" ht="15.75" hidden="1" customHeight="1" x14ac:dyDescent="0.25">
      <c r="A1109" s="6">
        <v>53097</v>
      </c>
      <c r="B1109" s="6" t="s">
        <v>895</v>
      </c>
    </row>
    <row r="1110" spans="1:2" ht="15.75" hidden="1" customHeight="1" x14ac:dyDescent="0.25">
      <c r="A1110" s="6">
        <v>53098</v>
      </c>
      <c r="B1110" s="6" t="s">
        <v>896</v>
      </c>
    </row>
    <row r="1111" spans="1:2" ht="15.75" hidden="1" customHeight="1" x14ac:dyDescent="0.25">
      <c r="A1111" s="6">
        <v>53099</v>
      </c>
      <c r="B1111" s="6" t="s">
        <v>976</v>
      </c>
    </row>
    <row r="1112" spans="1:2" ht="15.75" hidden="1" customHeight="1" x14ac:dyDescent="0.25">
      <c r="A1112" s="6">
        <v>53100</v>
      </c>
      <c r="B1112" s="6" t="s">
        <v>977</v>
      </c>
    </row>
    <row r="1113" spans="1:2" ht="15.75" hidden="1" customHeight="1" x14ac:dyDescent="0.25">
      <c r="A1113" s="6">
        <v>53101</v>
      </c>
      <c r="B1113" s="6" t="s">
        <v>974</v>
      </c>
    </row>
    <row r="1114" spans="1:2" ht="15.75" hidden="1" customHeight="1" x14ac:dyDescent="0.25">
      <c r="A1114" s="6">
        <v>53102</v>
      </c>
      <c r="B1114" s="6" t="s">
        <v>975</v>
      </c>
    </row>
    <row r="1115" spans="1:2" ht="15.75" hidden="1" customHeight="1" x14ac:dyDescent="0.25">
      <c r="A1115" s="6">
        <v>53103</v>
      </c>
      <c r="B1115" s="6" t="s">
        <v>1541</v>
      </c>
    </row>
    <row r="1116" spans="1:2" ht="15.75" hidden="1" customHeight="1" x14ac:dyDescent="0.25">
      <c r="A1116" s="6">
        <v>53104</v>
      </c>
      <c r="B1116" s="6" t="s">
        <v>1542</v>
      </c>
    </row>
    <row r="1117" spans="1:2" ht="15.75" hidden="1" customHeight="1" x14ac:dyDescent="0.25">
      <c r="A1117" s="6">
        <v>53105</v>
      </c>
      <c r="B1117" s="6" t="s">
        <v>1539</v>
      </c>
    </row>
    <row r="1118" spans="1:2" ht="15.75" hidden="1" customHeight="1" x14ac:dyDescent="0.25">
      <c r="A1118" s="6">
        <v>53106</v>
      </c>
      <c r="B1118" s="6" t="s">
        <v>1540</v>
      </c>
    </row>
    <row r="1119" spans="1:2" ht="15.75" hidden="1" customHeight="1" x14ac:dyDescent="0.25">
      <c r="A1119" s="6">
        <v>53107</v>
      </c>
      <c r="B1119" s="6" t="s">
        <v>1659</v>
      </c>
    </row>
    <row r="1120" spans="1:2" ht="15.75" hidden="1" customHeight="1" x14ac:dyDescent="0.25">
      <c r="A1120" s="6">
        <v>53108</v>
      </c>
      <c r="B1120" s="6" t="s">
        <v>1660</v>
      </c>
    </row>
    <row r="1121" spans="1:2" ht="15.75" hidden="1" customHeight="1" x14ac:dyDescent="0.25">
      <c r="A1121" s="6">
        <v>53109</v>
      </c>
      <c r="B1121" s="6" t="s">
        <v>1661</v>
      </c>
    </row>
    <row r="1122" spans="1:2" ht="15.75" hidden="1" customHeight="1" x14ac:dyDescent="0.25">
      <c r="A1122" s="6">
        <v>53110</v>
      </c>
      <c r="B1122" s="6" t="s">
        <v>1662</v>
      </c>
    </row>
    <row r="1123" spans="1:2" ht="15.75" hidden="1" customHeight="1" x14ac:dyDescent="0.25">
      <c r="A1123" s="6">
        <v>53111</v>
      </c>
      <c r="B1123" s="6" t="s">
        <v>1663</v>
      </c>
    </row>
    <row r="1124" spans="1:2" ht="15.75" hidden="1" customHeight="1" x14ac:dyDescent="0.25">
      <c r="A1124" s="6">
        <v>53112</v>
      </c>
      <c r="B1124" s="6" t="s">
        <v>1664</v>
      </c>
    </row>
    <row r="1125" spans="1:2" ht="15.75" hidden="1" customHeight="1" x14ac:dyDescent="0.25">
      <c r="A1125" s="6">
        <v>53113</v>
      </c>
      <c r="B1125" s="6" t="s">
        <v>1665</v>
      </c>
    </row>
    <row r="1126" spans="1:2" ht="15.75" hidden="1" customHeight="1" x14ac:dyDescent="0.25">
      <c r="A1126" s="6">
        <v>53114</v>
      </c>
      <c r="B1126" s="6" t="s">
        <v>1666</v>
      </c>
    </row>
    <row r="1127" spans="1:2" ht="15.75" hidden="1" customHeight="1" x14ac:dyDescent="0.25">
      <c r="A1127" s="6">
        <v>53115</v>
      </c>
      <c r="B1127" s="6" t="s">
        <v>1702</v>
      </c>
    </row>
    <row r="1128" spans="1:2" ht="15.75" hidden="1" customHeight="1" x14ac:dyDescent="0.25">
      <c r="A1128" s="6">
        <v>53116</v>
      </c>
      <c r="B1128" s="6" t="s">
        <v>1703</v>
      </c>
    </row>
    <row r="1129" spans="1:2" ht="15.75" hidden="1" customHeight="1" x14ac:dyDescent="0.25">
      <c r="A1129" s="6">
        <v>53117</v>
      </c>
      <c r="B1129" s="6" t="s">
        <v>1704</v>
      </c>
    </row>
    <row r="1130" spans="1:2" ht="15.75" hidden="1" customHeight="1" x14ac:dyDescent="0.25">
      <c r="A1130" s="6">
        <v>53118</v>
      </c>
      <c r="B1130" s="6" t="s">
        <v>1705</v>
      </c>
    </row>
    <row r="1131" spans="1:2" ht="15.75" hidden="1" customHeight="1" x14ac:dyDescent="0.25">
      <c r="A1131" s="6">
        <v>54001</v>
      </c>
      <c r="B1131" s="6" t="s">
        <v>1550</v>
      </c>
    </row>
    <row r="1132" spans="1:2" ht="15.75" hidden="1" customHeight="1" x14ac:dyDescent="0.25">
      <c r="A1132" s="6">
        <v>55001</v>
      </c>
      <c r="B1132" s="6" t="s">
        <v>893</v>
      </c>
    </row>
    <row r="1133" spans="1:2" ht="15.75" hidden="1" customHeight="1" x14ac:dyDescent="0.25">
      <c r="A1133" s="6">
        <v>55002</v>
      </c>
      <c r="B1133" s="6" t="s">
        <v>894</v>
      </c>
    </row>
    <row r="1134" spans="1:2" ht="15.75" hidden="1" customHeight="1" x14ac:dyDescent="0.25">
      <c r="A1134" s="6">
        <v>55003</v>
      </c>
      <c r="B1134" s="6" t="s">
        <v>949</v>
      </c>
    </row>
    <row r="1135" spans="1:2" ht="15.75" hidden="1" customHeight="1" x14ac:dyDescent="0.25">
      <c r="A1135" s="6">
        <v>55004</v>
      </c>
      <c r="B1135" s="6" t="s">
        <v>948</v>
      </c>
    </row>
    <row r="1136" spans="1:2" ht="15.75" hidden="1" customHeight="1" x14ac:dyDescent="0.25">
      <c r="A1136" s="6">
        <v>55005</v>
      </c>
      <c r="B1136" s="6" t="s">
        <v>650</v>
      </c>
    </row>
    <row r="1137" spans="1:2" ht="15.75" hidden="1" customHeight="1" x14ac:dyDescent="0.25">
      <c r="A1137" s="6">
        <v>55006</v>
      </c>
      <c r="B1137" s="6" t="s">
        <v>1015</v>
      </c>
    </row>
    <row r="1138" spans="1:2" ht="15.75" hidden="1" customHeight="1" x14ac:dyDescent="0.25">
      <c r="A1138" s="6">
        <v>456001</v>
      </c>
      <c r="B1138" s="6" t="s">
        <v>1667</v>
      </c>
    </row>
    <row r="1139" spans="1:2" ht="15.75" hidden="1" customHeight="1" x14ac:dyDescent="0.25">
      <c r="A1139" s="6">
        <v>456002</v>
      </c>
      <c r="B1139" s="6" t="s">
        <v>1668</v>
      </c>
    </row>
    <row r="1140" spans="1:2" ht="15.75" hidden="1" customHeight="1" x14ac:dyDescent="0.25">
      <c r="A1140" s="6">
        <v>456003</v>
      </c>
      <c r="B1140" s="6" t="s">
        <v>1669</v>
      </c>
    </row>
    <row r="1141" spans="1:2" ht="15.75" hidden="1" customHeight="1" x14ac:dyDescent="0.25">
      <c r="A1141" s="6">
        <v>456004</v>
      </c>
      <c r="B1141" s="6" t="s">
        <v>1670</v>
      </c>
    </row>
    <row r="1142" spans="1:2" ht="15.75" hidden="1" customHeight="1" x14ac:dyDescent="0.25">
      <c r="A1142" s="6">
        <v>456005</v>
      </c>
      <c r="B1142" s="6" t="s">
        <v>1671</v>
      </c>
    </row>
    <row r="1143" spans="1:2" ht="15.75" hidden="1" customHeight="1" x14ac:dyDescent="0.25">
      <c r="A1143" s="6">
        <v>57001</v>
      </c>
      <c r="B1143" s="6" t="s">
        <v>1672</v>
      </c>
    </row>
    <row r="1144" spans="1:2" ht="15.75" hidden="1" customHeight="1" x14ac:dyDescent="0.25">
      <c r="A1144" s="6">
        <v>57002</v>
      </c>
      <c r="B1144" s="6" t="s">
        <v>1673</v>
      </c>
    </row>
    <row r="1145" spans="1:2" ht="15.75" hidden="1" customHeight="1" x14ac:dyDescent="0.25">
      <c r="A1145" s="6">
        <v>58001</v>
      </c>
      <c r="B1145" s="6" t="s">
        <v>1706</v>
      </c>
    </row>
    <row r="1146" spans="1:2" ht="15.75" hidden="1" customHeight="1" x14ac:dyDescent="0.25">
      <c r="A1146" s="6">
        <v>58002</v>
      </c>
      <c r="B1146" s="6" t="s">
        <v>1707</v>
      </c>
    </row>
    <row r="1147" spans="1:2" ht="15.75" hidden="1" customHeight="1" x14ac:dyDescent="0.25">
      <c r="A1147" s="6">
        <v>58003</v>
      </c>
      <c r="B1147" s="6" t="s">
        <v>1708</v>
      </c>
    </row>
    <row r="1148" spans="1:2" ht="15.75" hidden="1" customHeight="1" x14ac:dyDescent="0.25">
      <c r="A1148" s="6">
        <v>58004</v>
      </c>
      <c r="B1148" s="6" t="s">
        <v>1709</v>
      </c>
    </row>
    <row r="1149" spans="1:2" ht="15.75" hidden="1" customHeight="1" x14ac:dyDescent="0.25">
      <c r="A1149" s="6">
        <v>58005</v>
      </c>
      <c r="B1149" s="6" t="s">
        <v>1710</v>
      </c>
    </row>
    <row r="1150" spans="1:2" ht="15.75" hidden="1" customHeight="1" x14ac:dyDescent="0.25">
      <c r="A1150" s="6">
        <v>58006</v>
      </c>
      <c r="B1150" s="6" t="s">
        <v>1711</v>
      </c>
    </row>
    <row r="1151" spans="1:2" ht="15.75" hidden="1" customHeight="1" x14ac:dyDescent="0.25">
      <c r="A1151" s="6">
        <v>58007</v>
      </c>
      <c r="B1151" s="6" t="s">
        <v>1712</v>
      </c>
    </row>
    <row r="1152" spans="1:2" ht="15.75" hidden="1" customHeight="1" x14ac:dyDescent="0.25">
      <c r="A1152" s="6">
        <v>58008</v>
      </c>
      <c r="B1152" s="6" t="s">
        <v>1713</v>
      </c>
    </row>
    <row r="1153" spans="1:2" ht="15.75" hidden="1" customHeight="1" x14ac:dyDescent="0.25">
      <c r="A1153" s="6">
        <v>58009</v>
      </c>
      <c r="B1153" s="6" t="s">
        <v>1714</v>
      </c>
    </row>
    <row r="1154" spans="1:2" ht="15.75" hidden="1" customHeight="1" x14ac:dyDescent="0.25">
      <c r="A1154" s="6">
        <v>58010</v>
      </c>
      <c r="B1154" s="6" t="s">
        <v>1715</v>
      </c>
    </row>
    <row r="1155" spans="1:2" ht="15.75" hidden="1" customHeight="1" x14ac:dyDescent="0.25">
      <c r="A1155" s="6">
        <v>58011</v>
      </c>
      <c r="B1155" s="6" t="s">
        <v>1716</v>
      </c>
    </row>
    <row r="1156" spans="1:2" ht="15.75" hidden="1" customHeight="1" x14ac:dyDescent="0.25">
      <c r="A1156" s="6">
        <v>58012</v>
      </c>
      <c r="B1156" s="6" t="s">
        <v>1717</v>
      </c>
    </row>
    <row r="1157" spans="1:2" ht="15.75" hidden="1" customHeight="1" x14ac:dyDescent="0.25">
      <c r="A1157" s="6">
        <v>58013</v>
      </c>
      <c r="B1157" s="6" t="s">
        <v>1718</v>
      </c>
    </row>
    <row r="1158" spans="1:2" ht="15.75" hidden="1" customHeight="1" x14ac:dyDescent="0.25">
      <c r="A1158" s="6">
        <v>58014</v>
      </c>
      <c r="B1158" s="6" t="s">
        <v>1719</v>
      </c>
    </row>
    <row r="1159" spans="1:2" ht="15.75" hidden="1" customHeight="1" x14ac:dyDescent="0.25">
      <c r="A1159" s="6">
        <v>58015</v>
      </c>
      <c r="B1159" s="6" t="s">
        <v>1720</v>
      </c>
    </row>
    <row r="1160" spans="1:2" ht="15.75" hidden="1" customHeight="1" x14ac:dyDescent="0.25">
      <c r="A1160" s="6">
        <v>58016</v>
      </c>
      <c r="B1160" s="6" t="s">
        <v>1721</v>
      </c>
    </row>
    <row r="1161" spans="1:2" ht="15.75" hidden="1" customHeight="1" x14ac:dyDescent="0.25">
      <c r="A1161" s="6">
        <v>58017</v>
      </c>
      <c r="B1161" s="6" t="s">
        <v>1722</v>
      </c>
    </row>
    <row r="1162" spans="1:2" ht="15.75" hidden="1" customHeight="1" x14ac:dyDescent="0.25">
      <c r="A1162" s="6">
        <v>58018</v>
      </c>
      <c r="B1162" s="6" t="s">
        <v>1723</v>
      </c>
    </row>
    <row r="1163" spans="1:2" ht="15.75" hidden="1" customHeight="1" x14ac:dyDescent="0.25">
      <c r="A1163" s="6">
        <v>58019</v>
      </c>
      <c r="B1163" s="6" t="s">
        <v>1724</v>
      </c>
    </row>
    <row r="1164" spans="1:2" ht="15.75" hidden="1" customHeight="1" x14ac:dyDescent="0.25">
      <c r="A1164" s="6">
        <v>58020</v>
      </c>
      <c r="B1164" s="6" t="s">
        <v>1725</v>
      </c>
    </row>
    <row r="1165" spans="1:2" ht="15.75" hidden="1" customHeight="1" x14ac:dyDescent="0.25">
      <c r="A1165" s="6">
        <v>58021</v>
      </c>
      <c r="B1165" s="6" t="s">
        <v>1726</v>
      </c>
    </row>
    <row r="1166" spans="1:2" ht="15.75" hidden="1" customHeight="1" x14ac:dyDescent="0.25">
      <c r="A1166" s="6">
        <v>58022</v>
      </c>
      <c r="B1166" s="6" t="s">
        <v>1727</v>
      </c>
    </row>
    <row r="1167" spans="1:2" ht="15.75" hidden="1" customHeight="1" x14ac:dyDescent="0.25">
      <c r="A1167" s="6">
        <v>58023</v>
      </c>
      <c r="B1167" s="6" t="s">
        <v>1728</v>
      </c>
    </row>
    <row r="1168" spans="1:2" ht="15.75" hidden="1" customHeight="1" x14ac:dyDescent="0.25">
      <c r="A1168" s="6">
        <v>58024</v>
      </c>
      <c r="B1168" s="6" t="s">
        <v>1729</v>
      </c>
    </row>
    <row r="1169" spans="1:2" ht="15.75" hidden="1" customHeight="1" x14ac:dyDescent="0.25">
      <c r="A1169" s="6">
        <v>58025</v>
      </c>
      <c r="B1169" s="6" t="s">
        <v>1730</v>
      </c>
    </row>
    <row r="1170" spans="1:2" ht="15.75" hidden="1" customHeight="1" x14ac:dyDescent="0.25">
      <c r="A1170" s="6">
        <v>58026</v>
      </c>
      <c r="B1170" s="6" t="s">
        <v>1731</v>
      </c>
    </row>
    <row r="1171" spans="1:2" ht="15.75" hidden="1" customHeight="1" x14ac:dyDescent="0.25">
      <c r="A1171" s="6">
        <v>58027</v>
      </c>
      <c r="B1171" s="6" t="s">
        <v>1732</v>
      </c>
    </row>
    <row r="1172" spans="1:2" ht="15.75" hidden="1" customHeight="1" x14ac:dyDescent="0.25">
      <c r="A1172" s="6">
        <v>58028</v>
      </c>
      <c r="B1172" s="6" t="s">
        <v>1733</v>
      </c>
    </row>
    <row r="1173" spans="1:2" ht="15.75" hidden="1" customHeight="1" x14ac:dyDescent="0.25">
      <c r="A1173" s="6">
        <v>58029</v>
      </c>
      <c r="B1173" s="6" t="s">
        <v>1734</v>
      </c>
    </row>
    <row r="1174" spans="1:2" ht="15.75" hidden="1" customHeight="1" x14ac:dyDescent="0.25">
      <c r="A1174" s="6">
        <v>58030</v>
      </c>
      <c r="B1174" s="6" t="s">
        <v>1735</v>
      </c>
    </row>
    <row r="1175" spans="1:2" ht="15.75" hidden="1" customHeight="1" x14ac:dyDescent="0.25">
      <c r="A1175" s="6">
        <v>58031</v>
      </c>
      <c r="B1175" s="6" t="s">
        <v>1736</v>
      </c>
    </row>
    <row r="1176" spans="1:2" ht="15.75" hidden="1" customHeight="1" x14ac:dyDescent="0.25">
      <c r="A1176" s="6">
        <v>58032</v>
      </c>
      <c r="B1176" s="6" t="s">
        <v>1737</v>
      </c>
    </row>
    <row r="1177" spans="1:2" ht="15.75" hidden="1" customHeight="1" x14ac:dyDescent="0.25">
      <c r="A1177" s="6">
        <v>59001</v>
      </c>
      <c r="B1177" s="6" t="s">
        <v>1673</v>
      </c>
    </row>
    <row r="1178" spans="1:2" ht="15.75" hidden="1" customHeight="1" x14ac:dyDescent="0.25">
      <c r="A1178" s="6">
        <v>59002</v>
      </c>
      <c r="B1178" s="6" t="s">
        <v>1738</v>
      </c>
    </row>
    <row r="1179" spans="1:2" ht="15.75" hidden="1" customHeight="1" x14ac:dyDescent="0.25">
      <c r="A1179" s="6">
        <v>59003</v>
      </c>
      <c r="B1179" s="6" t="s">
        <v>1739</v>
      </c>
    </row>
    <row r="1180" spans="1:2" ht="15.75" hidden="1" customHeight="1" x14ac:dyDescent="0.25">
      <c r="A1180" s="6">
        <v>460001</v>
      </c>
      <c r="B1180" s="6" t="s">
        <v>1740</v>
      </c>
    </row>
    <row r="1181" spans="1:2" ht="15.75" hidden="1" customHeight="1" x14ac:dyDescent="0.25">
      <c r="A1181" s="6">
        <v>460002</v>
      </c>
      <c r="B1181" s="6" t="s">
        <v>1741</v>
      </c>
    </row>
    <row r="1182" spans="1:2" ht="15.75" hidden="1" customHeight="1" x14ac:dyDescent="0.25">
      <c r="A1182" s="6">
        <v>460003</v>
      </c>
      <c r="B1182" s="6" t="s">
        <v>1742</v>
      </c>
    </row>
    <row r="1183" spans="1:2" ht="15.75" hidden="1" customHeight="1" x14ac:dyDescent="0.25">
      <c r="A1183" s="6">
        <v>460004</v>
      </c>
      <c r="B1183" s="6" t="s">
        <v>1743</v>
      </c>
    </row>
    <row r="1184" spans="1:2" ht="15.75" hidden="1" customHeight="1" x14ac:dyDescent="0.25">
      <c r="A1184" s="6">
        <v>460005</v>
      </c>
      <c r="B1184" s="6" t="s">
        <v>1744</v>
      </c>
    </row>
    <row r="1185" spans="1:2" ht="15.75" hidden="1" customHeight="1" x14ac:dyDescent="0.25">
      <c r="A1185" s="6">
        <v>460006</v>
      </c>
      <c r="B1185" s="6" t="s">
        <v>1745</v>
      </c>
    </row>
    <row r="1186" spans="1:2" ht="15.75" hidden="1" customHeight="1" x14ac:dyDescent="0.25">
      <c r="A1186" s="6">
        <v>460007</v>
      </c>
      <c r="B1186" s="6" t="s">
        <v>1746</v>
      </c>
    </row>
    <row r="1187" spans="1:2" ht="15.75" hidden="1" customHeight="1" x14ac:dyDescent="0.25">
      <c r="A1187" s="6">
        <v>460008</v>
      </c>
      <c r="B1187" s="6" t="s">
        <v>1747</v>
      </c>
    </row>
    <row r="1188" spans="1:2" ht="15.75" hidden="1" customHeight="1" x14ac:dyDescent="0.25">
      <c r="A1188" s="6">
        <v>460009</v>
      </c>
      <c r="B1188" s="6" t="s">
        <v>1748</v>
      </c>
    </row>
    <row r="1189" spans="1:2" ht="15.75" hidden="1" customHeight="1" x14ac:dyDescent="0.25">
      <c r="A1189" s="6">
        <v>460010</v>
      </c>
      <c r="B1189" s="6" t="s">
        <v>1749</v>
      </c>
    </row>
    <row r="1190" spans="1:2" ht="15.75" hidden="1" customHeight="1" x14ac:dyDescent="0.25">
      <c r="A1190" s="6">
        <v>460011</v>
      </c>
      <c r="B1190" s="6" t="s">
        <v>1750</v>
      </c>
    </row>
    <row r="1191" spans="1:2" ht="15.75" hidden="1" customHeight="1" x14ac:dyDescent="0.25">
      <c r="A1191" s="6">
        <v>460012</v>
      </c>
      <c r="B1191" s="6" t="s">
        <v>1751</v>
      </c>
    </row>
    <row r="1192" spans="1:2" ht="15.75" hidden="1" customHeight="1" x14ac:dyDescent="0.25">
      <c r="A1192" s="6">
        <v>460013</v>
      </c>
      <c r="B1192" s="6" t="s">
        <v>1752</v>
      </c>
    </row>
    <row r="1193" spans="1:2" ht="15.75" hidden="1" customHeight="1" x14ac:dyDescent="0.25">
      <c r="A1193" s="6">
        <v>460014</v>
      </c>
      <c r="B1193" s="6" t="s">
        <v>1753</v>
      </c>
    </row>
    <row r="1194" spans="1:2" ht="15.75" hidden="1" customHeight="1" x14ac:dyDescent="0.25">
      <c r="A1194" s="6">
        <v>460015</v>
      </c>
      <c r="B1194" s="6" t="s">
        <v>1754</v>
      </c>
    </row>
    <row r="1195" spans="1:2" ht="15.75" hidden="1" customHeight="1" x14ac:dyDescent="0.25">
      <c r="A1195" s="6">
        <v>460016</v>
      </c>
      <c r="B1195" s="6" t="s">
        <v>1755</v>
      </c>
    </row>
    <row r="1196" spans="1:2" ht="15.75" hidden="1" customHeight="1" x14ac:dyDescent="0.25">
      <c r="A1196" s="6">
        <v>460017</v>
      </c>
      <c r="B1196" s="6" t="s">
        <v>1756</v>
      </c>
    </row>
    <row r="1197" spans="1:2" ht="15.75" hidden="1" customHeight="1" x14ac:dyDescent="0.25">
      <c r="A1197" s="6">
        <v>460018</v>
      </c>
      <c r="B1197" s="6" t="s">
        <v>1757</v>
      </c>
    </row>
    <row r="1198" spans="1:2" ht="15.75" hidden="1" customHeight="1" x14ac:dyDescent="0.25">
      <c r="A1198" s="6">
        <v>460019</v>
      </c>
      <c r="B1198" s="6" t="s">
        <v>1758</v>
      </c>
    </row>
    <row r="1199" spans="1:2" ht="15.75" hidden="1" customHeight="1" x14ac:dyDescent="0.25">
      <c r="A1199" s="6">
        <v>460020</v>
      </c>
      <c r="B1199" s="6" t="s">
        <v>1759</v>
      </c>
    </row>
    <row r="1200" spans="1:2" ht="15.75" hidden="1" customHeight="1" x14ac:dyDescent="0.25">
      <c r="A1200" s="6">
        <v>460021</v>
      </c>
      <c r="B1200" s="6" t="s">
        <v>1760</v>
      </c>
    </row>
    <row r="1201" spans="1:2" ht="15.75" hidden="1" customHeight="1" x14ac:dyDescent="0.25">
      <c r="A1201" s="6">
        <v>460022</v>
      </c>
      <c r="B1201" s="6" t="s">
        <v>1761</v>
      </c>
    </row>
    <row r="1202" spans="1:2" ht="15.75" hidden="1" customHeight="1" x14ac:dyDescent="0.25">
      <c r="A1202" s="6">
        <v>460023</v>
      </c>
      <c r="B1202" s="6" t="s">
        <v>1762</v>
      </c>
    </row>
    <row r="1203" spans="1:2" ht="15.75" hidden="1" customHeight="1" x14ac:dyDescent="0.25">
      <c r="A1203" s="6">
        <v>460024</v>
      </c>
      <c r="B1203" s="6" t="s">
        <v>1763</v>
      </c>
    </row>
    <row r="1204" spans="1:2" ht="15.75" hidden="1" customHeight="1" x14ac:dyDescent="0.25">
      <c r="A1204" s="6">
        <v>460025</v>
      </c>
      <c r="B1204" s="6" t="s">
        <v>1764</v>
      </c>
    </row>
    <row r="1205" spans="1:2" ht="15.75" hidden="1" customHeight="1" x14ac:dyDescent="0.25">
      <c r="A1205" s="6">
        <v>460026</v>
      </c>
      <c r="B1205" s="6" t="s">
        <v>1765</v>
      </c>
    </row>
    <row r="1206" spans="1:2" ht="15.75" hidden="1" customHeight="1" x14ac:dyDescent="0.25">
      <c r="A1206" s="6">
        <v>460027</v>
      </c>
      <c r="B1206" s="6" t="s">
        <v>1766</v>
      </c>
    </row>
    <row r="1207" spans="1:2" ht="15.75" hidden="1" customHeight="1" x14ac:dyDescent="0.25">
      <c r="A1207" s="6">
        <v>460028</v>
      </c>
      <c r="B1207" s="6" t="s">
        <v>1767</v>
      </c>
    </row>
    <row r="1208" spans="1:2" ht="15.75" hidden="1" customHeight="1" x14ac:dyDescent="0.25">
      <c r="A1208" s="6">
        <v>460029</v>
      </c>
      <c r="B1208" s="6" t="s">
        <v>1768</v>
      </c>
    </row>
    <row r="1209" spans="1:2" ht="15.75" hidden="1" customHeight="1" x14ac:dyDescent="0.25">
      <c r="A1209" s="6">
        <v>460030</v>
      </c>
      <c r="B1209" s="6" t="s">
        <v>1769</v>
      </c>
    </row>
    <row r="1210" spans="1:2" ht="15.75" hidden="1" customHeight="1" x14ac:dyDescent="0.25">
      <c r="A1210" s="6">
        <v>460031</v>
      </c>
      <c r="B1210" s="6" t="s">
        <v>1770</v>
      </c>
    </row>
    <row r="1211" spans="1:2" ht="15.75" hidden="1" customHeight="1" x14ac:dyDescent="0.25">
      <c r="A1211" s="6">
        <v>460032</v>
      </c>
      <c r="B1211" s="6" t="s">
        <v>1771</v>
      </c>
    </row>
    <row r="1212" spans="1:2" ht="15.75" hidden="1" customHeight="1" x14ac:dyDescent="0.25">
      <c r="A1212" s="6">
        <v>460033</v>
      </c>
      <c r="B1212" s="6" t="s">
        <v>1772</v>
      </c>
    </row>
    <row r="1213" spans="1:2" ht="15.75" hidden="1" customHeight="1" x14ac:dyDescent="0.25">
      <c r="A1213" s="6">
        <v>460034</v>
      </c>
      <c r="B1213" s="6" t="s">
        <v>1773</v>
      </c>
    </row>
    <row r="1214" spans="1:2" ht="15.75" hidden="1" customHeight="1" x14ac:dyDescent="0.25">
      <c r="A1214" s="6">
        <v>460035</v>
      </c>
      <c r="B1214" s="6" t="s">
        <v>1774</v>
      </c>
    </row>
    <row r="1215" spans="1:2" ht="15.75" hidden="1" customHeight="1" x14ac:dyDescent="0.25">
      <c r="A1215" s="6">
        <v>460036</v>
      </c>
      <c r="B1215" s="6" t="s">
        <v>1775</v>
      </c>
    </row>
    <row r="1216" spans="1:2" ht="15.75" hidden="1" customHeight="1" x14ac:dyDescent="0.25">
      <c r="A1216" s="6">
        <v>460037</v>
      </c>
      <c r="B1216" s="6" t="s">
        <v>1776</v>
      </c>
    </row>
    <row r="1217" spans="1:2" ht="15.75" hidden="1" customHeight="1" x14ac:dyDescent="0.25">
      <c r="A1217" s="6">
        <v>460038</v>
      </c>
      <c r="B1217" s="6" t="s">
        <v>1777</v>
      </c>
    </row>
    <row r="1218" spans="1:2" ht="15.75" hidden="1" customHeight="1" x14ac:dyDescent="0.25">
      <c r="A1218" s="6">
        <v>460039</v>
      </c>
      <c r="B1218" s="6" t="s">
        <v>1778</v>
      </c>
    </row>
    <row r="1219" spans="1:2" ht="15.75" hidden="1" customHeight="1" x14ac:dyDescent="0.25">
      <c r="A1219" s="6">
        <v>460040</v>
      </c>
      <c r="B1219" s="6" t="s">
        <v>1779</v>
      </c>
    </row>
    <row r="1220" spans="1:2" ht="15.75" hidden="1" customHeight="1" x14ac:dyDescent="0.25">
      <c r="A1220" s="6">
        <v>460041</v>
      </c>
      <c r="B1220" s="6" t="s">
        <v>1780</v>
      </c>
    </row>
    <row r="1221" spans="1:2" ht="15.75" hidden="1" customHeight="1" x14ac:dyDescent="0.25">
      <c r="A1221" s="6">
        <v>460042</v>
      </c>
      <c r="B1221" s="6" t="s">
        <v>1781</v>
      </c>
    </row>
    <row r="1222" spans="1:2" ht="15.75" hidden="1" customHeight="1" x14ac:dyDescent="0.25">
      <c r="A1222" s="6">
        <v>460043</v>
      </c>
      <c r="B1222" s="6" t="s">
        <v>1782</v>
      </c>
    </row>
    <row r="1223" spans="1:2" ht="15.75" hidden="1" customHeight="1" x14ac:dyDescent="0.25">
      <c r="A1223" s="6">
        <v>460044</v>
      </c>
      <c r="B1223" s="6" t="s">
        <v>1783</v>
      </c>
    </row>
    <row r="1224" spans="1:2" ht="15.75" hidden="1" customHeight="1" x14ac:dyDescent="0.25">
      <c r="A1224" s="6">
        <v>460045</v>
      </c>
      <c r="B1224" s="6" t="s">
        <v>1784</v>
      </c>
    </row>
    <row r="1225" spans="1:2" ht="15.75" hidden="1" customHeight="1" x14ac:dyDescent="0.25">
      <c r="A1225" s="6">
        <v>460046</v>
      </c>
      <c r="B1225" s="6" t="s">
        <v>1785</v>
      </c>
    </row>
    <row r="1226" spans="1:2" ht="15.75" hidden="1" customHeight="1" x14ac:dyDescent="0.25">
      <c r="A1226" s="6">
        <v>460047</v>
      </c>
      <c r="B1226" s="6" t="s">
        <v>1786</v>
      </c>
    </row>
    <row r="1227" spans="1:2" ht="15.75" hidden="1" customHeight="1" x14ac:dyDescent="0.25">
      <c r="A1227" s="6">
        <v>460048</v>
      </c>
      <c r="B1227" s="6" t="s">
        <v>1787</v>
      </c>
    </row>
    <row r="1228" spans="1:2" ht="15.75" hidden="1" customHeight="1" x14ac:dyDescent="0.25">
      <c r="A1228" s="6">
        <v>460049</v>
      </c>
      <c r="B1228" s="6" t="s">
        <v>1788</v>
      </c>
    </row>
    <row r="1229" spans="1:2" ht="15.75" hidden="1" customHeight="1" x14ac:dyDescent="0.25">
      <c r="A1229" s="6">
        <v>460050</v>
      </c>
      <c r="B1229" s="6" t="s">
        <v>1789</v>
      </c>
    </row>
    <row r="1230" spans="1:2" ht="15.75" hidden="1" customHeight="1" x14ac:dyDescent="0.25">
      <c r="A1230" s="6">
        <v>460051</v>
      </c>
      <c r="B1230" s="6" t="s">
        <v>1790</v>
      </c>
    </row>
    <row r="1231" spans="1:2" ht="15.75" hidden="1" customHeight="1" x14ac:dyDescent="0.25">
      <c r="A1231" s="6">
        <v>460052</v>
      </c>
      <c r="B1231" s="6" t="s">
        <v>1791</v>
      </c>
    </row>
    <row r="1232" spans="1:2" ht="15.75" hidden="1" customHeight="1" x14ac:dyDescent="0.25">
      <c r="A1232" s="6">
        <v>460053</v>
      </c>
      <c r="B1232" s="6" t="s">
        <v>1792</v>
      </c>
    </row>
    <row r="1233" spans="1:2" ht="15.75" hidden="1" customHeight="1" x14ac:dyDescent="0.25">
      <c r="A1233" s="6">
        <v>460054</v>
      </c>
      <c r="B1233" s="6" t="s">
        <v>1793</v>
      </c>
    </row>
    <row r="1234" spans="1:2" ht="15.75" hidden="1" customHeight="1" x14ac:dyDescent="0.25">
      <c r="A1234" s="6">
        <v>460055</v>
      </c>
      <c r="B1234" s="6" t="s">
        <v>1794</v>
      </c>
    </row>
    <row r="1235" spans="1:2" ht="15.75" hidden="1" customHeight="1" x14ac:dyDescent="0.25">
      <c r="A1235" s="6">
        <v>460056</v>
      </c>
      <c r="B1235" s="6" t="s">
        <v>1795</v>
      </c>
    </row>
    <row r="1236" spans="1:2" ht="15.75" hidden="1" customHeight="1" x14ac:dyDescent="0.25">
      <c r="A1236" s="6">
        <v>460057</v>
      </c>
      <c r="B1236" s="6" t="s">
        <v>1796</v>
      </c>
    </row>
    <row r="1237" spans="1:2" ht="15.75" hidden="1" customHeight="1" x14ac:dyDescent="0.25">
      <c r="A1237" s="6">
        <v>460058</v>
      </c>
      <c r="B1237" s="6" t="s">
        <v>1797</v>
      </c>
    </row>
    <row r="1238" spans="1:2" ht="15.75" hidden="1" customHeight="1" x14ac:dyDescent="0.25">
      <c r="A1238" s="6">
        <v>460059</v>
      </c>
      <c r="B1238" s="6" t="s">
        <v>1798</v>
      </c>
    </row>
    <row r="1239" spans="1:2" ht="15.75" hidden="1" customHeight="1" x14ac:dyDescent="0.25">
      <c r="A1239" s="6">
        <v>460060</v>
      </c>
      <c r="B1239" s="6" t="s">
        <v>1799</v>
      </c>
    </row>
    <row r="1240" spans="1:2" ht="15.75" hidden="1" customHeight="1" x14ac:dyDescent="0.25">
      <c r="A1240" s="6">
        <v>460061</v>
      </c>
      <c r="B1240" s="6" t="s">
        <v>1800</v>
      </c>
    </row>
    <row r="1241" spans="1:2" ht="15.75" hidden="1" customHeight="1" x14ac:dyDescent="0.25">
      <c r="A1241" s="6">
        <v>460062</v>
      </c>
      <c r="B1241" s="6" t="s">
        <v>1801</v>
      </c>
    </row>
    <row r="1242" spans="1:2" ht="15.75" hidden="1" customHeight="1" x14ac:dyDescent="0.25">
      <c r="A1242" s="6">
        <v>460063</v>
      </c>
      <c r="B1242" s="6" t="s">
        <v>1802</v>
      </c>
    </row>
    <row r="1243" spans="1:2" ht="15.75" hidden="1" customHeight="1" x14ac:dyDescent="0.25">
      <c r="A1243" s="6">
        <v>460064</v>
      </c>
      <c r="B1243" s="6" t="s">
        <v>1803</v>
      </c>
    </row>
    <row r="1244" spans="1:2" ht="15.75" hidden="1" customHeight="1" x14ac:dyDescent="0.25">
      <c r="A1244" s="6">
        <v>460065</v>
      </c>
      <c r="B1244" s="6" t="s">
        <v>1804</v>
      </c>
    </row>
    <row r="1245" spans="1:2" ht="15.75" hidden="1" customHeight="1" x14ac:dyDescent="0.25">
      <c r="A1245" s="6">
        <v>61001</v>
      </c>
      <c r="B1245" s="6" t="s">
        <v>544</v>
      </c>
    </row>
    <row r="1246" spans="1:2" ht="15.75" hidden="1" customHeight="1" x14ac:dyDescent="0.25">
      <c r="A1246" s="6">
        <v>61002</v>
      </c>
      <c r="B1246" s="6" t="s">
        <v>1805</v>
      </c>
    </row>
    <row r="1247" spans="1:2" ht="15.75" hidden="1" customHeight="1" x14ac:dyDescent="0.25">
      <c r="A1247" s="6">
        <v>61003</v>
      </c>
      <c r="B1247" s="6" t="s">
        <v>1806</v>
      </c>
    </row>
    <row r="1248" spans="1:2" ht="15.75" hidden="1" customHeight="1" x14ac:dyDescent="0.25">
      <c r="A1248" s="6">
        <v>61004</v>
      </c>
      <c r="B1248" s="6" t="s">
        <v>1807</v>
      </c>
    </row>
    <row r="1249" spans="1:2" ht="15.75" hidden="1" customHeight="1" x14ac:dyDescent="0.25">
      <c r="A1249" s="6">
        <v>61005</v>
      </c>
      <c r="B1249" s="6" t="s">
        <v>1808</v>
      </c>
    </row>
    <row r="1250" spans="1:2" ht="15.75" hidden="1" customHeight="1" x14ac:dyDescent="0.25">
      <c r="A1250" s="6">
        <v>61006</v>
      </c>
      <c r="B1250" s="6" t="s">
        <v>1809</v>
      </c>
    </row>
    <row r="1251" spans="1:2" ht="15.75" hidden="1" customHeight="1" x14ac:dyDescent="0.25">
      <c r="A1251" s="6">
        <v>61007</v>
      </c>
      <c r="B1251" s="6" t="s">
        <v>1810</v>
      </c>
    </row>
    <row r="1252" spans="1:2" ht="15.75" hidden="1" customHeight="1" x14ac:dyDescent="0.25">
      <c r="A1252" s="6">
        <v>61008</v>
      </c>
      <c r="B1252" s="6" t="s">
        <v>1811</v>
      </c>
    </row>
    <row r="1253" spans="1:2" ht="15.75" hidden="1" customHeight="1" x14ac:dyDescent="0.25">
      <c r="A1253" s="6">
        <v>61009</v>
      </c>
      <c r="B1253" s="6" t="s">
        <v>1812</v>
      </c>
    </row>
    <row r="1254" spans="1:2" ht="15.75" hidden="1" customHeight="1" x14ac:dyDescent="0.25">
      <c r="A1254" s="6">
        <v>61010</v>
      </c>
      <c r="B1254" s="6" t="s">
        <v>1813</v>
      </c>
    </row>
    <row r="1255" spans="1:2" ht="15.75" hidden="1" customHeight="1" x14ac:dyDescent="0.25">
      <c r="A1255" s="6">
        <v>61011</v>
      </c>
      <c r="B1255" s="6" t="s">
        <v>1814</v>
      </c>
    </row>
    <row r="1256" spans="1:2" ht="15.75" hidden="1" customHeight="1" x14ac:dyDescent="0.25">
      <c r="A1256" s="6">
        <v>61012</v>
      </c>
      <c r="B1256" s="6" t="s">
        <v>1815</v>
      </c>
    </row>
    <row r="1257" spans="1:2" ht="15.75" hidden="1" customHeight="1" x14ac:dyDescent="0.25">
      <c r="A1257" s="6">
        <v>61013</v>
      </c>
      <c r="B1257" s="6" t="s">
        <v>1816</v>
      </c>
    </row>
    <row r="1258" spans="1:2" ht="15.75" hidden="1" customHeight="1" x14ac:dyDescent="0.25">
      <c r="A1258" s="6">
        <v>61014</v>
      </c>
      <c r="B1258" s="6" t="s">
        <v>1817</v>
      </c>
    </row>
    <row r="1259" spans="1:2" ht="15.75" hidden="1" customHeight="1" x14ac:dyDescent="0.25">
      <c r="A1259" s="6">
        <v>61015</v>
      </c>
      <c r="B1259" s="6" t="s">
        <v>1818</v>
      </c>
    </row>
    <row r="1260" spans="1:2" ht="15.75" hidden="1" customHeight="1" x14ac:dyDescent="0.25">
      <c r="A1260" s="6">
        <v>462001</v>
      </c>
      <c r="B1260" s="6" t="s">
        <v>697</v>
      </c>
    </row>
    <row r="1261" spans="1:2" ht="15.75" hidden="1" customHeight="1" x14ac:dyDescent="0.25">
      <c r="A1261" s="6">
        <v>462002</v>
      </c>
      <c r="B1261" s="6" t="s">
        <v>1819</v>
      </c>
    </row>
    <row r="1262" spans="1:2" ht="15.75" hidden="1" customHeight="1" x14ac:dyDescent="0.25">
      <c r="A1262" s="6">
        <v>462003</v>
      </c>
      <c r="B1262" s="6" t="s">
        <v>1820</v>
      </c>
    </row>
    <row r="1263" spans="1:2" ht="15.75" hidden="1" customHeight="1" x14ac:dyDescent="0.25">
      <c r="A1263" s="6">
        <v>462004</v>
      </c>
      <c r="B1263" s="6" t="s">
        <v>1821</v>
      </c>
    </row>
    <row r="1264" spans="1:2" ht="15.75" hidden="1" customHeight="1" x14ac:dyDescent="0.25">
      <c r="A1264" s="6">
        <v>462005</v>
      </c>
      <c r="B1264" s="6" t="s">
        <v>1822</v>
      </c>
    </row>
    <row r="1265" spans="1:2" ht="15.75" hidden="1" customHeight="1" x14ac:dyDescent="0.25">
      <c r="A1265" s="6">
        <v>462006</v>
      </c>
      <c r="B1265" s="6" t="s">
        <v>1823</v>
      </c>
    </row>
    <row r="1266" spans="1:2" ht="15.75" hidden="1" customHeight="1" x14ac:dyDescent="0.25">
      <c r="A1266" s="6">
        <v>462007</v>
      </c>
      <c r="B1266" s="6" t="s">
        <v>1824</v>
      </c>
    </row>
    <row r="1267" spans="1:2" ht="15.75" hidden="1" customHeight="1" x14ac:dyDescent="0.25">
      <c r="A1267" s="6">
        <v>462008</v>
      </c>
      <c r="B1267" s="6" t="s">
        <v>1825</v>
      </c>
    </row>
    <row r="1268" spans="1:2" ht="15.75" hidden="1" customHeight="1" x14ac:dyDescent="0.25">
      <c r="A1268" s="6">
        <v>462009</v>
      </c>
      <c r="B1268" s="6" t="s">
        <v>1826</v>
      </c>
    </row>
    <row r="1269" spans="1:2" ht="15.75" hidden="1" customHeight="1" x14ac:dyDescent="0.25">
      <c r="A1269" s="6">
        <v>462010</v>
      </c>
      <c r="B1269" s="6" t="s">
        <v>1827</v>
      </c>
    </row>
    <row r="1270" spans="1:2" ht="15.75" hidden="1" customHeight="1" x14ac:dyDescent="0.25">
      <c r="A1270" s="6">
        <v>462011</v>
      </c>
      <c r="B1270" s="6" t="s">
        <v>1828</v>
      </c>
    </row>
    <row r="1271" spans="1:2" ht="15.75" hidden="1" customHeight="1" x14ac:dyDescent="0.25">
      <c r="A1271" s="6">
        <v>462012</v>
      </c>
      <c r="B1271" s="6" t="s">
        <v>1829</v>
      </c>
    </row>
    <row r="1272" spans="1:2" ht="15.75" hidden="1" customHeight="1" x14ac:dyDescent="0.25">
      <c r="A1272" s="6">
        <v>462013</v>
      </c>
      <c r="B1272" s="6" t="s">
        <v>1830</v>
      </c>
    </row>
    <row r="1273" spans="1:2" ht="15.75" hidden="1" customHeight="1" x14ac:dyDescent="0.25">
      <c r="A1273" s="6">
        <v>462014</v>
      </c>
      <c r="B1273" s="6" t="s">
        <v>1831</v>
      </c>
    </row>
    <row r="1274" spans="1:2" ht="15.75" hidden="1" customHeight="1" x14ac:dyDescent="0.25">
      <c r="A1274" s="6">
        <v>462015</v>
      </c>
      <c r="B1274" s="6" t="s">
        <v>1832</v>
      </c>
    </row>
    <row r="1275" spans="1:2" ht="15.75" hidden="1" customHeight="1" x14ac:dyDescent="0.25">
      <c r="A1275" s="6">
        <v>462016</v>
      </c>
      <c r="B1275" s="6" t="s">
        <v>1833</v>
      </c>
    </row>
    <row r="1276" spans="1:2" ht="15.75" hidden="1" customHeight="1" x14ac:dyDescent="0.25">
      <c r="A1276" s="6">
        <v>262001</v>
      </c>
      <c r="B1276" s="6" t="s">
        <v>1834</v>
      </c>
    </row>
    <row r="1277" spans="1:2" ht="15.75" hidden="1" customHeight="1" x14ac:dyDescent="0.25">
      <c r="A1277" s="6">
        <v>262002</v>
      </c>
      <c r="B1277" s="6" t="s">
        <v>1835</v>
      </c>
    </row>
    <row r="1278" spans="1:2" ht="15.75" hidden="1" customHeight="1" x14ac:dyDescent="0.25">
      <c r="A1278" s="6">
        <v>262003</v>
      </c>
      <c r="B1278" s="6" t="s">
        <v>1831</v>
      </c>
    </row>
  </sheetData>
  <autoFilter ref="A1:B1278" xr:uid="{00000000-0009-0000-0000-000003000000}">
    <filterColumn colId="1">
      <filters>
        <filter val="Joe´s Rojo 20’s"/>
        <filter val="Joe’s Azul 20’s"/>
        <filter val="Joe’s Black 20’s"/>
        <filter val="Joe’s Mentolado 20’s"/>
        <filter val="Joe’s Natural 20’s"/>
      </filters>
    </filterColumn>
  </autoFilter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494"/>
  <sheetViews>
    <sheetView workbookViewId="0"/>
  </sheetViews>
  <sheetFormatPr defaultColWidth="14.42578125" defaultRowHeight="15" customHeight="1" x14ac:dyDescent="0.25"/>
  <cols>
    <col min="1" max="26" width="10.7109375" customWidth="1"/>
  </cols>
  <sheetData>
    <row r="1" spans="1:2" x14ac:dyDescent="0.25">
      <c r="A1" s="6" t="s">
        <v>1614</v>
      </c>
      <c r="B1" s="10" t="s">
        <v>1615</v>
      </c>
    </row>
    <row r="2" spans="1:2" x14ac:dyDescent="0.25">
      <c r="A2" s="6">
        <v>1006</v>
      </c>
      <c r="B2" s="10" t="s">
        <v>1089</v>
      </c>
    </row>
    <row r="3" spans="1:2" x14ac:dyDescent="0.25">
      <c r="A3" s="6">
        <v>1026</v>
      </c>
      <c r="B3" s="10" t="s">
        <v>1241</v>
      </c>
    </row>
    <row r="4" spans="1:2" x14ac:dyDescent="0.25">
      <c r="A4" s="6">
        <v>1028</v>
      </c>
      <c r="B4" s="10" t="s">
        <v>1252</v>
      </c>
    </row>
    <row r="5" spans="1:2" x14ac:dyDescent="0.25">
      <c r="A5" s="6">
        <v>1097</v>
      </c>
      <c r="B5" s="10" t="s">
        <v>1084</v>
      </c>
    </row>
    <row r="6" spans="1:2" x14ac:dyDescent="0.25">
      <c r="A6" s="6">
        <v>1100</v>
      </c>
      <c r="B6" s="10" t="s">
        <v>1311</v>
      </c>
    </row>
    <row r="7" spans="1:2" x14ac:dyDescent="0.25">
      <c r="A7" s="6">
        <v>1101</v>
      </c>
      <c r="B7" s="10" t="s">
        <v>1312</v>
      </c>
    </row>
    <row r="8" spans="1:2" x14ac:dyDescent="0.25">
      <c r="A8" s="6">
        <v>1102</v>
      </c>
      <c r="B8" s="10" t="s">
        <v>1313</v>
      </c>
    </row>
    <row r="9" spans="1:2" x14ac:dyDescent="0.25">
      <c r="A9" s="6">
        <v>1103</v>
      </c>
      <c r="B9" s="10" t="s">
        <v>1326</v>
      </c>
    </row>
    <row r="10" spans="1:2" x14ac:dyDescent="0.25">
      <c r="A10" s="6">
        <v>1108</v>
      </c>
      <c r="B10" s="10" t="s">
        <v>1249</v>
      </c>
    </row>
    <row r="11" spans="1:2" x14ac:dyDescent="0.25">
      <c r="A11" s="6">
        <v>1109</v>
      </c>
      <c r="B11" s="10" t="s">
        <v>1253</v>
      </c>
    </row>
    <row r="12" spans="1:2" x14ac:dyDescent="0.25">
      <c r="A12" s="6">
        <v>1118</v>
      </c>
      <c r="B12" s="10" t="s">
        <v>1337</v>
      </c>
    </row>
    <row r="13" spans="1:2" x14ac:dyDescent="0.25">
      <c r="A13" s="6">
        <v>1119</v>
      </c>
      <c r="B13" s="10" t="s">
        <v>1236</v>
      </c>
    </row>
    <row r="14" spans="1:2" x14ac:dyDescent="0.25">
      <c r="A14" s="6">
        <v>1122</v>
      </c>
      <c r="B14" s="10" t="s">
        <v>1309</v>
      </c>
    </row>
    <row r="15" spans="1:2" x14ac:dyDescent="0.25">
      <c r="A15" s="6">
        <v>1126</v>
      </c>
      <c r="B15" s="10" t="s">
        <v>1341</v>
      </c>
    </row>
    <row r="16" spans="1:2" x14ac:dyDescent="0.25">
      <c r="A16" s="6">
        <v>1127</v>
      </c>
      <c r="B16" s="10" t="s">
        <v>1336</v>
      </c>
    </row>
    <row r="17" spans="1:2" x14ac:dyDescent="0.25">
      <c r="A17" s="6">
        <v>1130</v>
      </c>
      <c r="B17" s="10" t="s">
        <v>752</v>
      </c>
    </row>
    <row r="18" spans="1:2" x14ac:dyDescent="0.25">
      <c r="A18" s="6">
        <v>1131</v>
      </c>
      <c r="B18" s="10" t="s">
        <v>1012</v>
      </c>
    </row>
    <row r="19" spans="1:2" x14ac:dyDescent="0.25">
      <c r="A19" s="6">
        <v>1132</v>
      </c>
      <c r="B19" s="10" t="s">
        <v>1340</v>
      </c>
    </row>
    <row r="20" spans="1:2" x14ac:dyDescent="0.25">
      <c r="A20" s="6">
        <v>1133</v>
      </c>
      <c r="B20" s="10" t="s">
        <v>1335</v>
      </c>
    </row>
    <row r="21" spans="1:2" ht="15.75" customHeight="1" x14ac:dyDescent="0.25">
      <c r="A21" s="6">
        <v>1135</v>
      </c>
      <c r="B21" s="10" t="s">
        <v>1343</v>
      </c>
    </row>
    <row r="22" spans="1:2" ht="15.75" customHeight="1" x14ac:dyDescent="0.25">
      <c r="A22" s="6">
        <v>1139</v>
      </c>
      <c r="B22" s="10" t="s">
        <v>1328</v>
      </c>
    </row>
    <row r="23" spans="1:2" ht="15.75" customHeight="1" x14ac:dyDescent="0.25">
      <c r="A23" s="6">
        <v>1140</v>
      </c>
      <c r="B23" s="10" t="s">
        <v>1330</v>
      </c>
    </row>
    <row r="24" spans="1:2" ht="15.75" customHeight="1" x14ac:dyDescent="0.25">
      <c r="A24" s="6">
        <v>1143</v>
      </c>
      <c r="B24" s="10" t="s">
        <v>1308</v>
      </c>
    </row>
    <row r="25" spans="1:2" ht="15.75" customHeight="1" x14ac:dyDescent="0.25">
      <c r="A25" s="6">
        <v>1148</v>
      </c>
      <c r="B25" s="10" t="s">
        <v>1316</v>
      </c>
    </row>
    <row r="26" spans="1:2" ht="15.75" customHeight="1" x14ac:dyDescent="0.25">
      <c r="A26" s="6">
        <v>1149</v>
      </c>
      <c r="B26" s="10" t="s">
        <v>1317</v>
      </c>
    </row>
    <row r="27" spans="1:2" ht="15.75" customHeight="1" x14ac:dyDescent="0.25">
      <c r="A27" s="6">
        <v>1150</v>
      </c>
      <c r="B27" s="10" t="s">
        <v>1250</v>
      </c>
    </row>
    <row r="28" spans="1:2" ht="15.75" customHeight="1" x14ac:dyDescent="0.25">
      <c r="A28" s="6">
        <v>1152</v>
      </c>
      <c r="B28" s="10" t="s">
        <v>1122</v>
      </c>
    </row>
    <row r="29" spans="1:2" ht="15.75" customHeight="1" x14ac:dyDescent="0.25">
      <c r="A29" s="6">
        <v>1156</v>
      </c>
      <c r="B29" s="10" t="s">
        <v>1251</v>
      </c>
    </row>
    <row r="30" spans="1:2" ht="15.75" customHeight="1" x14ac:dyDescent="0.25">
      <c r="A30" s="6">
        <v>1158</v>
      </c>
      <c r="B30" s="10" t="s">
        <v>1307</v>
      </c>
    </row>
    <row r="31" spans="1:2" ht="15.75" customHeight="1" x14ac:dyDescent="0.25">
      <c r="A31" s="6">
        <v>1162</v>
      </c>
      <c r="B31" s="10" t="s">
        <v>1339</v>
      </c>
    </row>
    <row r="32" spans="1:2" ht="15.75" customHeight="1" x14ac:dyDescent="0.25">
      <c r="A32" s="6">
        <v>1165</v>
      </c>
      <c r="B32" s="10" t="s">
        <v>1131</v>
      </c>
    </row>
    <row r="33" spans="1:2" ht="15.75" customHeight="1" x14ac:dyDescent="0.25">
      <c r="A33" s="6">
        <v>1167</v>
      </c>
      <c r="B33" s="10" t="s">
        <v>1346</v>
      </c>
    </row>
    <row r="34" spans="1:2" ht="15.75" customHeight="1" x14ac:dyDescent="0.25">
      <c r="A34" s="6">
        <v>1172</v>
      </c>
      <c r="B34" s="10" t="s">
        <v>1310</v>
      </c>
    </row>
    <row r="35" spans="1:2" ht="15.75" customHeight="1" x14ac:dyDescent="0.25">
      <c r="A35" s="6">
        <v>1175</v>
      </c>
      <c r="B35" s="10" t="s">
        <v>1143</v>
      </c>
    </row>
    <row r="36" spans="1:2" ht="15.75" customHeight="1" x14ac:dyDescent="0.25">
      <c r="A36" s="6">
        <v>1176</v>
      </c>
      <c r="B36" s="10" t="s">
        <v>1121</v>
      </c>
    </row>
    <row r="37" spans="1:2" ht="15.75" customHeight="1" x14ac:dyDescent="0.25">
      <c r="A37" s="6">
        <v>1178</v>
      </c>
      <c r="B37" s="10" t="s">
        <v>1134</v>
      </c>
    </row>
    <row r="38" spans="1:2" ht="15.75" customHeight="1" x14ac:dyDescent="0.25">
      <c r="A38" s="6">
        <v>1179</v>
      </c>
      <c r="B38" s="10" t="s">
        <v>1344</v>
      </c>
    </row>
    <row r="39" spans="1:2" ht="15.75" customHeight="1" x14ac:dyDescent="0.25">
      <c r="A39" s="6">
        <v>1184</v>
      </c>
      <c r="B39" s="10" t="s">
        <v>1144</v>
      </c>
    </row>
    <row r="40" spans="1:2" ht="15.75" customHeight="1" x14ac:dyDescent="0.25">
      <c r="A40" s="6">
        <v>1185</v>
      </c>
      <c r="B40" s="10" t="s">
        <v>1345</v>
      </c>
    </row>
    <row r="41" spans="1:2" ht="15.75" customHeight="1" x14ac:dyDescent="0.25">
      <c r="A41" s="6">
        <v>1188</v>
      </c>
      <c r="B41" s="10" t="s">
        <v>1332</v>
      </c>
    </row>
    <row r="42" spans="1:2" ht="15.75" customHeight="1" x14ac:dyDescent="0.25">
      <c r="A42" s="6">
        <v>1189</v>
      </c>
      <c r="B42" s="10" t="s">
        <v>1145</v>
      </c>
    </row>
    <row r="43" spans="1:2" ht="15.75" customHeight="1" x14ac:dyDescent="0.25">
      <c r="A43" s="6">
        <v>1192</v>
      </c>
      <c r="B43" s="10" t="s">
        <v>1331</v>
      </c>
    </row>
    <row r="44" spans="1:2" ht="15.75" customHeight="1" x14ac:dyDescent="0.25">
      <c r="A44" s="6">
        <v>1193</v>
      </c>
      <c r="B44" s="10" t="s">
        <v>1616</v>
      </c>
    </row>
    <row r="45" spans="1:2" ht="15.75" customHeight="1" x14ac:dyDescent="0.25">
      <c r="A45" s="6">
        <v>1194</v>
      </c>
      <c r="B45" s="10" t="s">
        <v>1617</v>
      </c>
    </row>
    <row r="46" spans="1:2" ht="15.75" customHeight="1" x14ac:dyDescent="0.25">
      <c r="A46" s="6">
        <v>1195</v>
      </c>
      <c r="B46" s="10" t="s">
        <v>1618</v>
      </c>
    </row>
    <row r="47" spans="1:2" ht="15.75" customHeight="1" x14ac:dyDescent="0.25">
      <c r="A47" s="6">
        <v>1199</v>
      </c>
      <c r="B47" s="10" t="s">
        <v>1622</v>
      </c>
    </row>
    <row r="48" spans="1:2" ht="15.75" customHeight="1" x14ac:dyDescent="0.25">
      <c r="A48" s="6">
        <v>1200</v>
      </c>
      <c r="B48" s="10" t="s">
        <v>1623</v>
      </c>
    </row>
    <row r="49" spans="1:2" ht="15.75" customHeight="1" x14ac:dyDescent="0.25">
      <c r="A49" s="6">
        <v>1201</v>
      </c>
      <c r="B49" s="10" t="s">
        <v>1624</v>
      </c>
    </row>
    <row r="50" spans="1:2" ht="15.75" customHeight="1" x14ac:dyDescent="0.25">
      <c r="A50" s="6">
        <v>1202</v>
      </c>
      <c r="B50" s="10" t="s">
        <v>1674</v>
      </c>
    </row>
    <row r="51" spans="1:2" ht="15.75" customHeight="1" x14ac:dyDescent="0.25">
      <c r="A51" s="6">
        <v>1203</v>
      </c>
      <c r="B51" s="10" t="s">
        <v>1675</v>
      </c>
    </row>
    <row r="52" spans="1:2" ht="15.75" customHeight="1" x14ac:dyDescent="0.25">
      <c r="A52" s="6">
        <v>1204</v>
      </c>
      <c r="B52" s="10" t="s">
        <v>1676</v>
      </c>
    </row>
    <row r="53" spans="1:2" ht="15.75" customHeight="1" x14ac:dyDescent="0.25">
      <c r="A53" s="6">
        <v>1205</v>
      </c>
      <c r="B53" s="10" t="s">
        <v>1677</v>
      </c>
    </row>
    <row r="54" spans="1:2" ht="15.75" customHeight="1" x14ac:dyDescent="0.25">
      <c r="A54" s="6">
        <v>1206</v>
      </c>
      <c r="B54" s="10" t="s">
        <v>1678</v>
      </c>
    </row>
    <row r="55" spans="1:2" ht="15.75" customHeight="1" x14ac:dyDescent="0.25">
      <c r="A55" s="6">
        <v>1207</v>
      </c>
      <c r="B55" s="10" t="s">
        <v>1679</v>
      </c>
    </row>
    <row r="56" spans="1:2" ht="15.75" customHeight="1" x14ac:dyDescent="0.25">
      <c r="A56" s="6">
        <v>1208</v>
      </c>
      <c r="B56" s="10" t="s">
        <v>1836</v>
      </c>
    </row>
    <row r="57" spans="1:2" ht="15.75" customHeight="1" x14ac:dyDescent="0.25">
      <c r="A57" s="6">
        <v>1209</v>
      </c>
      <c r="B57" s="10" t="s">
        <v>1837</v>
      </c>
    </row>
    <row r="58" spans="1:2" ht="15.75" customHeight="1" x14ac:dyDescent="0.25">
      <c r="A58" s="6">
        <v>1210</v>
      </c>
      <c r="B58" s="10" t="s">
        <v>1838</v>
      </c>
    </row>
    <row r="59" spans="1:2" ht="15.75" customHeight="1" x14ac:dyDescent="0.25">
      <c r="A59" s="6">
        <v>1211</v>
      </c>
      <c r="B59" s="10" t="s">
        <v>1839</v>
      </c>
    </row>
    <row r="60" spans="1:2" ht="15.75" customHeight="1" x14ac:dyDescent="0.25">
      <c r="A60" s="6">
        <v>1212</v>
      </c>
      <c r="B60" s="10" t="s">
        <v>1840</v>
      </c>
    </row>
    <row r="61" spans="1:2" ht="15.75" customHeight="1" x14ac:dyDescent="0.25">
      <c r="A61" s="6">
        <v>208001</v>
      </c>
      <c r="B61" s="10" t="s">
        <v>1461</v>
      </c>
    </row>
    <row r="62" spans="1:2" ht="15.75" customHeight="1" x14ac:dyDescent="0.25">
      <c r="A62" s="6">
        <v>208002</v>
      </c>
      <c r="B62" s="10" t="s">
        <v>695</v>
      </c>
    </row>
    <row r="63" spans="1:2" ht="15.75" customHeight="1" x14ac:dyDescent="0.25">
      <c r="A63" s="6">
        <v>208003</v>
      </c>
      <c r="B63" s="10" t="s">
        <v>622</v>
      </c>
    </row>
    <row r="64" spans="1:2" ht="15.75" customHeight="1" x14ac:dyDescent="0.25">
      <c r="A64" s="6">
        <v>208004</v>
      </c>
      <c r="B64" s="10" t="s">
        <v>1293</v>
      </c>
    </row>
    <row r="65" spans="1:2" ht="15.75" customHeight="1" x14ac:dyDescent="0.25">
      <c r="A65" s="6">
        <v>208005</v>
      </c>
      <c r="B65" s="10" t="s">
        <v>1232</v>
      </c>
    </row>
    <row r="66" spans="1:2" ht="15.75" customHeight="1" x14ac:dyDescent="0.25">
      <c r="A66" s="6">
        <v>208006</v>
      </c>
      <c r="B66" s="10" t="s">
        <v>1039</v>
      </c>
    </row>
    <row r="67" spans="1:2" ht="15.75" customHeight="1" x14ac:dyDescent="0.25">
      <c r="A67" s="6">
        <v>208007</v>
      </c>
      <c r="B67" s="10" t="s">
        <v>1569</v>
      </c>
    </row>
    <row r="68" spans="1:2" ht="15.75" customHeight="1" x14ac:dyDescent="0.25">
      <c r="A68" s="6">
        <v>208008</v>
      </c>
      <c r="B68" s="10" t="s">
        <v>1577</v>
      </c>
    </row>
    <row r="69" spans="1:2" ht="15.75" customHeight="1" x14ac:dyDescent="0.25">
      <c r="A69" s="6">
        <v>208009</v>
      </c>
      <c r="B69" s="10" t="s">
        <v>853</v>
      </c>
    </row>
    <row r="70" spans="1:2" ht="15.75" customHeight="1" x14ac:dyDescent="0.25">
      <c r="A70" s="6">
        <v>208010</v>
      </c>
      <c r="B70" s="10" t="s">
        <v>699</v>
      </c>
    </row>
    <row r="71" spans="1:2" ht="15.75" customHeight="1" x14ac:dyDescent="0.25">
      <c r="A71" s="6">
        <v>208011</v>
      </c>
      <c r="B71" s="10" t="s">
        <v>720</v>
      </c>
    </row>
    <row r="72" spans="1:2" ht="15.75" customHeight="1" x14ac:dyDescent="0.25">
      <c r="A72" s="6">
        <v>208012</v>
      </c>
      <c r="B72" s="10" t="s">
        <v>863</v>
      </c>
    </row>
    <row r="73" spans="1:2" ht="15.75" customHeight="1" x14ac:dyDescent="0.25">
      <c r="A73" s="6">
        <v>208013</v>
      </c>
      <c r="B73" s="10" t="s">
        <v>1022</v>
      </c>
    </row>
    <row r="74" spans="1:2" ht="15.75" customHeight="1" x14ac:dyDescent="0.25">
      <c r="A74" s="6">
        <v>208014</v>
      </c>
      <c r="B74" s="10" t="s">
        <v>1033</v>
      </c>
    </row>
    <row r="75" spans="1:2" ht="15.75" customHeight="1" x14ac:dyDescent="0.25">
      <c r="A75" s="6">
        <v>208015</v>
      </c>
      <c r="B75" s="10" t="s">
        <v>1226</v>
      </c>
    </row>
    <row r="76" spans="1:2" ht="15.75" customHeight="1" x14ac:dyDescent="0.25">
      <c r="A76" s="6">
        <v>208016</v>
      </c>
      <c r="B76" s="10" t="s">
        <v>1295</v>
      </c>
    </row>
    <row r="77" spans="1:2" ht="15.75" customHeight="1" x14ac:dyDescent="0.25">
      <c r="A77" s="6">
        <v>208017</v>
      </c>
      <c r="B77" s="10" t="s">
        <v>1549</v>
      </c>
    </row>
    <row r="78" spans="1:2" ht="15.75" customHeight="1" x14ac:dyDescent="0.25">
      <c r="A78" s="6">
        <v>208018</v>
      </c>
      <c r="B78" s="10" t="s">
        <v>1054</v>
      </c>
    </row>
    <row r="79" spans="1:2" ht="15.75" customHeight="1" x14ac:dyDescent="0.25">
      <c r="A79" s="6">
        <v>208019</v>
      </c>
      <c r="B79" s="10" t="s">
        <v>685</v>
      </c>
    </row>
    <row r="80" spans="1:2" ht="15.75" customHeight="1" x14ac:dyDescent="0.25">
      <c r="A80" s="6">
        <v>208020</v>
      </c>
      <c r="B80" s="10" t="s">
        <v>1460</v>
      </c>
    </row>
    <row r="81" spans="1:2" ht="15.75" customHeight="1" x14ac:dyDescent="0.25">
      <c r="A81" s="6">
        <v>208021</v>
      </c>
      <c r="B81" s="10" t="s">
        <v>1178</v>
      </c>
    </row>
    <row r="82" spans="1:2" ht="15.75" customHeight="1" x14ac:dyDescent="0.25">
      <c r="A82" s="6">
        <v>208022</v>
      </c>
      <c r="B82" s="10" t="s">
        <v>1358</v>
      </c>
    </row>
    <row r="83" spans="1:2" ht="15.75" customHeight="1" x14ac:dyDescent="0.25">
      <c r="A83" s="6">
        <v>208023</v>
      </c>
      <c r="B83" s="10" t="s">
        <v>967</v>
      </c>
    </row>
    <row r="84" spans="1:2" ht="15.75" customHeight="1" x14ac:dyDescent="0.25">
      <c r="A84" s="6">
        <v>208024</v>
      </c>
      <c r="B84" s="10" t="s">
        <v>968</v>
      </c>
    </row>
    <row r="85" spans="1:2" ht="15.75" customHeight="1" x14ac:dyDescent="0.25">
      <c r="A85" s="6">
        <v>208025</v>
      </c>
      <c r="B85" s="10" t="s">
        <v>1545</v>
      </c>
    </row>
    <row r="86" spans="1:2" ht="15.75" customHeight="1" x14ac:dyDescent="0.25">
      <c r="A86" s="6">
        <v>208026</v>
      </c>
      <c r="B86" s="10" t="s">
        <v>1349</v>
      </c>
    </row>
    <row r="87" spans="1:2" ht="15.75" customHeight="1" x14ac:dyDescent="0.25">
      <c r="A87" s="6">
        <v>208027</v>
      </c>
      <c r="B87" s="10" t="s">
        <v>942</v>
      </c>
    </row>
    <row r="88" spans="1:2" ht="15.75" customHeight="1" x14ac:dyDescent="0.25">
      <c r="A88" s="6">
        <v>408028</v>
      </c>
      <c r="B88" s="10" t="s">
        <v>1442</v>
      </c>
    </row>
    <row r="89" spans="1:2" ht="15.75" customHeight="1" x14ac:dyDescent="0.25">
      <c r="A89" s="6">
        <v>408029</v>
      </c>
      <c r="B89" s="10" t="s">
        <v>1256</v>
      </c>
    </row>
    <row r="90" spans="1:2" ht="15.75" customHeight="1" x14ac:dyDescent="0.25">
      <c r="A90" s="6">
        <v>408030</v>
      </c>
      <c r="B90" s="10" t="s">
        <v>1162</v>
      </c>
    </row>
    <row r="91" spans="1:2" ht="15.75" customHeight="1" x14ac:dyDescent="0.25">
      <c r="A91" s="6">
        <v>408031</v>
      </c>
      <c r="B91" s="10" t="s">
        <v>1032</v>
      </c>
    </row>
    <row r="92" spans="1:2" ht="15.75" customHeight="1" x14ac:dyDescent="0.25">
      <c r="A92" s="6">
        <v>408032</v>
      </c>
      <c r="B92" s="10" t="s">
        <v>1023</v>
      </c>
    </row>
    <row r="93" spans="1:2" ht="15.75" customHeight="1" x14ac:dyDescent="0.25">
      <c r="A93" s="6">
        <v>408033</v>
      </c>
      <c r="B93" s="10" t="s">
        <v>1163</v>
      </c>
    </row>
    <row r="94" spans="1:2" ht="15.75" customHeight="1" x14ac:dyDescent="0.25">
      <c r="A94" s="6">
        <v>408034</v>
      </c>
      <c r="B94" s="10" t="s">
        <v>742</v>
      </c>
    </row>
    <row r="95" spans="1:2" ht="15.75" customHeight="1" x14ac:dyDescent="0.25">
      <c r="A95" s="6">
        <v>408035</v>
      </c>
      <c r="B95" s="10" t="s">
        <v>1026</v>
      </c>
    </row>
    <row r="96" spans="1:2" ht="15.75" customHeight="1" x14ac:dyDescent="0.25">
      <c r="A96" s="6">
        <v>408036</v>
      </c>
      <c r="B96" s="10" t="s">
        <v>854</v>
      </c>
    </row>
    <row r="97" spans="1:2" ht="15.75" customHeight="1" x14ac:dyDescent="0.25">
      <c r="A97" s="6">
        <v>408037</v>
      </c>
      <c r="B97" s="10" t="s">
        <v>1095</v>
      </c>
    </row>
    <row r="98" spans="1:2" ht="15.75" customHeight="1" x14ac:dyDescent="0.25">
      <c r="A98" s="6">
        <v>408038</v>
      </c>
      <c r="B98" s="10" t="s">
        <v>1093</v>
      </c>
    </row>
    <row r="99" spans="1:2" ht="15.75" customHeight="1" x14ac:dyDescent="0.25">
      <c r="A99" s="6">
        <v>408039</v>
      </c>
      <c r="B99" s="10" t="s">
        <v>115</v>
      </c>
    </row>
    <row r="100" spans="1:2" ht="15.75" customHeight="1" x14ac:dyDescent="0.25">
      <c r="A100" s="6">
        <v>209020</v>
      </c>
      <c r="B100" s="10" t="s">
        <v>750</v>
      </c>
    </row>
    <row r="101" spans="1:2" ht="15.75" customHeight="1" x14ac:dyDescent="0.25">
      <c r="A101" s="6">
        <v>209021</v>
      </c>
      <c r="B101" s="10" t="s">
        <v>1092</v>
      </c>
    </row>
    <row r="102" spans="1:2" ht="15.75" customHeight="1" x14ac:dyDescent="0.25">
      <c r="A102" s="6">
        <v>209023</v>
      </c>
      <c r="B102" s="10" t="s">
        <v>1544</v>
      </c>
    </row>
    <row r="103" spans="1:2" ht="15.75" customHeight="1" x14ac:dyDescent="0.25">
      <c r="A103" s="6">
        <v>409005</v>
      </c>
      <c r="B103" s="10" t="s">
        <v>1066</v>
      </c>
    </row>
    <row r="104" spans="1:2" ht="15.75" customHeight="1" x14ac:dyDescent="0.25">
      <c r="A104" s="6">
        <v>409006</v>
      </c>
      <c r="B104" s="10" t="s">
        <v>1107</v>
      </c>
    </row>
    <row r="105" spans="1:2" ht="15.75" customHeight="1" x14ac:dyDescent="0.25">
      <c r="A105" s="6">
        <v>409010</v>
      </c>
      <c r="B105" s="10" t="s">
        <v>1094</v>
      </c>
    </row>
    <row r="106" spans="1:2" ht="15.75" customHeight="1" x14ac:dyDescent="0.25">
      <c r="A106" s="6">
        <v>409011</v>
      </c>
      <c r="B106" s="10" t="s">
        <v>1105</v>
      </c>
    </row>
    <row r="107" spans="1:2" ht="15.75" customHeight="1" x14ac:dyDescent="0.25">
      <c r="A107" s="6">
        <v>409012</v>
      </c>
      <c r="B107" s="10" t="s">
        <v>1526</v>
      </c>
    </row>
    <row r="108" spans="1:2" ht="15.75" customHeight="1" x14ac:dyDescent="0.25">
      <c r="A108" s="6">
        <v>409014</v>
      </c>
      <c r="B108" s="10" t="s">
        <v>1378</v>
      </c>
    </row>
    <row r="109" spans="1:2" ht="15.75" customHeight="1" x14ac:dyDescent="0.25">
      <c r="A109" s="6">
        <v>409020</v>
      </c>
      <c r="B109" s="10" t="s">
        <v>997</v>
      </c>
    </row>
    <row r="110" spans="1:2" ht="15.75" customHeight="1" x14ac:dyDescent="0.25">
      <c r="A110" s="6">
        <v>409021</v>
      </c>
      <c r="B110" s="10" t="s">
        <v>1046</v>
      </c>
    </row>
    <row r="111" spans="1:2" ht="15.75" customHeight="1" x14ac:dyDescent="0.25">
      <c r="A111" s="6">
        <v>409023</v>
      </c>
      <c r="B111" s="10" t="s">
        <v>1260</v>
      </c>
    </row>
    <row r="112" spans="1:2" ht="15.75" customHeight="1" x14ac:dyDescent="0.25">
      <c r="A112" s="6">
        <v>409026</v>
      </c>
      <c r="B112" s="10" t="s">
        <v>1441</v>
      </c>
    </row>
    <row r="113" spans="1:2" ht="15.75" customHeight="1" x14ac:dyDescent="0.25">
      <c r="A113" s="6">
        <v>409027</v>
      </c>
      <c r="B113" s="10" t="s">
        <v>1680</v>
      </c>
    </row>
    <row r="114" spans="1:2" ht="15.75" customHeight="1" x14ac:dyDescent="0.25">
      <c r="A114" s="6">
        <v>409028</v>
      </c>
      <c r="B114" s="10" t="s">
        <v>1681</v>
      </c>
    </row>
    <row r="115" spans="1:2" ht="15.75" customHeight="1" x14ac:dyDescent="0.25">
      <c r="A115" s="6">
        <v>409030</v>
      </c>
      <c r="B115" s="10" t="s">
        <v>1682</v>
      </c>
    </row>
    <row r="116" spans="1:2" ht="15.75" customHeight="1" x14ac:dyDescent="0.25">
      <c r="A116" s="6">
        <v>409032</v>
      </c>
      <c r="B116" s="10" t="s">
        <v>1683</v>
      </c>
    </row>
    <row r="117" spans="1:2" ht="15.75" customHeight="1" x14ac:dyDescent="0.25">
      <c r="A117" s="6">
        <v>409034</v>
      </c>
      <c r="B117" s="10" t="s">
        <v>698</v>
      </c>
    </row>
    <row r="118" spans="1:2" ht="15.75" customHeight="1" x14ac:dyDescent="0.25">
      <c r="A118" s="6">
        <v>409035</v>
      </c>
      <c r="B118" s="10" t="s">
        <v>1841</v>
      </c>
    </row>
    <row r="119" spans="1:2" ht="15.75" customHeight="1" x14ac:dyDescent="0.25">
      <c r="A119" s="6">
        <v>409036</v>
      </c>
      <c r="B119" s="10" t="s">
        <v>1842</v>
      </c>
    </row>
    <row r="120" spans="1:2" ht="15.75" customHeight="1" x14ac:dyDescent="0.25">
      <c r="A120" s="6">
        <v>409037</v>
      </c>
      <c r="B120" s="10" t="s">
        <v>1843</v>
      </c>
    </row>
    <row r="121" spans="1:2" ht="15.75" customHeight="1" x14ac:dyDescent="0.25">
      <c r="A121" s="6">
        <v>409038</v>
      </c>
      <c r="B121" s="10" t="s">
        <v>914</v>
      </c>
    </row>
    <row r="122" spans="1:2" ht="15.75" customHeight="1" x14ac:dyDescent="0.25">
      <c r="A122" s="6">
        <v>409039</v>
      </c>
      <c r="B122" s="10" t="s">
        <v>1019</v>
      </c>
    </row>
    <row r="123" spans="1:2" ht="15.75" customHeight="1" x14ac:dyDescent="0.25">
      <c r="A123" s="6">
        <v>409040</v>
      </c>
      <c r="B123" s="10" t="s">
        <v>1844</v>
      </c>
    </row>
    <row r="124" spans="1:2" ht="15.75" customHeight="1" x14ac:dyDescent="0.25">
      <c r="A124" s="6">
        <v>409041</v>
      </c>
      <c r="B124" s="10" t="s">
        <v>1040</v>
      </c>
    </row>
    <row r="125" spans="1:2" ht="15.75" customHeight="1" x14ac:dyDescent="0.25">
      <c r="A125" s="6">
        <v>409042</v>
      </c>
      <c r="B125" s="10" t="s">
        <v>1845</v>
      </c>
    </row>
    <row r="126" spans="1:2" ht="15.75" customHeight="1" x14ac:dyDescent="0.25">
      <c r="A126" s="6">
        <v>409043</v>
      </c>
      <c r="B126" s="10" t="s">
        <v>1157</v>
      </c>
    </row>
    <row r="127" spans="1:2" ht="15.75" customHeight="1" x14ac:dyDescent="0.25">
      <c r="A127" s="6">
        <v>409044</v>
      </c>
      <c r="B127" s="10" t="s">
        <v>1613</v>
      </c>
    </row>
    <row r="128" spans="1:2" ht="15.75" customHeight="1" x14ac:dyDescent="0.25">
      <c r="A128" s="6">
        <v>220001</v>
      </c>
      <c r="B128" s="10" t="s">
        <v>753</v>
      </c>
    </row>
    <row r="129" spans="1:2" ht="15.75" customHeight="1" x14ac:dyDescent="0.25">
      <c r="A129" s="6">
        <v>220002</v>
      </c>
      <c r="B129" s="10" t="s">
        <v>810</v>
      </c>
    </row>
    <row r="130" spans="1:2" ht="15.75" customHeight="1" x14ac:dyDescent="0.25">
      <c r="A130" s="6">
        <v>220003</v>
      </c>
      <c r="B130" s="10" t="s">
        <v>115</v>
      </c>
    </row>
    <row r="131" spans="1:2" ht="15.75" customHeight="1" x14ac:dyDescent="0.25">
      <c r="A131" s="6">
        <v>220004</v>
      </c>
      <c r="B131" s="10" t="s">
        <v>909</v>
      </c>
    </row>
    <row r="132" spans="1:2" ht="15.75" customHeight="1" x14ac:dyDescent="0.25">
      <c r="A132" s="6">
        <v>220005</v>
      </c>
      <c r="B132" s="10" t="s">
        <v>941</v>
      </c>
    </row>
    <row r="133" spans="1:2" ht="15.75" customHeight="1" x14ac:dyDescent="0.25">
      <c r="A133" s="6">
        <v>220006</v>
      </c>
      <c r="B133" s="10" t="s">
        <v>996</v>
      </c>
    </row>
    <row r="134" spans="1:2" ht="15.75" customHeight="1" x14ac:dyDescent="0.25">
      <c r="A134" s="6">
        <v>220007</v>
      </c>
      <c r="B134" s="10" t="s">
        <v>998</v>
      </c>
    </row>
    <row r="135" spans="1:2" ht="15.75" customHeight="1" x14ac:dyDescent="0.25">
      <c r="A135" s="6">
        <v>220008</v>
      </c>
      <c r="B135" s="10" t="s">
        <v>624</v>
      </c>
    </row>
    <row r="136" spans="1:2" ht="15.75" customHeight="1" x14ac:dyDescent="0.25">
      <c r="A136" s="6">
        <v>220009</v>
      </c>
      <c r="B136" s="10" t="s">
        <v>1040</v>
      </c>
    </row>
    <row r="137" spans="1:2" ht="15.75" customHeight="1" x14ac:dyDescent="0.25">
      <c r="A137" s="6">
        <v>220010</v>
      </c>
      <c r="B137" s="10" t="s">
        <v>1067</v>
      </c>
    </row>
    <row r="138" spans="1:2" ht="15.75" customHeight="1" x14ac:dyDescent="0.25">
      <c r="A138" s="6">
        <v>220011</v>
      </c>
      <c r="B138" s="10" t="s">
        <v>1065</v>
      </c>
    </row>
    <row r="139" spans="1:2" ht="15.75" customHeight="1" x14ac:dyDescent="0.25">
      <c r="A139" s="6">
        <v>220012</v>
      </c>
      <c r="B139" s="10" t="s">
        <v>1099</v>
      </c>
    </row>
    <row r="140" spans="1:2" ht="15.75" customHeight="1" x14ac:dyDescent="0.25">
      <c r="A140" s="6">
        <v>220013</v>
      </c>
      <c r="B140" s="10" t="s">
        <v>1255</v>
      </c>
    </row>
    <row r="141" spans="1:2" ht="15.75" customHeight="1" x14ac:dyDescent="0.25">
      <c r="A141" s="6">
        <v>220014</v>
      </c>
      <c r="B141" s="10" t="s">
        <v>1351</v>
      </c>
    </row>
    <row r="142" spans="1:2" ht="15.75" customHeight="1" x14ac:dyDescent="0.25">
      <c r="A142" s="6">
        <v>220015</v>
      </c>
      <c r="B142" s="10" t="s">
        <v>1369</v>
      </c>
    </row>
    <row r="143" spans="1:2" ht="15.75" customHeight="1" x14ac:dyDescent="0.25">
      <c r="A143" s="6">
        <v>220016</v>
      </c>
      <c r="B143" s="10" t="s">
        <v>1380</v>
      </c>
    </row>
    <row r="144" spans="1:2" ht="15.75" customHeight="1" x14ac:dyDescent="0.25">
      <c r="A144" s="6">
        <v>220017</v>
      </c>
      <c r="B144" s="10" t="s">
        <v>1397</v>
      </c>
    </row>
    <row r="145" spans="1:2" ht="15.75" customHeight="1" x14ac:dyDescent="0.25">
      <c r="A145" s="6">
        <v>220018</v>
      </c>
      <c r="B145" s="10" t="s">
        <v>1402</v>
      </c>
    </row>
    <row r="146" spans="1:2" ht="15.75" customHeight="1" x14ac:dyDescent="0.25">
      <c r="A146" s="6">
        <v>220019</v>
      </c>
      <c r="B146" s="10" t="s">
        <v>1403</v>
      </c>
    </row>
    <row r="147" spans="1:2" ht="15.75" customHeight="1" x14ac:dyDescent="0.25">
      <c r="A147" s="6">
        <v>220020</v>
      </c>
      <c r="B147" s="10" t="s">
        <v>1413</v>
      </c>
    </row>
    <row r="148" spans="1:2" ht="15.75" customHeight="1" x14ac:dyDescent="0.25">
      <c r="A148" s="6">
        <v>220021</v>
      </c>
      <c r="B148" s="10" t="s">
        <v>1414</v>
      </c>
    </row>
    <row r="149" spans="1:2" ht="15.75" customHeight="1" x14ac:dyDescent="0.25">
      <c r="A149" s="6">
        <v>220022</v>
      </c>
      <c r="B149" s="10" t="s">
        <v>1440</v>
      </c>
    </row>
    <row r="150" spans="1:2" ht="15.75" customHeight="1" x14ac:dyDescent="0.25">
      <c r="A150" s="6">
        <v>220023</v>
      </c>
      <c r="B150" s="10" t="s">
        <v>1459</v>
      </c>
    </row>
    <row r="151" spans="1:2" ht="15.75" customHeight="1" x14ac:dyDescent="0.25">
      <c r="A151" s="6">
        <v>220024</v>
      </c>
      <c r="B151" s="10" t="s">
        <v>1458</v>
      </c>
    </row>
    <row r="152" spans="1:2" ht="15.75" customHeight="1" x14ac:dyDescent="0.25">
      <c r="A152" s="6">
        <v>220025</v>
      </c>
      <c r="B152" s="10" t="s">
        <v>1457</v>
      </c>
    </row>
    <row r="153" spans="1:2" ht="15.75" customHeight="1" x14ac:dyDescent="0.25">
      <c r="A153" s="6">
        <v>220026</v>
      </c>
      <c r="B153" s="10" t="s">
        <v>1554</v>
      </c>
    </row>
    <row r="154" spans="1:2" ht="15.75" customHeight="1" x14ac:dyDescent="0.25">
      <c r="A154" s="6">
        <v>220027</v>
      </c>
      <c r="B154" s="10" t="s">
        <v>1575</v>
      </c>
    </row>
    <row r="155" spans="1:2" ht="15.75" customHeight="1" x14ac:dyDescent="0.25">
      <c r="A155" s="6">
        <v>220028</v>
      </c>
      <c r="B155" s="10" t="s">
        <v>1576</v>
      </c>
    </row>
    <row r="156" spans="1:2" ht="15.75" customHeight="1" x14ac:dyDescent="0.25">
      <c r="A156" s="6">
        <v>220029</v>
      </c>
      <c r="B156" s="10" t="s">
        <v>1230</v>
      </c>
    </row>
    <row r="157" spans="1:2" ht="15.75" customHeight="1" x14ac:dyDescent="0.25">
      <c r="A157" s="6">
        <v>220030</v>
      </c>
      <c r="B157" s="10" t="s">
        <v>902</v>
      </c>
    </row>
    <row r="158" spans="1:2" ht="15.75" customHeight="1" x14ac:dyDescent="0.25">
      <c r="A158" s="6">
        <v>220031</v>
      </c>
      <c r="B158" s="10" t="s">
        <v>1381</v>
      </c>
    </row>
    <row r="159" spans="1:2" ht="15.75" customHeight="1" x14ac:dyDescent="0.25">
      <c r="A159" s="6">
        <v>220032</v>
      </c>
      <c r="B159" s="10" t="s">
        <v>1021</v>
      </c>
    </row>
    <row r="160" spans="1:2" ht="15.75" customHeight="1" x14ac:dyDescent="0.25">
      <c r="A160" s="6">
        <v>220033</v>
      </c>
      <c r="B160" s="10" t="s">
        <v>719</v>
      </c>
    </row>
    <row r="161" spans="1:2" ht="15.75" customHeight="1" x14ac:dyDescent="0.25">
      <c r="A161" s="6">
        <v>220034</v>
      </c>
      <c r="B161" s="10" t="s">
        <v>1555</v>
      </c>
    </row>
    <row r="162" spans="1:2" ht="15.75" customHeight="1" x14ac:dyDescent="0.25">
      <c r="A162" s="6">
        <v>220035</v>
      </c>
      <c r="B162" s="10" t="s">
        <v>962</v>
      </c>
    </row>
    <row r="163" spans="1:2" ht="15.75" customHeight="1" x14ac:dyDescent="0.25">
      <c r="A163" s="6">
        <v>220036</v>
      </c>
      <c r="B163" s="10" t="s">
        <v>1538</v>
      </c>
    </row>
    <row r="164" spans="1:2" ht="15.75" customHeight="1" x14ac:dyDescent="0.25">
      <c r="A164" s="6">
        <v>220037</v>
      </c>
      <c r="B164" s="10" t="s">
        <v>1447</v>
      </c>
    </row>
    <row r="165" spans="1:2" ht="15.75" customHeight="1" x14ac:dyDescent="0.25">
      <c r="A165" s="6">
        <v>220038</v>
      </c>
      <c r="B165" s="10" t="s">
        <v>1096</v>
      </c>
    </row>
    <row r="166" spans="1:2" ht="15.75" customHeight="1" x14ac:dyDescent="0.25">
      <c r="A166" s="6">
        <v>220039</v>
      </c>
      <c r="B166" s="10" t="s">
        <v>422</v>
      </c>
    </row>
    <row r="167" spans="1:2" ht="15.75" customHeight="1" x14ac:dyDescent="0.25">
      <c r="A167" s="6">
        <v>32005</v>
      </c>
      <c r="B167" s="10" t="s">
        <v>708</v>
      </c>
    </row>
    <row r="168" spans="1:2" ht="15.75" customHeight="1" x14ac:dyDescent="0.25">
      <c r="A168" s="6">
        <v>32011</v>
      </c>
      <c r="B168" s="10" t="s">
        <v>1182</v>
      </c>
    </row>
    <row r="169" spans="1:2" ht="15.75" customHeight="1" x14ac:dyDescent="0.25">
      <c r="A169" s="6">
        <v>32017</v>
      </c>
      <c r="B169" s="10" t="s">
        <v>1187</v>
      </c>
    </row>
    <row r="170" spans="1:2" ht="15.75" customHeight="1" x14ac:dyDescent="0.25">
      <c r="A170" s="6">
        <v>32018</v>
      </c>
      <c r="B170" s="10" t="s">
        <v>1186</v>
      </c>
    </row>
    <row r="171" spans="1:2" ht="15.75" customHeight="1" x14ac:dyDescent="0.25">
      <c r="A171" s="6">
        <v>32024</v>
      </c>
      <c r="B171" s="10" t="s">
        <v>721</v>
      </c>
    </row>
    <row r="172" spans="1:2" ht="15.75" customHeight="1" x14ac:dyDescent="0.25">
      <c r="A172" s="6">
        <v>32026</v>
      </c>
      <c r="B172" s="10" t="s">
        <v>980</v>
      </c>
    </row>
    <row r="173" spans="1:2" ht="15.75" customHeight="1" x14ac:dyDescent="0.25">
      <c r="A173" s="6">
        <v>32030</v>
      </c>
      <c r="B173" s="10" t="s">
        <v>729</v>
      </c>
    </row>
    <row r="174" spans="1:2" ht="15.75" customHeight="1" x14ac:dyDescent="0.25">
      <c r="A174" s="6">
        <v>32118</v>
      </c>
      <c r="B174" s="10" t="s">
        <v>726</v>
      </c>
    </row>
    <row r="175" spans="1:2" ht="15.75" customHeight="1" x14ac:dyDescent="0.25">
      <c r="A175" s="6">
        <v>32131</v>
      </c>
      <c r="B175" s="10" t="s">
        <v>1197</v>
      </c>
    </row>
    <row r="176" spans="1:2" ht="15.75" customHeight="1" x14ac:dyDescent="0.25">
      <c r="A176" s="6">
        <v>32132</v>
      </c>
      <c r="B176" s="10" t="s">
        <v>1198</v>
      </c>
    </row>
    <row r="177" spans="1:2" ht="15.75" customHeight="1" x14ac:dyDescent="0.25">
      <c r="A177" s="6">
        <v>32133</v>
      </c>
      <c r="B177" s="10" t="s">
        <v>1195</v>
      </c>
    </row>
    <row r="178" spans="1:2" ht="15.75" customHeight="1" x14ac:dyDescent="0.25">
      <c r="A178" s="6">
        <v>32147</v>
      </c>
      <c r="B178" s="10" t="s">
        <v>727</v>
      </c>
    </row>
    <row r="179" spans="1:2" ht="15.75" customHeight="1" x14ac:dyDescent="0.25">
      <c r="A179" s="6">
        <v>32148</v>
      </c>
      <c r="B179" s="10" t="s">
        <v>730</v>
      </c>
    </row>
    <row r="180" spans="1:2" ht="15.75" customHeight="1" x14ac:dyDescent="0.25">
      <c r="A180" s="6">
        <v>32169</v>
      </c>
      <c r="B180" s="10" t="s">
        <v>1206</v>
      </c>
    </row>
    <row r="181" spans="1:2" ht="15.75" customHeight="1" x14ac:dyDescent="0.25">
      <c r="A181" s="6">
        <v>32177</v>
      </c>
      <c r="B181" s="10" t="s">
        <v>731</v>
      </c>
    </row>
    <row r="182" spans="1:2" ht="15.75" customHeight="1" x14ac:dyDescent="0.25">
      <c r="A182" s="6">
        <v>32180</v>
      </c>
      <c r="B182" s="10" t="s">
        <v>892</v>
      </c>
    </row>
    <row r="183" spans="1:2" ht="15.75" customHeight="1" x14ac:dyDescent="0.25">
      <c r="A183" s="6">
        <v>32181</v>
      </c>
      <c r="B183" s="10" t="s">
        <v>883</v>
      </c>
    </row>
    <row r="184" spans="1:2" ht="15.75" customHeight="1" x14ac:dyDescent="0.25">
      <c r="A184" s="6">
        <v>32190</v>
      </c>
      <c r="B184" s="10" t="s">
        <v>728</v>
      </c>
    </row>
    <row r="185" spans="1:2" ht="15.75" customHeight="1" x14ac:dyDescent="0.25">
      <c r="A185" s="6">
        <v>32191</v>
      </c>
      <c r="B185" s="10" t="s">
        <v>1192</v>
      </c>
    </row>
    <row r="186" spans="1:2" ht="15.75" customHeight="1" x14ac:dyDescent="0.25">
      <c r="A186" s="6">
        <v>32192</v>
      </c>
      <c r="B186" s="10" t="s">
        <v>1191</v>
      </c>
    </row>
    <row r="187" spans="1:2" ht="15.75" customHeight="1" x14ac:dyDescent="0.25">
      <c r="A187" s="6">
        <v>32197</v>
      </c>
      <c r="B187" s="10" t="s">
        <v>486</v>
      </c>
    </row>
    <row r="188" spans="1:2" ht="15.75" customHeight="1" x14ac:dyDescent="0.25">
      <c r="A188" s="6">
        <v>32201</v>
      </c>
      <c r="B188" s="10" t="s">
        <v>1208</v>
      </c>
    </row>
    <row r="189" spans="1:2" ht="15.75" customHeight="1" x14ac:dyDescent="0.25">
      <c r="A189" s="6">
        <v>32202</v>
      </c>
      <c r="B189" s="10" t="s">
        <v>1199</v>
      </c>
    </row>
    <row r="190" spans="1:2" ht="15.75" customHeight="1" x14ac:dyDescent="0.25">
      <c r="A190" s="6">
        <v>32204</v>
      </c>
      <c r="B190" s="10" t="s">
        <v>735</v>
      </c>
    </row>
    <row r="191" spans="1:2" ht="15.75" customHeight="1" x14ac:dyDescent="0.25">
      <c r="A191" s="6">
        <v>32205</v>
      </c>
      <c r="B191" s="10" t="s">
        <v>723</v>
      </c>
    </row>
    <row r="192" spans="1:2" ht="15.75" customHeight="1" x14ac:dyDescent="0.25">
      <c r="A192" s="6">
        <v>32206</v>
      </c>
      <c r="B192" s="10" t="s">
        <v>1184</v>
      </c>
    </row>
    <row r="193" spans="1:2" ht="15.75" customHeight="1" x14ac:dyDescent="0.25">
      <c r="A193" s="6">
        <v>32207</v>
      </c>
      <c r="B193" s="10" t="s">
        <v>1179</v>
      </c>
    </row>
    <row r="194" spans="1:2" ht="15.75" customHeight="1" x14ac:dyDescent="0.25">
      <c r="A194" s="6">
        <v>32208</v>
      </c>
      <c r="B194" s="10" t="s">
        <v>889</v>
      </c>
    </row>
    <row r="195" spans="1:2" ht="15.75" customHeight="1" x14ac:dyDescent="0.25">
      <c r="A195" s="6">
        <v>32209</v>
      </c>
      <c r="B195" s="10" t="s">
        <v>879</v>
      </c>
    </row>
    <row r="196" spans="1:2" ht="15.75" customHeight="1" x14ac:dyDescent="0.25">
      <c r="A196" s="6">
        <v>32210</v>
      </c>
      <c r="B196" s="10" t="s">
        <v>884</v>
      </c>
    </row>
    <row r="197" spans="1:2" ht="15.75" customHeight="1" x14ac:dyDescent="0.25">
      <c r="A197" s="6">
        <v>32211</v>
      </c>
      <c r="B197" s="10" t="s">
        <v>722</v>
      </c>
    </row>
    <row r="198" spans="1:2" ht="15.75" customHeight="1" x14ac:dyDescent="0.25">
      <c r="A198" s="6">
        <v>32212</v>
      </c>
      <c r="B198" s="10" t="s">
        <v>913</v>
      </c>
    </row>
    <row r="199" spans="1:2" ht="15.75" customHeight="1" x14ac:dyDescent="0.25">
      <c r="A199" s="6">
        <v>32213</v>
      </c>
      <c r="B199" s="10" t="s">
        <v>1435</v>
      </c>
    </row>
    <row r="200" spans="1:2" ht="15.75" customHeight="1" x14ac:dyDescent="0.25">
      <c r="A200" s="6">
        <v>32215</v>
      </c>
      <c r="B200" s="10" t="s">
        <v>1209</v>
      </c>
    </row>
    <row r="201" spans="1:2" ht="15.75" customHeight="1" x14ac:dyDescent="0.25">
      <c r="A201" s="6">
        <v>32218</v>
      </c>
      <c r="B201" s="10" t="s">
        <v>1201</v>
      </c>
    </row>
    <row r="202" spans="1:2" ht="15.75" customHeight="1" x14ac:dyDescent="0.25">
      <c r="A202" s="6">
        <v>32219</v>
      </c>
      <c r="B202" s="10" t="s">
        <v>1203</v>
      </c>
    </row>
    <row r="203" spans="1:2" ht="15.75" customHeight="1" x14ac:dyDescent="0.25">
      <c r="A203" s="6">
        <v>32220</v>
      </c>
      <c r="B203" s="10" t="s">
        <v>1190</v>
      </c>
    </row>
    <row r="204" spans="1:2" ht="15.75" customHeight="1" x14ac:dyDescent="0.25">
      <c r="A204" s="6">
        <v>32221</v>
      </c>
      <c r="B204" s="10" t="s">
        <v>1625</v>
      </c>
    </row>
    <row r="205" spans="1:2" ht="15.75" customHeight="1" x14ac:dyDescent="0.25">
      <c r="A205" s="6">
        <v>32222</v>
      </c>
      <c r="B205" s="10" t="s">
        <v>1626</v>
      </c>
    </row>
    <row r="206" spans="1:2" ht="15.75" customHeight="1" x14ac:dyDescent="0.25">
      <c r="A206" s="6">
        <v>32223</v>
      </c>
      <c r="B206" s="10" t="s">
        <v>1627</v>
      </c>
    </row>
    <row r="207" spans="1:2" ht="15.75" customHeight="1" x14ac:dyDescent="0.25">
      <c r="A207" s="6">
        <v>32224</v>
      </c>
      <c r="B207" s="10" t="s">
        <v>1628</v>
      </c>
    </row>
    <row r="208" spans="1:2" ht="15.75" customHeight="1" x14ac:dyDescent="0.25">
      <c r="A208" s="6">
        <v>32225</v>
      </c>
      <c r="B208" s="10" t="s">
        <v>489</v>
      </c>
    </row>
    <row r="209" spans="1:2" ht="15.75" customHeight="1" x14ac:dyDescent="0.25">
      <c r="A209" s="6">
        <v>32226</v>
      </c>
      <c r="B209" s="10" t="s">
        <v>1629</v>
      </c>
    </row>
    <row r="210" spans="1:2" ht="15.75" customHeight="1" x14ac:dyDescent="0.25">
      <c r="A210" s="6">
        <v>32227</v>
      </c>
      <c r="B210" s="10" t="s">
        <v>1630</v>
      </c>
    </row>
    <row r="211" spans="1:2" ht="15.75" customHeight="1" x14ac:dyDescent="0.25">
      <c r="A211" s="6">
        <v>32228</v>
      </c>
      <c r="B211" s="10" t="s">
        <v>1631</v>
      </c>
    </row>
    <row r="212" spans="1:2" ht="15.75" customHeight="1" x14ac:dyDescent="0.25">
      <c r="A212" s="6">
        <v>32229</v>
      </c>
      <c r="B212" s="10" t="s">
        <v>1632</v>
      </c>
    </row>
    <row r="213" spans="1:2" ht="15.75" customHeight="1" x14ac:dyDescent="0.25">
      <c r="A213" s="6">
        <v>32230</v>
      </c>
      <c r="B213" s="10" t="s">
        <v>1633</v>
      </c>
    </row>
    <row r="214" spans="1:2" ht="15.75" customHeight="1" x14ac:dyDescent="0.25">
      <c r="A214" s="6">
        <v>32231</v>
      </c>
      <c r="B214" s="10" t="s">
        <v>1634</v>
      </c>
    </row>
    <row r="215" spans="1:2" ht="15.75" customHeight="1" x14ac:dyDescent="0.25">
      <c r="A215" s="6">
        <v>32233</v>
      </c>
      <c r="B215" s="10" t="s">
        <v>1636</v>
      </c>
    </row>
    <row r="216" spans="1:2" ht="15.75" customHeight="1" x14ac:dyDescent="0.25">
      <c r="A216" s="6">
        <v>32234</v>
      </c>
      <c r="B216" s="10" t="s">
        <v>1637</v>
      </c>
    </row>
    <row r="217" spans="1:2" ht="15.75" customHeight="1" x14ac:dyDescent="0.25">
      <c r="A217" s="6">
        <v>32235</v>
      </c>
      <c r="B217" s="10" t="s">
        <v>1684</v>
      </c>
    </row>
    <row r="218" spans="1:2" ht="15.75" customHeight="1" x14ac:dyDescent="0.25">
      <c r="A218" s="6">
        <v>32236</v>
      </c>
      <c r="B218" s="10" t="s">
        <v>1685</v>
      </c>
    </row>
    <row r="219" spans="1:2" ht="15.75" customHeight="1" x14ac:dyDescent="0.25">
      <c r="A219" s="6">
        <v>32237</v>
      </c>
      <c r="B219" s="10" t="s">
        <v>1846</v>
      </c>
    </row>
    <row r="220" spans="1:2" ht="15.75" customHeight="1" x14ac:dyDescent="0.25">
      <c r="A220" s="6">
        <v>32238</v>
      </c>
      <c r="B220" s="10" t="s">
        <v>1847</v>
      </c>
    </row>
    <row r="221" spans="1:2" ht="15.75" customHeight="1" x14ac:dyDescent="0.25">
      <c r="A221" s="6">
        <v>32239</v>
      </c>
      <c r="B221" s="10" t="s">
        <v>1848</v>
      </c>
    </row>
    <row r="222" spans="1:2" ht="15.75" customHeight="1" x14ac:dyDescent="0.25">
      <c r="A222" s="6">
        <v>32240</v>
      </c>
      <c r="B222" s="10" t="s">
        <v>1849</v>
      </c>
    </row>
    <row r="223" spans="1:2" ht="15.75" customHeight="1" x14ac:dyDescent="0.25">
      <c r="A223" s="6">
        <v>32241</v>
      </c>
      <c r="B223" s="10" t="s">
        <v>1850</v>
      </c>
    </row>
    <row r="224" spans="1:2" ht="15.75" customHeight="1" x14ac:dyDescent="0.25">
      <c r="A224" s="6">
        <v>32242</v>
      </c>
      <c r="B224" s="10" t="s">
        <v>1851</v>
      </c>
    </row>
    <row r="225" spans="1:2" ht="15.75" customHeight="1" x14ac:dyDescent="0.25">
      <c r="A225" s="6">
        <v>32243</v>
      </c>
      <c r="B225" s="10" t="s">
        <v>1852</v>
      </c>
    </row>
    <row r="226" spans="1:2" ht="15.75" customHeight="1" x14ac:dyDescent="0.25">
      <c r="A226" s="6">
        <v>32244</v>
      </c>
      <c r="B226" s="10" t="s">
        <v>1853</v>
      </c>
    </row>
    <row r="227" spans="1:2" ht="15.75" customHeight="1" x14ac:dyDescent="0.25">
      <c r="A227" s="6">
        <v>32245</v>
      </c>
      <c r="B227" s="10" t="s">
        <v>1854</v>
      </c>
    </row>
    <row r="228" spans="1:2" ht="15.75" customHeight="1" x14ac:dyDescent="0.25">
      <c r="A228" s="6">
        <v>32246</v>
      </c>
      <c r="B228" s="10" t="s">
        <v>1855</v>
      </c>
    </row>
    <row r="229" spans="1:2" ht="15.75" customHeight="1" x14ac:dyDescent="0.25">
      <c r="A229" s="6">
        <v>32247</v>
      </c>
      <c r="B229" s="10" t="s">
        <v>1856</v>
      </c>
    </row>
    <row r="230" spans="1:2" ht="15.75" customHeight="1" x14ac:dyDescent="0.25">
      <c r="A230" s="6">
        <v>32248</v>
      </c>
      <c r="B230" s="10" t="s">
        <v>1857</v>
      </c>
    </row>
    <row r="231" spans="1:2" ht="15.75" customHeight="1" x14ac:dyDescent="0.25">
      <c r="A231" s="6">
        <v>32249</v>
      </c>
      <c r="B231" s="10" t="s">
        <v>1858</v>
      </c>
    </row>
    <row r="232" spans="1:2" ht="15.75" customHeight="1" x14ac:dyDescent="0.25">
      <c r="A232" s="6">
        <v>32250</v>
      </c>
      <c r="B232" s="10" t="s">
        <v>1859</v>
      </c>
    </row>
    <row r="233" spans="1:2" ht="15.75" customHeight="1" x14ac:dyDescent="0.25">
      <c r="A233" s="6">
        <v>32251</v>
      </c>
      <c r="B233" s="10" t="s">
        <v>1860</v>
      </c>
    </row>
    <row r="234" spans="1:2" ht="15.75" customHeight="1" x14ac:dyDescent="0.25">
      <c r="A234" s="6">
        <v>32252</v>
      </c>
      <c r="B234" s="10" t="s">
        <v>1861</v>
      </c>
    </row>
    <row r="235" spans="1:2" ht="15.75" customHeight="1" x14ac:dyDescent="0.25">
      <c r="A235" s="6">
        <v>132009</v>
      </c>
      <c r="B235" s="10" t="s">
        <v>1644</v>
      </c>
    </row>
    <row r="236" spans="1:2" ht="15.75" customHeight="1" x14ac:dyDescent="0.25">
      <c r="A236" s="6">
        <v>132023</v>
      </c>
      <c r="B236" s="10" t="s">
        <v>981</v>
      </c>
    </row>
    <row r="237" spans="1:2" ht="15.75" customHeight="1" x14ac:dyDescent="0.25">
      <c r="A237" s="6">
        <v>332001</v>
      </c>
      <c r="B237" s="10" t="s">
        <v>1686</v>
      </c>
    </row>
    <row r="238" spans="1:2" ht="15.75" customHeight="1" x14ac:dyDescent="0.25">
      <c r="A238" s="6">
        <v>332002</v>
      </c>
      <c r="B238" s="10" t="s">
        <v>1687</v>
      </c>
    </row>
    <row r="239" spans="1:2" ht="15.75" customHeight="1" x14ac:dyDescent="0.25">
      <c r="A239" s="6">
        <v>332003</v>
      </c>
      <c r="B239" s="10" t="s">
        <v>1688</v>
      </c>
    </row>
    <row r="240" spans="1:2" ht="15.75" customHeight="1" x14ac:dyDescent="0.25">
      <c r="A240" s="6">
        <v>332004</v>
      </c>
      <c r="B240" s="10" t="s">
        <v>1689</v>
      </c>
    </row>
    <row r="241" spans="1:2" ht="15.75" customHeight="1" x14ac:dyDescent="0.25">
      <c r="A241" s="6">
        <v>332005</v>
      </c>
      <c r="B241" s="10" t="s">
        <v>1690</v>
      </c>
    </row>
    <row r="242" spans="1:2" ht="15.75" customHeight="1" x14ac:dyDescent="0.25">
      <c r="A242" s="6">
        <v>332006</v>
      </c>
      <c r="B242" s="10" t="s">
        <v>1691</v>
      </c>
    </row>
    <row r="243" spans="1:2" ht="15.75" customHeight="1" x14ac:dyDescent="0.25">
      <c r="A243" s="6">
        <v>332007</v>
      </c>
      <c r="B243" s="10" t="s">
        <v>1862</v>
      </c>
    </row>
    <row r="244" spans="1:2" ht="15.75" customHeight="1" x14ac:dyDescent="0.25">
      <c r="A244" s="6">
        <v>332008</v>
      </c>
      <c r="B244" s="10" t="s">
        <v>1863</v>
      </c>
    </row>
    <row r="245" spans="1:2" ht="15.75" customHeight="1" x14ac:dyDescent="0.25">
      <c r="A245" s="6">
        <v>332009</v>
      </c>
      <c r="B245" s="10" t="s">
        <v>1864</v>
      </c>
    </row>
    <row r="246" spans="1:2" ht="15.75" customHeight="1" x14ac:dyDescent="0.25">
      <c r="A246" s="6">
        <v>235003</v>
      </c>
      <c r="B246" s="10" t="s">
        <v>818</v>
      </c>
    </row>
    <row r="247" spans="1:2" ht="15.75" customHeight="1" x14ac:dyDescent="0.25">
      <c r="A247" s="6">
        <v>235004</v>
      </c>
      <c r="B247" s="10" t="s">
        <v>812</v>
      </c>
    </row>
    <row r="248" spans="1:2" ht="15.75" customHeight="1" x14ac:dyDescent="0.25">
      <c r="A248" s="6">
        <v>235005</v>
      </c>
      <c r="B248" s="10" t="s">
        <v>811</v>
      </c>
    </row>
    <row r="249" spans="1:2" ht="15.75" customHeight="1" x14ac:dyDescent="0.25">
      <c r="A249" s="6">
        <v>235011</v>
      </c>
      <c r="B249" s="10" t="s">
        <v>749</v>
      </c>
    </row>
    <row r="250" spans="1:2" ht="15.75" customHeight="1" x14ac:dyDescent="0.25">
      <c r="A250" s="6">
        <v>235012</v>
      </c>
      <c r="B250" s="10" t="s">
        <v>747</v>
      </c>
    </row>
    <row r="251" spans="1:2" ht="15.75" customHeight="1" x14ac:dyDescent="0.25">
      <c r="A251" s="6">
        <v>235013</v>
      </c>
      <c r="B251" s="10" t="s">
        <v>748</v>
      </c>
    </row>
    <row r="252" spans="1:2" ht="15.75" customHeight="1" x14ac:dyDescent="0.25">
      <c r="A252" s="6">
        <v>235014</v>
      </c>
      <c r="B252" s="10" t="s">
        <v>1646</v>
      </c>
    </row>
    <row r="253" spans="1:2" ht="15.75" customHeight="1" x14ac:dyDescent="0.25">
      <c r="A253" s="6">
        <v>235015</v>
      </c>
      <c r="B253" s="10" t="s">
        <v>1647</v>
      </c>
    </row>
    <row r="254" spans="1:2" ht="15.75" customHeight="1" x14ac:dyDescent="0.25">
      <c r="A254" s="6">
        <v>235016</v>
      </c>
      <c r="B254" s="10" t="s">
        <v>1648</v>
      </c>
    </row>
    <row r="255" spans="1:2" ht="15.75" customHeight="1" x14ac:dyDescent="0.25">
      <c r="A255" s="6">
        <v>235017</v>
      </c>
      <c r="B255" s="10" t="s">
        <v>1649</v>
      </c>
    </row>
    <row r="256" spans="1:2" ht="15.75" customHeight="1" x14ac:dyDescent="0.25">
      <c r="A256" s="6">
        <v>43001</v>
      </c>
      <c r="B256" s="10" t="s">
        <v>1600</v>
      </c>
    </row>
    <row r="257" spans="1:2" ht="15.75" customHeight="1" x14ac:dyDescent="0.25">
      <c r="A257" s="6">
        <v>43002</v>
      </c>
      <c r="B257" s="10" t="s">
        <v>1603</v>
      </c>
    </row>
    <row r="258" spans="1:2" ht="15.75" customHeight="1" x14ac:dyDescent="0.25">
      <c r="A258" s="6">
        <v>43003</v>
      </c>
      <c r="B258" s="10" t="s">
        <v>1601</v>
      </c>
    </row>
    <row r="259" spans="1:2" ht="15.75" customHeight="1" x14ac:dyDescent="0.25">
      <c r="A259" s="6">
        <v>43004</v>
      </c>
      <c r="B259" s="10" t="s">
        <v>1604</v>
      </c>
    </row>
    <row r="260" spans="1:2" ht="15.75" customHeight="1" x14ac:dyDescent="0.25">
      <c r="A260" s="6">
        <v>43005</v>
      </c>
      <c r="B260" s="10" t="s">
        <v>1607</v>
      </c>
    </row>
    <row r="261" spans="1:2" ht="15.75" customHeight="1" x14ac:dyDescent="0.25">
      <c r="A261" s="6">
        <v>43006</v>
      </c>
      <c r="B261" s="10" t="s">
        <v>1606</v>
      </c>
    </row>
    <row r="262" spans="1:2" ht="15.75" customHeight="1" x14ac:dyDescent="0.25">
      <c r="A262" s="6">
        <v>43008</v>
      </c>
      <c r="B262" s="10" t="s">
        <v>844</v>
      </c>
    </row>
    <row r="263" spans="1:2" ht="15.75" customHeight="1" x14ac:dyDescent="0.25">
      <c r="A263" s="6">
        <v>43009</v>
      </c>
      <c r="B263" s="10" t="s">
        <v>843</v>
      </c>
    </row>
    <row r="264" spans="1:2" ht="15.75" customHeight="1" x14ac:dyDescent="0.25">
      <c r="A264" s="6">
        <v>43015</v>
      </c>
      <c r="B264" s="10" t="s">
        <v>1654</v>
      </c>
    </row>
    <row r="265" spans="1:2" ht="15.75" customHeight="1" x14ac:dyDescent="0.25">
      <c r="A265" s="6">
        <v>43016</v>
      </c>
      <c r="B265" s="10" t="s">
        <v>1655</v>
      </c>
    </row>
    <row r="266" spans="1:2" ht="15.75" customHeight="1" x14ac:dyDescent="0.25">
      <c r="A266" s="6">
        <v>43017</v>
      </c>
      <c r="B266" s="10" t="s">
        <v>1656</v>
      </c>
    </row>
    <row r="267" spans="1:2" ht="15.75" customHeight="1" x14ac:dyDescent="0.25">
      <c r="A267" s="6">
        <v>43018</v>
      </c>
      <c r="B267" s="10" t="s">
        <v>1657</v>
      </c>
    </row>
    <row r="268" spans="1:2" ht="15.75" customHeight="1" x14ac:dyDescent="0.25">
      <c r="A268" s="6">
        <v>43019</v>
      </c>
      <c r="B268" s="10" t="s">
        <v>1658</v>
      </c>
    </row>
    <row r="269" spans="1:2" ht="15.75" customHeight="1" x14ac:dyDescent="0.25">
      <c r="A269" s="6">
        <v>43020</v>
      </c>
      <c r="B269" s="10" t="s">
        <v>1692</v>
      </c>
    </row>
    <row r="270" spans="1:2" ht="15.75" customHeight="1" x14ac:dyDescent="0.25">
      <c r="A270" s="6">
        <v>43021</v>
      </c>
      <c r="B270" s="10" t="s">
        <v>1693</v>
      </c>
    </row>
    <row r="271" spans="1:2" ht="15.75" customHeight="1" x14ac:dyDescent="0.25">
      <c r="A271" s="6">
        <v>43022</v>
      </c>
      <c r="B271" s="10" t="s">
        <v>1694</v>
      </c>
    </row>
    <row r="272" spans="1:2" ht="15.75" customHeight="1" x14ac:dyDescent="0.25">
      <c r="A272" s="6">
        <v>43023</v>
      </c>
      <c r="B272" s="10" t="s">
        <v>1695</v>
      </c>
    </row>
    <row r="273" spans="1:2" ht="15.75" customHeight="1" x14ac:dyDescent="0.25">
      <c r="A273" s="6">
        <v>43024</v>
      </c>
      <c r="B273" s="10" t="s">
        <v>1865</v>
      </c>
    </row>
    <row r="274" spans="1:2" ht="15.75" customHeight="1" x14ac:dyDescent="0.25">
      <c r="A274" s="6">
        <v>43025</v>
      </c>
      <c r="B274" s="10" t="s">
        <v>1866</v>
      </c>
    </row>
    <row r="275" spans="1:2" ht="15.75" customHeight="1" x14ac:dyDescent="0.25">
      <c r="A275" s="6">
        <v>43026</v>
      </c>
      <c r="B275" s="10" t="s">
        <v>1867</v>
      </c>
    </row>
    <row r="276" spans="1:2" ht="15.75" customHeight="1" x14ac:dyDescent="0.25">
      <c r="A276" s="6">
        <v>43027</v>
      </c>
      <c r="B276" s="10" t="s">
        <v>1868</v>
      </c>
    </row>
    <row r="277" spans="1:2" ht="15.75" customHeight="1" x14ac:dyDescent="0.25">
      <c r="A277" s="6">
        <v>44001</v>
      </c>
      <c r="B277" s="10" t="s">
        <v>1158</v>
      </c>
    </row>
    <row r="278" spans="1:2" ht="15.75" customHeight="1" x14ac:dyDescent="0.25">
      <c r="A278" s="6">
        <v>44002</v>
      </c>
      <c r="B278" s="10" t="s">
        <v>1161</v>
      </c>
    </row>
    <row r="279" spans="1:2" ht="15.75" customHeight="1" x14ac:dyDescent="0.25">
      <c r="A279" s="6">
        <v>44003</v>
      </c>
      <c r="B279" s="10" t="s">
        <v>1160</v>
      </c>
    </row>
    <row r="280" spans="1:2" ht="15.75" customHeight="1" x14ac:dyDescent="0.25">
      <c r="A280" s="6">
        <v>44004</v>
      </c>
      <c r="B280" s="10" t="s">
        <v>1159</v>
      </c>
    </row>
    <row r="281" spans="1:2" ht="15.75" customHeight="1" x14ac:dyDescent="0.25">
      <c r="A281" s="6">
        <v>44005</v>
      </c>
      <c r="B281" s="10" t="s">
        <v>1279</v>
      </c>
    </row>
    <row r="282" spans="1:2" ht="15.75" customHeight="1" x14ac:dyDescent="0.25">
      <c r="A282" s="6">
        <v>446005</v>
      </c>
      <c r="B282" s="10" t="s">
        <v>663</v>
      </c>
    </row>
    <row r="283" spans="1:2" ht="15.75" customHeight="1" x14ac:dyDescent="0.25">
      <c r="A283" s="6">
        <v>446006</v>
      </c>
      <c r="B283" s="10" t="s">
        <v>651</v>
      </c>
    </row>
    <row r="284" spans="1:2" ht="15.75" customHeight="1" x14ac:dyDescent="0.25">
      <c r="A284" s="6">
        <v>446007</v>
      </c>
      <c r="B284" s="10" t="s">
        <v>660</v>
      </c>
    </row>
    <row r="285" spans="1:2" ht="15.75" customHeight="1" x14ac:dyDescent="0.25">
      <c r="A285" s="6">
        <v>446008</v>
      </c>
      <c r="B285" s="10" t="s">
        <v>652</v>
      </c>
    </row>
    <row r="286" spans="1:2" ht="15.75" customHeight="1" x14ac:dyDescent="0.25">
      <c r="A286" s="6">
        <v>446009</v>
      </c>
      <c r="B286" s="10" t="s">
        <v>653</v>
      </c>
    </row>
    <row r="287" spans="1:2" ht="15.75" customHeight="1" x14ac:dyDescent="0.25">
      <c r="A287" s="6">
        <v>446010</v>
      </c>
      <c r="B287" s="10" t="s">
        <v>657</v>
      </c>
    </row>
    <row r="288" spans="1:2" ht="15.75" customHeight="1" x14ac:dyDescent="0.25">
      <c r="A288" s="6">
        <v>446011</v>
      </c>
      <c r="B288" s="10" t="s">
        <v>655</v>
      </c>
    </row>
    <row r="289" spans="1:2" ht="15.75" customHeight="1" x14ac:dyDescent="0.25">
      <c r="A289" s="6">
        <v>446012</v>
      </c>
      <c r="B289" s="10" t="s">
        <v>654</v>
      </c>
    </row>
    <row r="290" spans="1:2" ht="15.75" customHeight="1" x14ac:dyDescent="0.25">
      <c r="A290" s="6">
        <v>446013</v>
      </c>
      <c r="B290" s="10" t="s">
        <v>662</v>
      </c>
    </row>
    <row r="291" spans="1:2" ht="15.75" customHeight="1" x14ac:dyDescent="0.25">
      <c r="A291" s="6">
        <v>446014</v>
      </c>
      <c r="B291" s="10" t="s">
        <v>661</v>
      </c>
    </row>
    <row r="292" spans="1:2" ht="15.75" customHeight="1" x14ac:dyDescent="0.25">
      <c r="A292" s="6">
        <v>446015</v>
      </c>
      <c r="B292" s="10" t="s">
        <v>659</v>
      </c>
    </row>
    <row r="293" spans="1:2" ht="15.75" customHeight="1" x14ac:dyDescent="0.25">
      <c r="A293" s="6">
        <v>446016</v>
      </c>
      <c r="B293" s="10" t="s">
        <v>656</v>
      </c>
    </row>
    <row r="294" spans="1:2" ht="15.75" customHeight="1" x14ac:dyDescent="0.25">
      <c r="A294" s="6">
        <v>446017</v>
      </c>
      <c r="B294" s="10" t="s">
        <v>658</v>
      </c>
    </row>
    <row r="295" spans="1:2" ht="15.75" customHeight="1" x14ac:dyDescent="0.25">
      <c r="A295" s="6">
        <v>446018</v>
      </c>
      <c r="B295" s="10" t="s">
        <v>664</v>
      </c>
    </row>
    <row r="296" spans="1:2" ht="15.75" customHeight="1" x14ac:dyDescent="0.25">
      <c r="A296" s="6">
        <v>446019</v>
      </c>
      <c r="B296" s="10" t="s">
        <v>665</v>
      </c>
    </row>
    <row r="297" spans="1:2" ht="15.75" customHeight="1" x14ac:dyDescent="0.25">
      <c r="A297" s="6">
        <v>47001</v>
      </c>
      <c r="B297" s="10" t="s">
        <v>1503</v>
      </c>
    </row>
    <row r="298" spans="1:2" ht="15.75" customHeight="1" x14ac:dyDescent="0.25">
      <c r="A298" s="6">
        <v>47002</v>
      </c>
      <c r="B298" s="10" t="s">
        <v>1501</v>
      </c>
    </row>
    <row r="299" spans="1:2" ht="15.75" customHeight="1" x14ac:dyDescent="0.25">
      <c r="A299" s="6">
        <v>47003</v>
      </c>
      <c r="B299" s="10" t="s">
        <v>1505</v>
      </c>
    </row>
    <row r="300" spans="1:2" ht="15.75" customHeight="1" x14ac:dyDescent="0.25">
      <c r="A300" s="6">
        <v>47004</v>
      </c>
      <c r="B300" s="10" t="s">
        <v>1472</v>
      </c>
    </row>
    <row r="301" spans="1:2" ht="15.75" customHeight="1" x14ac:dyDescent="0.25">
      <c r="A301" s="6">
        <v>47005</v>
      </c>
      <c r="B301" s="10" t="s">
        <v>1470</v>
      </c>
    </row>
    <row r="302" spans="1:2" ht="15.75" customHeight="1" x14ac:dyDescent="0.25">
      <c r="A302" s="6">
        <v>47006</v>
      </c>
      <c r="B302" s="10" t="s">
        <v>1474</v>
      </c>
    </row>
    <row r="303" spans="1:2" ht="15.75" customHeight="1" x14ac:dyDescent="0.25">
      <c r="A303" s="6">
        <v>47007</v>
      </c>
      <c r="B303" s="10" t="s">
        <v>1502</v>
      </c>
    </row>
    <row r="304" spans="1:2" ht="15.75" customHeight="1" x14ac:dyDescent="0.25">
      <c r="A304" s="6">
        <v>47008</v>
      </c>
      <c r="B304" s="10" t="s">
        <v>1500</v>
      </c>
    </row>
    <row r="305" spans="1:2" ht="15.75" customHeight="1" x14ac:dyDescent="0.25">
      <c r="A305" s="6">
        <v>47009</v>
      </c>
      <c r="B305" s="10" t="s">
        <v>1504</v>
      </c>
    </row>
    <row r="306" spans="1:2" ht="15.75" customHeight="1" x14ac:dyDescent="0.25">
      <c r="A306" s="6">
        <v>47010</v>
      </c>
      <c r="B306" s="10" t="s">
        <v>1471</v>
      </c>
    </row>
    <row r="307" spans="1:2" ht="15.75" customHeight="1" x14ac:dyDescent="0.25">
      <c r="A307" s="6">
        <v>47011</v>
      </c>
      <c r="B307" s="10" t="s">
        <v>1469</v>
      </c>
    </row>
    <row r="308" spans="1:2" ht="15.75" customHeight="1" x14ac:dyDescent="0.25">
      <c r="A308" s="6">
        <v>47012</v>
      </c>
      <c r="B308" s="10" t="s">
        <v>1473</v>
      </c>
    </row>
    <row r="309" spans="1:2" ht="15.75" customHeight="1" x14ac:dyDescent="0.25">
      <c r="A309" s="6">
        <v>47013</v>
      </c>
      <c r="B309" s="10" t="s">
        <v>860</v>
      </c>
    </row>
    <row r="310" spans="1:2" ht="15.75" customHeight="1" x14ac:dyDescent="0.25">
      <c r="A310" s="6">
        <v>47014</v>
      </c>
      <c r="B310" s="10" t="s">
        <v>858</v>
      </c>
    </row>
    <row r="311" spans="1:2" ht="15.75" customHeight="1" x14ac:dyDescent="0.25">
      <c r="A311" s="6">
        <v>47015</v>
      </c>
      <c r="B311" s="10" t="s">
        <v>862</v>
      </c>
    </row>
    <row r="312" spans="1:2" ht="15.75" customHeight="1" x14ac:dyDescent="0.25">
      <c r="A312" s="6">
        <v>47016</v>
      </c>
      <c r="B312" s="10" t="s">
        <v>859</v>
      </c>
    </row>
    <row r="313" spans="1:2" ht="15.75" customHeight="1" x14ac:dyDescent="0.25">
      <c r="A313" s="6">
        <v>47017</v>
      </c>
      <c r="B313" s="10" t="s">
        <v>857</v>
      </c>
    </row>
    <row r="314" spans="1:2" ht="15.75" customHeight="1" x14ac:dyDescent="0.25">
      <c r="A314" s="6">
        <v>47018</v>
      </c>
      <c r="B314" s="10" t="s">
        <v>861</v>
      </c>
    </row>
    <row r="315" spans="1:2" ht="15.75" customHeight="1" x14ac:dyDescent="0.25">
      <c r="A315" s="6">
        <v>47019</v>
      </c>
      <c r="B315" s="10" t="s">
        <v>1696</v>
      </c>
    </row>
    <row r="316" spans="1:2" ht="15.75" customHeight="1" x14ac:dyDescent="0.25">
      <c r="A316" s="6">
        <v>47020</v>
      </c>
      <c r="B316" s="10" t="s">
        <v>1697</v>
      </c>
    </row>
    <row r="317" spans="1:2" ht="15.75" customHeight="1" x14ac:dyDescent="0.25">
      <c r="A317" s="6">
        <v>47021</v>
      </c>
      <c r="B317" s="10" t="s">
        <v>1698</v>
      </c>
    </row>
    <row r="318" spans="1:2" ht="15.75" customHeight="1" x14ac:dyDescent="0.25">
      <c r="A318" s="6">
        <v>47022</v>
      </c>
      <c r="B318" s="10" t="s">
        <v>1699</v>
      </c>
    </row>
    <row r="319" spans="1:2" ht="15.75" customHeight="1" x14ac:dyDescent="0.25">
      <c r="A319" s="6">
        <v>47023</v>
      </c>
      <c r="B319" s="10" t="s">
        <v>1700</v>
      </c>
    </row>
    <row r="320" spans="1:2" ht="15.75" customHeight="1" x14ac:dyDescent="0.25">
      <c r="A320" s="6">
        <v>47024</v>
      </c>
      <c r="B320" s="10" t="s">
        <v>1701</v>
      </c>
    </row>
    <row r="321" spans="1:2" ht="15.75" customHeight="1" x14ac:dyDescent="0.25">
      <c r="A321" s="6">
        <v>47025</v>
      </c>
      <c r="B321" s="10" t="s">
        <v>1869</v>
      </c>
    </row>
    <row r="322" spans="1:2" ht="15.75" customHeight="1" x14ac:dyDescent="0.25">
      <c r="A322" s="6">
        <v>57001</v>
      </c>
      <c r="B322" s="10" t="s">
        <v>1672</v>
      </c>
    </row>
    <row r="323" spans="1:2" ht="15.75" customHeight="1" x14ac:dyDescent="0.25">
      <c r="A323" s="6">
        <v>57002</v>
      </c>
      <c r="B323" s="10" t="s">
        <v>1673</v>
      </c>
    </row>
    <row r="324" spans="1:2" ht="15.75" customHeight="1" x14ac:dyDescent="0.25">
      <c r="A324" s="6">
        <v>58001</v>
      </c>
      <c r="B324" s="10" t="s">
        <v>1706</v>
      </c>
    </row>
    <row r="325" spans="1:2" ht="15.75" customHeight="1" x14ac:dyDescent="0.25">
      <c r="A325" s="6">
        <v>58002</v>
      </c>
      <c r="B325" s="10" t="s">
        <v>1707</v>
      </c>
    </row>
    <row r="326" spans="1:2" ht="15.75" customHeight="1" x14ac:dyDescent="0.25">
      <c r="A326" s="6">
        <v>58003</v>
      </c>
      <c r="B326" s="10" t="s">
        <v>1708</v>
      </c>
    </row>
    <row r="327" spans="1:2" ht="15.75" customHeight="1" x14ac:dyDescent="0.25">
      <c r="A327" s="6">
        <v>58004</v>
      </c>
      <c r="B327" s="10" t="s">
        <v>1709</v>
      </c>
    </row>
    <row r="328" spans="1:2" ht="15.75" customHeight="1" x14ac:dyDescent="0.25">
      <c r="A328" s="6">
        <v>58005</v>
      </c>
      <c r="B328" s="10" t="s">
        <v>1710</v>
      </c>
    </row>
    <row r="329" spans="1:2" ht="15.75" customHeight="1" x14ac:dyDescent="0.25">
      <c r="A329" s="6">
        <v>58006</v>
      </c>
      <c r="B329" s="10" t="s">
        <v>1711</v>
      </c>
    </row>
    <row r="330" spans="1:2" ht="15.75" customHeight="1" x14ac:dyDescent="0.25">
      <c r="A330" s="6">
        <v>58007</v>
      </c>
      <c r="B330" s="10" t="s">
        <v>1712</v>
      </c>
    </row>
    <row r="331" spans="1:2" ht="15.75" customHeight="1" x14ac:dyDescent="0.25">
      <c r="A331" s="6">
        <v>58008</v>
      </c>
      <c r="B331" s="10" t="s">
        <v>1713</v>
      </c>
    </row>
    <row r="332" spans="1:2" ht="15.75" customHeight="1" x14ac:dyDescent="0.25">
      <c r="A332" s="6">
        <v>58009</v>
      </c>
      <c r="B332" s="10" t="s">
        <v>1714</v>
      </c>
    </row>
    <row r="333" spans="1:2" ht="15.75" customHeight="1" x14ac:dyDescent="0.25">
      <c r="A333" s="6">
        <v>58010</v>
      </c>
      <c r="B333" s="10" t="s">
        <v>1715</v>
      </c>
    </row>
    <row r="334" spans="1:2" ht="15.75" customHeight="1" x14ac:dyDescent="0.25">
      <c r="A334" s="6">
        <v>58011</v>
      </c>
      <c r="B334" s="10" t="s">
        <v>1716</v>
      </c>
    </row>
    <row r="335" spans="1:2" ht="15.75" customHeight="1" x14ac:dyDescent="0.25">
      <c r="A335" s="6">
        <v>58012</v>
      </c>
      <c r="B335" s="10" t="s">
        <v>1717</v>
      </c>
    </row>
    <row r="336" spans="1:2" ht="15.75" customHeight="1" x14ac:dyDescent="0.25">
      <c r="A336" s="6">
        <v>58013</v>
      </c>
      <c r="B336" s="10" t="s">
        <v>1718</v>
      </c>
    </row>
    <row r="337" spans="1:2" ht="15.75" customHeight="1" x14ac:dyDescent="0.25">
      <c r="A337" s="6">
        <v>58014</v>
      </c>
      <c r="B337" s="10" t="s">
        <v>1719</v>
      </c>
    </row>
    <row r="338" spans="1:2" ht="15.75" customHeight="1" x14ac:dyDescent="0.25">
      <c r="A338" s="6">
        <v>58015</v>
      </c>
      <c r="B338" s="10" t="s">
        <v>1720</v>
      </c>
    </row>
    <row r="339" spans="1:2" ht="15.75" customHeight="1" x14ac:dyDescent="0.25">
      <c r="A339" s="6">
        <v>58016</v>
      </c>
      <c r="B339" s="10" t="s">
        <v>1721</v>
      </c>
    </row>
    <row r="340" spans="1:2" ht="15.75" customHeight="1" x14ac:dyDescent="0.25">
      <c r="A340" s="6">
        <v>58017</v>
      </c>
      <c r="B340" s="10" t="s">
        <v>1722</v>
      </c>
    </row>
    <row r="341" spans="1:2" ht="15.75" customHeight="1" x14ac:dyDescent="0.25">
      <c r="A341" s="6">
        <v>58018</v>
      </c>
      <c r="B341" s="10" t="s">
        <v>1723</v>
      </c>
    </row>
    <row r="342" spans="1:2" ht="15.75" customHeight="1" x14ac:dyDescent="0.25">
      <c r="A342" s="6">
        <v>58019</v>
      </c>
      <c r="B342" s="10" t="s">
        <v>1724</v>
      </c>
    </row>
    <row r="343" spans="1:2" ht="15.75" customHeight="1" x14ac:dyDescent="0.25">
      <c r="A343" s="6">
        <v>58020</v>
      </c>
      <c r="B343" s="10" t="s">
        <v>1725</v>
      </c>
    </row>
    <row r="344" spans="1:2" ht="15.75" customHeight="1" x14ac:dyDescent="0.25">
      <c r="A344" s="6">
        <v>58021</v>
      </c>
      <c r="B344" s="10" t="s">
        <v>1726</v>
      </c>
    </row>
    <row r="345" spans="1:2" ht="15.75" customHeight="1" x14ac:dyDescent="0.25">
      <c r="A345" s="6">
        <v>58022</v>
      </c>
      <c r="B345" s="10" t="s">
        <v>1727</v>
      </c>
    </row>
    <row r="346" spans="1:2" ht="15.75" customHeight="1" x14ac:dyDescent="0.25">
      <c r="A346" s="6">
        <v>58023</v>
      </c>
      <c r="B346" s="10" t="s">
        <v>1728</v>
      </c>
    </row>
    <row r="347" spans="1:2" ht="15.75" customHeight="1" x14ac:dyDescent="0.25">
      <c r="A347" s="6">
        <v>58024</v>
      </c>
      <c r="B347" s="10" t="s">
        <v>1729</v>
      </c>
    </row>
    <row r="348" spans="1:2" ht="15.75" customHeight="1" x14ac:dyDescent="0.25">
      <c r="A348" s="6">
        <v>58025</v>
      </c>
      <c r="B348" s="10" t="s">
        <v>1730</v>
      </c>
    </row>
    <row r="349" spans="1:2" ht="15.75" customHeight="1" x14ac:dyDescent="0.25">
      <c r="A349" s="6">
        <v>58026</v>
      </c>
      <c r="B349" s="10" t="s">
        <v>1731</v>
      </c>
    </row>
    <row r="350" spans="1:2" ht="15.75" customHeight="1" x14ac:dyDescent="0.25">
      <c r="A350" s="6">
        <v>58027</v>
      </c>
      <c r="B350" s="10" t="s">
        <v>1732</v>
      </c>
    </row>
    <row r="351" spans="1:2" ht="15.75" customHeight="1" x14ac:dyDescent="0.25">
      <c r="A351" s="6">
        <v>58028</v>
      </c>
      <c r="B351" s="10" t="s">
        <v>1733</v>
      </c>
    </row>
    <row r="352" spans="1:2" ht="15.75" customHeight="1" x14ac:dyDescent="0.25">
      <c r="A352" s="6">
        <v>58029</v>
      </c>
      <c r="B352" s="10" t="s">
        <v>1734</v>
      </c>
    </row>
    <row r="353" spans="1:2" ht="15.75" customHeight="1" x14ac:dyDescent="0.25">
      <c r="A353" s="6">
        <v>58030</v>
      </c>
      <c r="B353" s="10" t="s">
        <v>1735</v>
      </c>
    </row>
    <row r="354" spans="1:2" ht="15.75" customHeight="1" x14ac:dyDescent="0.25">
      <c r="A354" s="6">
        <v>58031</v>
      </c>
      <c r="B354" s="10" t="s">
        <v>1736</v>
      </c>
    </row>
    <row r="355" spans="1:2" ht="15.75" customHeight="1" x14ac:dyDescent="0.25">
      <c r="A355" s="6">
        <v>58032</v>
      </c>
      <c r="B355" s="10" t="s">
        <v>1737</v>
      </c>
    </row>
    <row r="356" spans="1:2" ht="15.75" customHeight="1" x14ac:dyDescent="0.25">
      <c r="A356" s="6">
        <v>460001</v>
      </c>
      <c r="B356" s="10" t="s">
        <v>1740</v>
      </c>
    </row>
    <row r="357" spans="1:2" ht="15.75" customHeight="1" x14ac:dyDescent="0.25">
      <c r="A357" s="6">
        <v>460002</v>
      </c>
      <c r="B357" s="10" t="s">
        <v>1741</v>
      </c>
    </row>
    <row r="358" spans="1:2" ht="15.75" customHeight="1" x14ac:dyDescent="0.25">
      <c r="A358" s="6">
        <v>460003</v>
      </c>
      <c r="B358" s="10" t="s">
        <v>1742</v>
      </c>
    </row>
    <row r="359" spans="1:2" ht="15.75" customHeight="1" x14ac:dyDescent="0.25">
      <c r="A359" s="6">
        <v>460004</v>
      </c>
      <c r="B359" s="10" t="s">
        <v>1743</v>
      </c>
    </row>
    <row r="360" spans="1:2" ht="15.75" customHeight="1" x14ac:dyDescent="0.25">
      <c r="A360" s="6">
        <v>460005</v>
      </c>
      <c r="B360" s="10" t="s">
        <v>1744</v>
      </c>
    </row>
    <row r="361" spans="1:2" ht="15.75" customHeight="1" x14ac:dyDescent="0.25">
      <c r="A361" s="6">
        <v>460006</v>
      </c>
      <c r="B361" s="10" t="s">
        <v>1745</v>
      </c>
    </row>
    <row r="362" spans="1:2" ht="15.75" customHeight="1" x14ac:dyDescent="0.25">
      <c r="A362" s="6">
        <v>460007</v>
      </c>
      <c r="B362" s="10" t="s">
        <v>1746</v>
      </c>
    </row>
    <row r="363" spans="1:2" ht="15.75" customHeight="1" x14ac:dyDescent="0.25">
      <c r="A363" s="6">
        <v>460008</v>
      </c>
      <c r="B363" s="10" t="s">
        <v>1747</v>
      </c>
    </row>
    <row r="364" spans="1:2" ht="15.75" customHeight="1" x14ac:dyDescent="0.25">
      <c r="A364" s="6">
        <v>460009</v>
      </c>
      <c r="B364" s="10" t="s">
        <v>1748</v>
      </c>
    </row>
    <row r="365" spans="1:2" ht="15.75" customHeight="1" x14ac:dyDescent="0.25">
      <c r="A365" s="6">
        <v>460010</v>
      </c>
      <c r="B365" s="10" t="s">
        <v>1749</v>
      </c>
    </row>
    <row r="366" spans="1:2" ht="15.75" customHeight="1" x14ac:dyDescent="0.25">
      <c r="A366" s="6">
        <v>460011</v>
      </c>
      <c r="B366" s="10" t="s">
        <v>1750</v>
      </c>
    </row>
    <row r="367" spans="1:2" ht="15.75" customHeight="1" x14ac:dyDescent="0.25">
      <c r="A367" s="6">
        <v>460012</v>
      </c>
      <c r="B367" s="10" t="s">
        <v>1751</v>
      </c>
    </row>
    <row r="368" spans="1:2" ht="15.75" customHeight="1" x14ac:dyDescent="0.25">
      <c r="A368" s="6">
        <v>460013</v>
      </c>
      <c r="B368" s="10" t="s">
        <v>1752</v>
      </c>
    </row>
    <row r="369" spans="1:2" ht="15.75" customHeight="1" x14ac:dyDescent="0.25">
      <c r="A369" s="6">
        <v>460014</v>
      </c>
      <c r="B369" s="10" t="s">
        <v>1753</v>
      </c>
    </row>
    <row r="370" spans="1:2" ht="15.75" customHeight="1" x14ac:dyDescent="0.25">
      <c r="A370" s="6">
        <v>460015</v>
      </c>
      <c r="B370" s="10" t="s">
        <v>1754</v>
      </c>
    </row>
    <row r="371" spans="1:2" ht="15.75" customHeight="1" x14ac:dyDescent="0.25">
      <c r="A371" s="6">
        <v>460016</v>
      </c>
      <c r="B371" s="10" t="s">
        <v>1755</v>
      </c>
    </row>
    <row r="372" spans="1:2" ht="15.75" customHeight="1" x14ac:dyDescent="0.25">
      <c r="A372" s="6">
        <v>460017</v>
      </c>
      <c r="B372" s="10" t="s">
        <v>1756</v>
      </c>
    </row>
    <row r="373" spans="1:2" ht="15.75" customHeight="1" x14ac:dyDescent="0.25">
      <c r="A373" s="6">
        <v>460018</v>
      </c>
      <c r="B373" s="10" t="s">
        <v>1757</v>
      </c>
    </row>
    <row r="374" spans="1:2" ht="15.75" customHeight="1" x14ac:dyDescent="0.25">
      <c r="A374" s="6">
        <v>460019</v>
      </c>
      <c r="B374" s="10" t="s">
        <v>1758</v>
      </c>
    </row>
    <row r="375" spans="1:2" ht="15.75" customHeight="1" x14ac:dyDescent="0.25">
      <c r="A375" s="6">
        <v>460020</v>
      </c>
      <c r="B375" s="10" t="s">
        <v>1759</v>
      </c>
    </row>
    <row r="376" spans="1:2" ht="15.75" customHeight="1" x14ac:dyDescent="0.25">
      <c r="A376" s="6">
        <v>460021</v>
      </c>
      <c r="B376" s="10" t="s">
        <v>1760</v>
      </c>
    </row>
    <row r="377" spans="1:2" ht="15.75" customHeight="1" x14ac:dyDescent="0.25">
      <c r="A377" s="6">
        <v>460022</v>
      </c>
      <c r="B377" s="10" t="s">
        <v>1761</v>
      </c>
    </row>
    <row r="378" spans="1:2" ht="15.75" customHeight="1" x14ac:dyDescent="0.25">
      <c r="A378" s="6">
        <v>460023</v>
      </c>
      <c r="B378" s="10" t="s">
        <v>1762</v>
      </c>
    </row>
    <row r="379" spans="1:2" ht="15.75" customHeight="1" x14ac:dyDescent="0.25">
      <c r="A379" s="6">
        <v>460024</v>
      </c>
      <c r="B379" s="10" t="s">
        <v>1763</v>
      </c>
    </row>
    <row r="380" spans="1:2" ht="15.75" customHeight="1" x14ac:dyDescent="0.25">
      <c r="A380" s="6">
        <v>460025</v>
      </c>
      <c r="B380" s="10" t="s">
        <v>1764</v>
      </c>
    </row>
    <row r="381" spans="1:2" ht="15.75" customHeight="1" x14ac:dyDescent="0.25">
      <c r="A381" s="6">
        <v>460026</v>
      </c>
      <c r="B381" s="10" t="s">
        <v>1765</v>
      </c>
    </row>
    <row r="382" spans="1:2" ht="15.75" customHeight="1" x14ac:dyDescent="0.25">
      <c r="A382" s="6">
        <v>460027</v>
      </c>
      <c r="B382" s="10" t="s">
        <v>1766</v>
      </c>
    </row>
    <row r="383" spans="1:2" ht="15.75" customHeight="1" x14ac:dyDescent="0.25">
      <c r="A383" s="6">
        <v>460028</v>
      </c>
      <c r="B383" s="10" t="s">
        <v>1767</v>
      </c>
    </row>
    <row r="384" spans="1:2" ht="15.75" customHeight="1" x14ac:dyDescent="0.25">
      <c r="A384" s="6">
        <v>460029</v>
      </c>
      <c r="B384" s="10" t="s">
        <v>1768</v>
      </c>
    </row>
    <row r="385" spans="1:2" ht="15.75" customHeight="1" x14ac:dyDescent="0.25">
      <c r="A385" s="6">
        <v>460030</v>
      </c>
      <c r="B385" s="10" t="s">
        <v>1769</v>
      </c>
    </row>
    <row r="386" spans="1:2" ht="15.75" customHeight="1" x14ac:dyDescent="0.25">
      <c r="A386" s="6">
        <v>460031</v>
      </c>
      <c r="B386" s="10" t="s">
        <v>1770</v>
      </c>
    </row>
    <row r="387" spans="1:2" ht="15.75" customHeight="1" x14ac:dyDescent="0.25">
      <c r="A387" s="6">
        <v>460032</v>
      </c>
      <c r="B387" s="10" t="s">
        <v>1771</v>
      </c>
    </row>
    <row r="388" spans="1:2" ht="15.75" customHeight="1" x14ac:dyDescent="0.25">
      <c r="A388" s="6">
        <v>460033</v>
      </c>
      <c r="B388" s="10" t="s">
        <v>1772</v>
      </c>
    </row>
    <row r="389" spans="1:2" ht="15.75" customHeight="1" x14ac:dyDescent="0.25">
      <c r="A389" s="6">
        <v>460034</v>
      </c>
      <c r="B389" s="10" t="s">
        <v>1773</v>
      </c>
    </row>
    <row r="390" spans="1:2" ht="15.75" customHeight="1" x14ac:dyDescent="0.25">
      <c r="A390" s="6">
        <v>460035</v>
      </c>
      <c r="B390" s="10" t="s">
        <v>1774</v>
      </c>
    </row>
    <row r="391" spans="1:2" ht="15.75" customHeight="1" x14ac:dyDescent="0.25">
      <c r="A391" s="6">
        <v>460036</v>
      </c>
      <c r="B391" s="10" t="s">
        <v>1775</v>
      </c>
    </row>
    <row r="392" spans="1:2" ht="15.75" customHeight="1" x14ac:dyDescent="0.25">
      <c r="A392" s="6">
        <v>460037</v>
      </c>
      <c r="B392" s="10" t="s">
        <v>1776</v>
      </c>
    </row>
    <row r="393" spans="1:2" ht="15.75" customHeight="1" x14ac:dyDescent="0.25">
      <c r="A393" s="6">
        <v>460038</v>
      </c>
      <c r="B393" s="10" t="s">
        <v>1777</v>
      </c>
    </row>
    <row r="394" spans="1:2" ht="15.75" customHeight="1" x14ac:dyDescent="0.25">
      <c r="A394" s="6">
        <v>460039</v>
      </c>
      <c r="B394" s="10" t="s">
        <v>1778</v>
      </c>
    </row>
    <row r="395" spans="1:2" ht="15.75" customHeight="1" x14ac:dyDescent="0.25">
      <c r="A395" s="6">
        <v>460040</v>
      </c>
      <c r="B395" s="10" t="s">
        <v>1779</v>
      </c>
    </row>
    <row r="396" spans="1:2" ht="15.75" customHeight="1" x14ac:dyDescent="0.25">
      <c r="A396" s="6">
        <v>460041</v>
      </c>
      <c r="B396" s="10" t="s">
        <v>1780</v>
      </c>
    </row>
    <row r="397" spans="1:2" ht="15.75" customHeight="1" x14ac:dyDescent="0.25">
      <c r="A397" s="6">
        <v>460042</v>
      </c>
      <c r="B397" s="10" t="s">
        <v>1781</v>
      </c>
    </row>
    <row r="398" spans="1:2" ht="15.75" customHeight="1" x14ac:dyDescent="0.25">
      <c r="A398" s="6">
        <v>460043</v>
      </c>
      <c r="B398" s="10" t="s">
        <v>1782</v>
      </c>
    </row>
    <row r="399" spans="1:2" ht="15.75" customHeight="1" x14ac:dyDescent="0.25">
      <c r="A399" s="6">
        <v>460044</v>
      </c>
      <c r="B399" s="10" t="s">
        <v>1783</v>
      </c>
    </row>
    <row r="400" spans="1:2" ht="15.75" customHeight="1" x14ac:dyDescent="0.25">
      <c r="A400" s="6">
        <v>460045</v>
      </c>
      <c r="B400" s="10" t="s">
        <v>1784</v>
      </c>
    </row>
    <row r="401" spans="1:2" ht="15.75" customHeight="1" x14ac:dyDescent="0.25">
      <c r="A401" s="6">
        <v>460046</v>
      </c>
      <c r="B401" s="10" t="s">
        <v>1785</v>
      </c>
    </row>
    <row r="402" spans="1:2" ht="15.75" customHeight="1" x14ac:dyDescent="0.25">
      <c r="A402" s="6">
        <v>460047</v>
      </c>
      <c r="B402" s="10" t="s">
        <v>1786</v>
      </c>
    </row>
    <row r="403" spans="1:2" ht="15.75" customHeight="1" x14ac:dyDescent="0.25">
      <c r="A403" s="6">
        <v>460048</v>
      </c>
      <c r="B403" s="10" t="s">
        <v>1787</v>
      </c>
    </row>
    <row r="404" spans="1:2" ht="15.75" customHeight="1" x14ac:dyDescent="0.25">
      <c r="A404" s="6">
        <v>460049</v>
      </c>
      <c r="B404" s="10" t="s">
        <v>1788</v>
      </c>
    </row>
    <row r="405" spans="1:2" ht="15.75" customHeight="1" x14ac:dyDescent="0.25">
      <c r="A405" s="6">
        <v>460050</v>
      </c>
      <c r="B405" s="10" t="s">
        <v>1789</v>
      </c>
    </row>
    <row r="406" spans="1:2" ht="15.75" customHeight="1" x14ac:dyDescent="0.25">
      <c r="A406" s="6">
        <v>460051</v>
      </c>
      <c r="B406" s="10" t="s">
        <v>1790</v>
      </c>
    </row>
    <row r="407" spans="1:2" ht="15.75" customHeight="1" x14ac:dyDescent="0.25">
      <c r="A407" s="6">
        <v>460052</v>
      </c>
      <c r="B407" s="10" t="s">
        <v>1791</v>
      </c>
    </row>
    <row r="408" spans="1:2" ht="15.75" customHeight="1" x14ac:dyDescent="0.25">
      <c r="A408" s="6">
        <v>460053</v>
      </c>
      <c r="B408" s="10" t="s">
        <v>1792</v>
      </c>
    </row>
    <row r="409" spans="1:2" ht="15.75" customHeight="1" x14ac:dyDescent="0.25">
      <c r="A409" s="6">
        <v>460054</v>
      </c>
      <c r="B409" s="10" t="s">
        <v>1793</v>
      </c>
    </row>
    <row r="410" spans="1:2" ht="15.75" customHeight="1" x14ac:dyDescent="0.25">
      <c r="A410" s="6">
        <v>460055</v>
      </c>
      <c r="B410" s="10" t="s">
        <v>1794</v>
      </c>
    </row>
    <row r="411" spans="1:2" ht="15.75" customHeight="1" x14ac:dyDescent="0.25">
      <c r="A411" s="6">
        <v>460056</v>
      </c>
      <c r="B411" s="10" t="s">
        <v>1795</v>
      </c>
    </row>
    <row r="412" spans="1:2" ht="15.75" customHeight="1" x14ac:dyDescent="0.25">
      <c r="A412" s="6">
        <v>460057</v>
      </c>
      <c r="B412" s="10" t="s">
        <v>1796</v>
      </c>
    </row>
    <row r="413" spans="1:2" ht="15.75" customHeight="1" x14ac:dyDescent="0.25">
      <c r="A413" s="6">
        <v>460058</v>
      </c>
      <c r="B413" s="10" t="s">
        <v>1797</v>
      </c>
    </row>
    <row r="414" spans="1:2" ht="15.75" customHeight="1" x14ac:dyDescent="0.25">
      <c r="A414" s="6">
        <v>460059</v>
      </c>
      <c r="B414" s="10" t="s">
        <v>1798</v>
      </c>
    </row>
    <row r="415" spans="1:2" ht="15.75" customHeight="1" x14ac:dyDescent="0.25">
      <c r="A415" s="6">
        <v>460060</v>
      </c>
      <c r="B415" s="10" t="s">
        <v>1799</v>
      </c>
    </row>
    <row r="416" spans="1:2" ht="15.75" customHeight="1" x14ac:dyDescent="0.25">
      <c r="A416" s="6">
        <v>460061</v>
      </c>
      <c r="B416" s="10" t="s">
        <v>1800</v>
      </c>
    </row>
    <row r="417" spans="1:2" ht="15.75" customHeight="1" x14ac:dyDescent="0.25">
      <c r="A417" s="6">
        <v>460062</v>
      </c>
      <c r="B417" s="10" t="s">
        <v>1801</v>
      </c>
    </row>
    <row r="418" spans="1:2" ht="15.75" customHeight="1" x14ac:dyDescent="0.25">
      <c r="A418" s="6">
        <v>460063</v>
      </c>
      <c r="B418" s="10" t="s">
        <v>1802</v>
      </c>
    </row>
    <row r="419" spans="1:2" ht="15.75" customHeight="1" x14ac:dyDescent="0.25">
      <c r="A419" s="6">
        <v>460064</v>
      </c>
      <c r="B419" s="10" t="s">
        <v>1803</v>
      </c>
    </row>
    <row r="420" spans="1:2" ht="15.75" customHeight="1" x14ac:dyDescent="0.25">
      <c r="A420" s="6">
        <v>460065</v>
      </c>
      <c r="B420" s="10" t="s">
        <v>1804</v>
      </c>
    </row>
    <row r="421" spans="1:2" ht="15.75" customHeight="1" x14ac:dyDescent="0.25">
      <c r="A421" s="6">
        <v>460066</v>
      </c>
      <c r="B421" s="10" t="s">
        <v>1870</v>
      </c>
    </row>
    <row r="422" spans="1:2" ht="15.75" customHeight="1" x14ac:dyDescent="0.25">
      <c r="A422" s="6">
        <v>460067</v>
      </c>
      <c r="B422" s="10" t="s">
        <v>1871</v>
      </c>
    </row>
    <row r="423" spans="1:2" ht="15.75" customHeight="1" x14ac:dyDescent="0.25">
      <c r="A423" s="6">
        <v>460068</v>
      </c>
      <c r="B423" s="10" t="s">
        <v>1872</v>
      </c>
    </row>
    <row r="424" spans="1:2" ht="15.75" customHeight="1" x14ac:dyDescent="0.25">
      <c r="A424" s="6">
        <v>460069</v>
      </c>
      <c r="B424" s="10" t="s">
        <v>1873</v>
      </c>
    </row>
    <row r="425" spans="1:2" ht="15.75" customHeight="1" x14ac:dyDescent="0.25">
      <c r="A425" s="6">
        <v>460070</v>
      </c>
      <c r="B425" s="10" t="s">
        <v>1874</v>
      </c>
    </row>
    <row r="426" spans="1:2" ht="15.75" customHeight="1" x14ac:dyDescent="0.25">
      <c r="A426" s="6">
        <v>460071</v>
      </c>
      <c r="B426" s="10" t="s">
        <v>1875</v>
      </c>
    </row>
    <row r="427" spans="1:2" ht="15.75" customHeight="1" x14ac:dyDescent="0.25">
      <c r="A427" s="6">
        <v>460072</v>
      </c>
      <c r="B427" s="10" t="s">
        <v>1876</v>
      </c>
    </row>
    <row r="428" spans="1:2" ht="15.75" customHeight="1" x14ac:dyDescent="0.25">
      <c r="A428" s="6">
        <v>460073</v>
      </c>
      <c r="B428" s="10" t="s">
        <v>1877</v>
      </c>
    </row>
    <row r="429" spans="1:2" ht="15.75" customHeight="1" x14ac:dyDescent="0.25">
      <c r="A429" s="6">
        <v>460074</v>
      </c>
      <c r="B429" s="10" t="s">
        <v>1878</v>
      </c>
    </row>
    <row r="430" spans="1:2" ht="15.75" customHeight="1" x14ac:dyDescent="0.25">
      <c r="A430" s="6">
        <v>460075</v>
      </c>
      <c r="B430" s="10" t="s">
        <v>1879</v>
      </c>
    </row>
    <row r="431" spans="1:2" ht="15.75" customHeight="1" x14ac:dyDescent="0.25">
      <c r="A431" s="6">
        <v>460076</v>
      </c>
      <c r="B431" s="10" t="s">
        <v>1880</v>
      </c>
    </row>
    <row r="432" spans="1:2" ht="15.75" customHeight="1" x14ac:dyDescent="0.25">
      <c r="A432" s="6">
        <v>460077</v>
      </c>
      <c r="B432" s="10" t="s">
        <v>1881</v>
      </c>
    </row>
    <row r="433" spans="1:2" ht="15.75" customHeight="1" x14ac:dyDescent="0.25">
      <c r="A433" s="6">
        <v>460078</v>
      </c>
      <c r="B433" s="10" t="s">
        <v>1882</v>
      </c>
    </row>
    <row r="434" spans="1:2" ht="15.75" customHeight="1" x14ac:dyDescent="0.25">
      <c r="A434" s="6">
        <v>460079</v>
      </c>
      <c r="B434" s="10" t="s">
        <v>1883</v>
      </c>
    </row>
    <row r="435" spans="1:2" ht="15.75" customHeight="1" x14ac:dyDescent="0.25">
      <c r="A435" s="6">
        <v>460080</v>
      </c>
      <c r="B435" s="10" t="s">
        <v>1884</v>
      </c>
    </row>
    <row r="436" spans="1:2" ht="15.75" customHeight="1" x14ac:dyDescent="0.25">
      <c r="A436" s="6">
        <v>460081</v>
      </c>
      <c r="B436" s="10" t="s">
        <v>1885</v>
      </c>
    </row>
    <row r="437" spans="1:2" ht="15.75" customHeight="1" x14ac:dyDescent="0.25">
      <c r="A437" s="6">
        <v>460082</v>
      </c>
      <c r="B437" s="10" t="s">
        <v>1886</v>
      </c>
    </row>
    <row r="438" spans="1:2" ht="15.75" customHeight="1" x14ac:dyDescent="0.25">
      <c r="A438" s="6">
        <v>460083</v>
      </c>
      <c r="B438" s="10" t="s">
        <v>1887</v>
      </c>
    </row>
    <row r="439" spans="1:2" ht="15.75" customHeight="1" x14ac:dyDescent="0.25">
      <c r="A439" s="6">
        <v>460084</v>
      </c>
      <c r="B439" s="10" t="s">
        <v>1888</v>
      </c>
    </row>
    <row r="440" spans="1:2" ht="15.75" customHeight="1" x14ac:dyDescent="0.25">
      <c r="A440" s="6">
        <v>460085</v>
      </c>
      <c r="B440" s="10" t="s">
        <v>1889</v>
      </c>
    </row>
    <row r="441" spans="1:2" ht="15.75" customHeight="1" x14ac:dyDescent="0.25">
      <c r="A441" s="6">
        <v>460086</v>
      </c>
      <c r="B441" s="10" t="s">
        <v>1890</v>
      </c>
    </row>
    <row r="442" spans="1:2" ht="15.75" customHeight="1" x14ac:dyDescent="0.25">
      <c r="A442" s="6">
        <v>460087</v>
      </c>
      <c r="B442" s="10" t="s">
        <v>1891</v>
      </c>
    </row>
    <row r="443" spans="1:2" ht="15.75" customHeight="1" x14ac:dyDescent="0.25">
      <c r="A443" s="6">
        <v>460088</v>
      </c>
      <c r="B443" s="10" t="s">
        <v>1892</v>
      </c>
    </row>
    <row r="444" spans="1:2" ht="15.75" customHeight="1" x14ac:dyDescent="0.25">
      <c r="A444" s="6">
        <v>460089</v>
      </c>
      <c r="B444" s="10" t="s">
        <v>1893</v>
      </c>
    </row>
    <row r="445" spans="1:2" ht="15.75" customHeight="1" x14ac:dyDescent="0.25">
      <c r="A445" s="6">
        <v>460090</v>
      </c>
      <c r="B445" s="10" t="s">
        <v>1894</v>
      </c>
    </row>
    <row r="446" spans="1:2" ht="15.75" customHeight="1" x14ac:dyDescent="0.25">
      <c r="A446" s="6">
        <v>61001</v>
      </c>
      <c r="B446" s="10" t="s">
        <v>544</v>
      </c>
    </row>
    <row r="447" spans="1:2" ht="15.75" customHeight="1" x14ac:dyDescent="0.25">
      <c r="A447" s="6">
        <v>61002</v>
      </c>
      <c r="B447" s="10" t="s">
        <v>1805</v>
      </c>
    </row>
    <row r="448" spans="1:2" ht="15.75" customHeight="1" x14ac:dyDescent="0.25">
      <c r="A448" s="6">
        <v>61003</v>
      </c>
      <c r="B448" s="10" t="s">
        <v>1806</v>
      </c>
    </row>
    <row r="449" spans="1:2" ht="15.75" customHeight="1" x14ac:dyDescent="0.25">
      <c r="A449" s="6">
        <v>61004</v>
      </c>
      <c r="B449" s="10" t="s">
        <v>1807</v>
      </c>
    </row>
    <row r="450" spans="1:2" ht="15.75" customHeight="1" x14ac:dyDescent="0.25">
      <c r="A450" s="6">
        <v>61005</v>
      </c>
      <c r="B450" s="10" t="s">
        <v>1808</v>
      </c>
    </row>
    <row r="451" spans="1:2" ht="15.75" customHeight="1" x14ac:dyDescent="0.25">
      <c r="A451" s="6">
        <v>61006</v>
      </c>
      <c r="B451" s="10" t="s">
        <v>1809</v>
      </c>
    </row>
    <row r="452" spans="1:2" ht="15.75" customHeight="1" x14ac:dyDescent="0.25">
      <c r="A452" s="6">
        <v>61007</v>
      </c>
      <c r="B452" s="10" t="s">
        <v>1810</v>
      </c>
    </row>
    <row r="453" spans="1:2" ht="15.75" customHeight="1" x14ac:dyDescent="0.25">
      <c r="A453" s="6">
        <v>61008</v>
      </c>
      <c r="B453" s="10" t="s">
        <v>1811</v>
      </c>
    </row>
    <row r="454" spans="1:2" ht="15.75" customHeight="1" x14ac:dyDescent="0.25">
      <c r="A454" s="6">
        <v>61009</v>
      </c>
      <c r="B454" s="10" t="s">
        <v>1812</v>
      </c>
    </row>
    <row r="455" spans="1:2" ht="15.75" customHeight="1" x14ac:dyDescent="0.25">
      <c r="A455" s="6">
        <v>61010</v>
      </c>
      <c r="B455" s="10" t="s">
        <v>1813</v>
      </c>
    </row>
    <row r="456" spans="1:2" ht="15.75" customHeight="1" x14ac:dyDescent="0.25">
      <c r="A456" s="6">
        <v>61011</v>
      </c>
      <c r="B456" s="10" t="s">
        <v>1814</v>
      </c>
    </row>
    <row r="457" spans="1:2" ht="15.75" customHeight="1" x14ac:dyDescent="0.25">
      <c r="A457" s="6">
        <v>61012</v>
      </c>
      <c r="B457" s="10" t="s">
        <v>1815</v>
      </c>
    </row>
    <row r="458" spans="1:2" ht="15.75" customHeight="1" x14ac:dyDescent="0.25">
      <c r="A458" s="6">
        <v>61013</v>
      </c>
      <c r="B458" s="10" t="s">
        <v>1816</v>
      </c>
    </row>
    <row r="459" spans="1:2" ht="15.75" customHeight="1" x14ac:dyDescent="0.25">
      <c r="A459" s="6">
        <v>61014</v>
      </c>
      <c r="B459" s="10" t="s">
        <v>1817</v>
      </c>
    </row>
    <row r="460" spans="1:2" ht="15.75" customHeight="1" x14ac:dyDescent="0.25">
      <c r="A460" s="6">
        <v>61015</v>
      </c>
      <c r="B460" s="10" t="s">
        <v>1818</v>
      </c>
    </row>
    <row r="461" spans="1:2" ht="15.75" customHeight="1" x14ac:dyDescent="0.25">
      <c r="A461" s="6">
        <v>462001</v>
      </c>
      <c r="B461" s="10" t="s">
        <v>697</v>
      </c>
    </row>
    <row r="462" spans="1:2" ht="15.75" customHeight="1" x14ac:dyDescent="0.25">
      <c r="A462" s="6">
        <v>462002</v>
      </c>
      <c r="B462" s="10" t="s">
        <v>1819</v>
      </c>
    </row>
    <row r="463" spans="1:2" ht="15.75" customHeight="1" x14ac:dyDescent="0.25">
      <c r="A463" s="6">
        <v>462003</v>
      </c>
      <c r="B463" s="10" t="s">
        <v>1820</v>
      </c>
    </row>
    <row r="464" spans="1:2" ht="15.75" customHeight="1" x14ac:dyDescent="0.25">
      <c r="A464" s="6">
        <v>462004</v>
      </c>
      <c r="B464" s="10" t="s">
        <v>1821</v>
      </c>
    </row>
    <row r="465" spans="1:2" ht="15.75" customHeight="1" x14ac:dyDescent="0.25">
      <c r="A465" s="6">
        <v>462005</v>
      </c>
      <c r="B465" s="10" t="s">
        <v>1822</v>
      </c>
    </row>
    <row r="466" spans="1:2" ht="15.75" customHeight="1" x14ac:dyDescent="0.25">
      <c r="A466" s="6">
        <v>462006</v>
      </c>
      <c r="B466" s="10" t="s">
        <v>1823</v>
      </c>
    </row>
    <row r="467" spans="1:2" ht="15.75" customHeight="1" x14ac:dyDescent="0.25">
      <c r="A467" s="6">
        <v>462007</v>
      </c>
      <c r="B467" s="10" t="s">
        <v>1824</v>
      </c>
    </row>
    <row r="468" spans="1:2" ht="15.75" customHeight="1" x14ac:dyDescent="0.25">
      <c r="A468" s="6">
        <v>462008</v>
      </c>
      <c r="B468" s="10" t="s">
        <v>1825</v>
      </c>
    </row>
    <row r="469" spans="1:2" ht="15.75" customHeight="1" x14ac:dyDescent="0.25">
      <c r="A469" s="6">
        <v>462009</v>
      </c>
      <c r="B469" s="10" t="s">
        <v>1826</v>
      </c>
    </row>
    <row r="470" spans="1:2" ht="15.75" customHeight="1" x14ac:dyDescent="0.25">
      <c r="A470" s="6">
        <v>462010</v>
      </c>
      <c r="B470" s="10" t="s">
        <v>1827</v>
      </c>
    </row>
    <row r="471" spans="1:2" ht="15.75" customHeight="1" x14ac:dyDescent="0.25">
      <c r="A471" s="6">
        <v>462011</v>
      </c>
      <c r="B471" s="10" t="s">
        <v>1828</v>
      </c>
    </row>
    <row r="472" spans="1:2" ht="15.75" customHeight="1" x14ac:dyDescent="0.25">
      <c r="A472" s="6">
        <v>462012</v>
      </c>
      <c r="B472" s="10" t="s">
        <v>1829</v>
      </c>
    </row>
    <row r="473" spans="1:2" ht="15.75" customHeight="1" x14ac:dyDescent="0.25">
      <c r="A473" s="6">
        <v>462013</v>
      </c>
      <c r="B473" s="10" t="s">
        <v>1830</v>
      </c>
    </row>
    <row r="474" spans="1:2" ht="15.75" customHeight="1" x14ac:dyDescent="0.25">
      <c r="A474" s="6">
        <v>462014</v>
      </c>
      <c r="B474" s="10" t="s">
        <v>1831</v>
      </c>
    </row>
    <row r="475" spans="1:2" ht="15.75" customHeight="1" x14ac:dyDescent="0.25">
      <c r="A475" s="6">
        <v>462015</v>
      </c>
      <c r="B475" s="10" t="s">
        <v>1832</v>
      </c>
    </row>
    <row r="476" spans="1:2" ht="15.75" customHeight="1" x14ac:dyDescent="0.25">
      <c r="A476" s="6">
        <v>462016</v>
      </c>
      <c r="B476" s="10" t="s">
        <v>1833</v>
      </c>
    </row>
    <row r="477" spans="1:2" ht="15.75" customHeight="1" x14ac:dyDescent="0.25">
      <c r="A477" s="6">
        <v>262001</v>
      </c>
      <c r="B477" s="10" t="s">
        <v>1834</v>
      </c>
    </row>
    <row r="478" spans="1:2" ht="15.75" customHeight="1" x14ac:dyDescent="0.25">
      <c r="A478" s="6">
        <v>262002</v>
      </c>
      <c r="B478" s="10" t="s">
        <v>1835</v>
      </c>
    </row>
    <row r="479" spans="1:2" ht="15.75" customHeight="1" x14ac:dyDescent="0.25">
      <c r="A479" s="6">
        <v>262003</v>
      </c>
      <c r="B479" s="10" t="s">
        <v>1831</v>
      </c>
    </row>
    <row r="480" spans="1:2" ht="15.75" customHeight="1" x14ac:dyDescent="0.25">
      <c r="A480" s="6">
        <v>63001</v>
      </c>
      <c r="B480" s="10" t="s">
        <v>1895</v>
      </c>
    </row>
    <row r="481" spans="1:2" ht="15.75" customHeight="1" x14ac:dyDescent="0.25">
      <c r="A481" s="6">
        <v>63002</v>
      </c>
      <c r="B481" s="10" t="s">
        <v>1896</v>
      </c>
    </row>
    <row r="482" spans="1:2" ht="15.75" customHeight="1" x14ac:dyDescent="0.25">
      <c r="A482" s="6">
        <v>63003</v>
      </c>
      <c r="B482" s="10" t="s">
        <v>1897</v>
      </c>
    </row>
    <row r="483" spans="1:2" ht="15.75" customHeight="1" x14ac:dyDescent="0.25">
      <c r="A483" s="6">
        <v>63004</v>
      </c>
      <c r="B483" s="10" t="s">
        <v>1898</v>
      </c>
    </row>
    <row r="484" spans="1:2" ht="15.75" customHeight="1" x14ac:dyDescent="0.25">
      <c r="A484" s="6">
        <v>63005</v>
      </c>
      <c r="B484" s="10" t="s">
        <v>1899</v>
      </c>
    </row>
    <row r="485" spans="1:2" ht="15.75" customHeight="1" x14ac:dyDescent="0.25">
      <c r="A485" s="6">
        <v>63006</v>
      </c>
      <c r="B485" s="10" t="s">
        <v>1900</v>
      </c>
    </row>
    <row r="486" spans="1:2" ht="15.75" customHeight="1" x14ac:dyDescent="0.25">
      <c r="A486" s="6">
        <v>63007</v>
      </c>
      <c r="B486" s="10" t="s">
        <v>1502</v>
      </c>
    </row>
    <row r="487" spans="1:2" ht="15.75" customHeight="1" x14ac:dyDescent="0.25">
      <c r="A487" s="6">
        <v>63008</v>
      </c>
      <c r="B487" s="10" t="s">
        <v>1500</v>
      </c>
    </row>
    <row r="488" spans="1:2" ht="15.75" customHeight="1" x14ac:dyDescent="0.25">
      <c r="A488" s="6">
        <v>63009</v>
      </c>
      <c r="B488" s="10" t="s">
        <v>1504</v>
      </c>
    </row>
    <row r="489" spans="1:2" ht="15.75" customHeight="1" x14ac:dyDescent="0.25">
      <c r="A489" s="6">
        <v>63010</v>
      </c>
      <c r="B489" s="10" t="s">
        <v>1471</v>
      </c>
    </row>
    <row r="490" spans="1:2" ht="15.75" customHeight="1" x14ac:dyDescent="0.25">
      <c r="A490" s="6">
        <v>63011</v>
      </c>
      <c r="B490" s="10" t="s">
        <v>1469</v>
      </c>
    </row>
    <row r="491" spans="1:2" ht="15.75" customHeight="1" x14ac:dyDescent="0.25">
      <c r="A491" s="6">
        <v>63012</v>
      </c>
      <c r="B491" s="10" t="s">
        <v>1473</v>
      </c>
    </row>
    <row r="492" spans="1:2" ht="15.75" customHeight="1" x14ac:dyDescent="0.25">
      <c r="A492" s="6">
        <v>63013</v>
      </c>
      <c r="B492" s="10" t="s">
        <v>860</v>
      </c>
    </row>
    <row r="493" spans="1:2" ht="15.75" customHeight="1" x14ac:dyDescent="0.25">
      <c r="A493" s="6">
        <v>63014</v>
      </c>
      <c r="B493" s="10" t="s">
        <v>858</v>
      </c>
    </row>
    <row r="494" spans="1:2" ht="15.75" customHeight="1" x14ac:dyDescent="0.25">
      <c r="A494" s="6">
        <v>63015</v>
      </c>
      <c r="B494" s="10" t="s">
        <v>862</v>
      </c>
    </row>
    <row r="495" spans="1:2" ht="15.75" customHeight="1" x14ac:dyDescent="0.25">
      <c r="A495" s="6">
        <v>63016</v>
      </c>
      <c r="B495" s="10" t="s">
        <v>859</v>
      </c>
    </row>
    <row r="496" spans="1:2" ht="15.75" customHeight="1" x14ac:dyDescent="0.25">
      <c r="A496" s="6">
        <v>63017</v>
      </c>
      <c r="B496" s="10" t="s">
        <v>857</v>
      </c>
    </row>
    <row r="497" spans="1:2" ht="15.75" customHeight="1" x14ac:dyDescent="0.25">
      <c r="A497" s="6">
        <v>63018</v>
      </c>
      <c r="B497" s="10" t="s">
        <v>861</v>
      </c>
    </row>
    <row r="498" spans="1:2" ht="15.75" customHeight="1" x14ac:dyDescent="0.25">
      <c r="A498" s="6">
        <v>63019</v>
      </c>
      <c r="B498" s="10" t="s">
        <v>1901</v>
      </c>
    </row>
    <row r="499" spans="1:2" ht="15.75" customHeight="1" x14ac:dyDescent="0.25">
      <c r="A499" s="6">
        <v>63020</v>
      </c>
      <c r="B499" s="10" t="s">
        <v>1902</v>
      </c>
    </row>
    <row r="500" spans="1:2" ht="15.75" customHeight="1" x14ac:dyDescent="0.25">
      <c r="A500" s="6">
        <v>63021</v>
      </c>
      <c r="B500" s="10" t="s">
        <v>1903</v>
      </c>
    </row>
    <row r="501" spans="1:2" ht="15.75" customHeight="1" x14ac:dyDescent="0.25">
      <c r="A501" s="6">
        <v>63022</v>
      </c>
      <c r="B501" s="10" t="s">
        <v>1904</v>
      </c>
    </row>
    <row r="502" spans="1:2" ht="15.75" customHeight="1" x14ac:dyDescent="0.25">
      <c r="A502" s="6">
        <v>63023</v>
      </c>
      <c r="B502" s="10" t="s">
        <v>1905</v>
      </c>
    </row>
    <row r="503" spans="1:2" ht="15.75" customHeight="1" x14ac:dyDescent="0.25">
      <c r="A503" s="6">
        <v>63024</v>
      </c>
      <c r="B503" s="10" t="s">
        <v>1906</v>
      </c>
    </row>
    <row r="504" spans="1:2" ht="15.75" customHeight="1" x14ac:dyDescent="0.25">
      <c r="A504" s="6">
        <v>63025</v>
      </c>
      <c r="B504" s="10" t="s">
        <v>1869</v>
      </c>
    </row>
    <row r="505" spans="1:2" ht="15.75" customHeight="1" x14ac:dyDescent="0.25">
      <c r="A505" s="6">
        <v>264001</v>
      </c>
      <c r="B505" s="10" t="s">
        <v>1907</v>
      </c>
    </row>
    <row r="506" spans="1:2" ht="15.75" customHeight="1" x14ac:dyDescent="0.25">
      <c r="A506" s="6">
        <v>264002</v>
      </c>
      <c r="B506" s="10" t="s">
        <v>1908</v>
      </c>
    </row>
    <row r="507" spans="1:2" ht="15.75" customHeight="1" x14ac:dyDescent="0.25">
      <c r="A507" s="6">
        <v>264003</v>
      </c>
      <c r="B507" s="10" t="s">
        <v>1909</v>
      </c>
    </row>
    <row r="508" spans="1:2" ht="15.75" customHeight="1" x14ac:dyDescent="0.25">
      <c r="A508" s="6">
        <v>264004</v>
      </c>
      <c r="B508" s="10" t="s">
        <v>1910</v>
      </c>
    </row>
    <row r="509" spans="1:2" ht="15.75" customHeight="1" x14ac:dyDescent="0.25">
      <c r="A509" s="6">
        <v>264005</v>
      </c>
      <c r="B509" s="10" t="s">
        <v>1911</v>
      </c>
    </row>
    <row r="510" spans="1:2" ht="15.75" customHeight="1" x14ac:dyDescent="0.25">
      <c r="A510" s="6">
        <v>264006</v>
      </c>
      <c r="B510" s="10" t="s">
        <v>1912</v>
      </c>
    </row>
    <row r="511" spans="1:2" ht="15.75" customHeight="1" x14ac:dyDescent="0.25">
      <c r="A511" s="6">
        <v>264007</v>
      </c>
      <c r="B511" s="10" t="s">
        <v>1910</v>
      </c>
    </row>
    <row r="512" spans="1:2" ht="15.75" customHeight="1" x14ac:dyDescent="0.25">
      <c r="A512" s="6">
        <v>264008</v>
      </c>
      <c r="B512" s="10" t="s">
        <v>1913</v>
      </c>
    </row>
    <row r="513" spans="1:2" ht="15.75" customHeight="1" x14ac:dyDescent="0.25">
      <c r="A513" s="6">
        <v>264009</v>
      </c>
      <c r="B513" s="10" t="s">
        <v>1914</v>
      </c>
    </row>
    <row r="514" spans="1:2" ht="15.75" customHeight="1" x14ac:dyDescent="0.25">
      <c r="A514" s="6">
        <v>264010</v>
      </c>
      <c r="B514" s="10" t="s">
        <v>1915</v>
      </c>
    </row>
    <row r="515" spans="1:2" ht="15.75" customHeight="1" x14ac:dyDescent="0.25">
      <c r="A515" s="6">
        <v>264011</v>
      </c>
      <c r="B515" s="10" t="s">
        <v>1916</v>
      </c>
    </row>
    <row r="516" spans="1:2" ht="15.75" customHeight="1" x14ac:dyDescent="0.25">
      <c r="A516" s="6">
        <v>264012</v>
      </c>
      <c r="B516" s="10" t="s">
        <v>1917</v>
      </c>
    </row>
    <row r="517" spans="1:2" ht="15.75" customHeight="1" x14ac:dyDescent="0.25">
      <c r="A517" s="6">
        <v>264013</v>
      </c>
      <c r="B517" s="10" t="s">
        <v>1918</v>
      </c>
    </row>
    <row r="518" spans="1:2" ht="15.75" customHeight="1" x14ac:dyDescent="0.25">
      <c r="A518" s="6">
        <v>264014</v>
      </c>
      <c r="B518" s="10" t="s">
        <v>1919</v>
      </c>
    </row>
    <row r="519" spans="1:2" ht="15.75" customHeight="1" x14ac:dyDescent="0.25">
      <c r="A519" s="6">
        <v>264015</v>
      </c>
      <c r="B519" s="10" t="s">
        <v>1920</v>
      </c>
    </row>
    <row r="520" spans="1:2" ht="15.75" customHeight="1" x14ac:dyDescent="0.25">
      <c r="A520" s="6">
        <v>264016</v>
      </c>
      <c r="B520" s="10" t="s">
        <v>1921</v>
      </c>
    </row>
    <row r="521" spans="1:2" ht="15.75" customHeight="1" x14ac:dyDescent="0.25">
      <c r="A521" s="6">
        <v>264017</v>
      </c>
      <c r="B521" s="10" t="s">
        <v>1922</v>
      </c>
    </row>
    <row r="522" spans="1:2" ht="15.75" customHeight="1" x14ac:dyDescent="0.25">
      <c r="A522" s="6">
        <v>264018</v>
      </c>
      <c r="B522" s="10" t="s">
        <v>1923</v>
      </c>
    </row>
    <row r="523" spans="1:2" ht="15.75" customHeight="1" x14ac:dyDescent="0.25">
      <c r="A523" s="6">
        <v>264019</v>
      </c>
      <c r="B523" s="10" t="s">
        <v>1924</v>
      </c>
    </row>
    <row r="524" spans="1:2" ht="15.75" customHeight="1" x14ac:dyDescent="0.25">
      <c r="A524" s="6">
        <v>264020</v>
      </c>
      <c r="B524" s="10" t="s">
        <v>1925</v>
      </c>
    </row>
    <row r="525" spans="1:2" ht="15.75" customHeight="1" x14ac:dyDescent="0.25">
      <c r="A525" s="6">
        <v>264021</v>
      </c>
      <c r="B525" s="10" t="s">
        <v>1926</v>
      </c>
    </row>
    <row r="526" spans="1:2" ht="15.75" customHeight="1" x14ac:dyDescent="0.25">
      <c r="A526" s="6">
        <v>264022</v>
      </c>
      <c r="B526" s="10" t="s">
        <v>1927</v>
      </c>
    </row>
    <row r="527" spans="1:2" ht="15.75" customHeight="1" x14ac:dyDescent="0.25">
      <c r="A527" s="6">
        <v>264023</v>
      </c>
      <c r="B527" s="10" t="s">
        <v>1928</v>
      </c>
    </row>
    <row r="528" spans="1:2" ht="15.75" customHeight="1" x14ac:dyDescent="0.25">
      <c r="A528" s="6">
        <v>264024</v>
      </c>
      <c r="B528" s="10" t="s">
        <v>1929</v>
      </c>
    </row>
    <row r="529" spans="1:2" ht="15.75" customHeight="1" x14ac:dyDescent="0.25">
      <c r="A529" s="6">
        <v>264025</v>
      </c>
      <c r="B529" s="10" t="s">
        <v>1930</v>
      </c>
    </row>
    <row r="530" spans="1:2" ht="15.75" customHeight="1" x14ac:dyDescent="0.25">
      <c r="A530" s="6">
        <v>264026</v>
      </c>
      <c r="B530" s="10" t="s">
        <v>1931</v>
      </c>
    </row>
    <row r="531" spans="1:2" ht="15.75" customHeight="1" x14ac:dyDescent="0.25">
      <c r="A531" s="6">
        <v>264027</v>
      </c>
      <c r="B531" s="10" t="s">
        <v>1932</v>
      </c>
    </row>
    <row r="532" spans="1:2" ht="15.75" customHeight="1" x14ac:dyDescent="0.25">
      <c r="A532" s="6">
        <v>264028</v>
      </c>
      <c r="B532" s="10" t="s">
        <v>1933</v>
      </c>
    </row>
    <row r="533" spans="1:2" ht="15.75" customHeight="1" x14ac:dyDescent="0.25">
      <c r="A533" s="6">
        <v>264029</v>
      </c>
      <c r="B533" s="10" t="s">
        <v>1934</v>
      </c>
    </row>
    <row r="534" spans="1:2" ht="15.75" customHeight="1" x14ac:dyDescent="0.25">
      <c r="A534" s="6">
        <v>264030</v>
      </c>
      <c r="B534" s="10" t="s">
        <v>1935</v>
      </c>
    </row>
    <row r="535" spans="1:2" ht="15.75" customHeight="1" x14ac:dyDescent="0.25">
      <c r="A535" s="6">
        <v>264031</v>
      </c>
      <c r="B535" s="10" t="s">
        <v>1936</v>
      </c>
    </row>
    <row r="536" spans="1:2" ht="15.75" customHeight="1" x14ac:dyDescent="0.25">
      <c r="A536" s="6">
        <v>264032</v>
      </c>
      <c r="B536" s="10" t="s">
        <v>1937</v>
      </c>
    </row>
    <row r="537" spans="1:2" ht="15.75" customHeight="1" x14ac:dyDescent="0.25">
      <c r="A537" s="6">
        <v>264033</v>
      </c>
      <c r="B537" s="10" t="s">
        <v>1938</v>
      </c>
    </row>
    <row r="538" spans="1:2" ht="15.75" customHeight="1" x14ac:dyDescent="0.25">
      <c r="A538" s="6">
        <v>264034</v>
      </c>
      <c r="B538" s="10" t="s">
        <v>1939</v>
      </c>
    </row>
    <row r="539" spans="1:2" ht="15.75" customHeight="1" x14ac:dyDescent="0.25">
      <c r="A539" s="6">
        <v>264035</v>
      </c>
      <c r="B539" s="10" t="s">
        <v>1940</v>
      </c>
    </row>
    <row r="540" spans="1:2" ht="15.75" customHeight="1" x14ac:dyDescent="0.25">
      <c r="A540" s="6">
        <v>264036</v>
      </c>
      <c r="B540" s="10" t="s">
        <v>1941</v>
      </c>
    </row>
    <row r="541" spans="1:2" ht="15.75" customHeight="1" x14ac:dyDescent="0.25">
      <c r="A541" s="6">
        <v>264037</v>
      </c>
      <c r="B541" s="10" t="s">
        <v>1942</v>
      </c>
    </row>
    <row r="542" spans="1:2" ht="15.75" customHeight="1" x14ac:dyDescent="0.25">
      <c r="A542" s="6">
        <v>264038</v>
      </c>
      <c r="B542" s="10" t="s">
        <v>1943</v>
      </c>
    </row>
    <row r="543" spans="1:2" ht="15.75" customHeight="1" x14ac:dyDescent="0.25">
      <c r="A543" s="6">
        <v>264039</v>
      </c>
      <c r="B543" s="10" t="s">
        <v>1944</v>
      </c>
    </row>
    <row r="544" spans="1:2" ht="15.75" customHeight="1" x14ac:dyDescent="0.25">
      <c r="A544" s="6">
        <v>264040</v>
      </c>
      <c r="B544" s="10" t="s">
        <v>1945</v>
      </c>
    </row>
    <row r="545" spans="1:2" ht="15.75" customHeight="1" x14ac:dyDescent="0.25">
      <c r="A545" s="6">
        <v>264041</v>
      </c>
      <c r="B545" s="10" t="s">
        <v>1946</v>
      </c>
    </row>
    <row r="546" spans="1:2" ht="15.75" customHeight="1" x14ac:dyDescent="0.25">
      <c r="A546" s="6">
        <v>264042</v>
      </c>
      <c r="B546" s="10" t="s">
        <v>1947</v>
      </c>
    </row>
    <row r="547" spans="1:2" ht="15.75" customHeight="1" x14ac:dyDescent="0.25">
      <c r="A547" s="6">
        <v>264043</v>
      </c>
      <c r="B547" s="10" t="s">
        <v>1948</v>
      </c>
    </row>
    <row r="548" spans="1:2" ht="15.75" customHeight="1" x14ac:dyDescent="0.25">
      <c r="A548" s="6">
        <v>264044</v>
      </c>
      <c r="B548" s="10" t="s">
        <v>1949</v>
      </c>
    </row>
    <row r="549" spans="1:2" ht="15.75" customHeight="1" x14ac:dyDescent="0.25">
      <c r="A549" s="6">
        <v>264045</v>
      </c>
      <c r="B549" s="10" t="s">
        <v>1950</v>
      </c>
    </row>
    <row r="550" spans="1:2" ht="15.75" customHeight="1" x14ac:dyDescent="0.25">
      <c r="A550" s="6">
        <v>264046</v>
      </c>
      <c r="B550" s="10" t="s">
        <v>1951</v>
      </c>
    </row>
    <row r="551" spans="1:2" ht="15.75" customHeight="1" x14ac:dyDescent="0.25">
      <c r="A551" s="6">
        <v>264047</v>
      </c>
      <c r="B551" s="10" t="s">
        <v>1952</v>
      </c>
    </row>
    <row r="552" spans="1:2" ht="15.75" customHeight="1" x14ac:dyDescent="0.25">
      <c r="A552" s="6">
        <v>264048</v>
      </c>
      <c r="B552" s="10" t="s">
        <v>1953</v>
      </c>
    </row>
    <row r="553" spans="1:2" ht="15.75" customHeight="1" x14ac:dyDescent="0.25">
      <c r="A553" s="6">
        <v>264049</v>
      </c>
      <c r="B553" s="10" t="s">
        <v>1954</v>
      </c>
    </row>
    <row r="554" spans="1:2" ht="15.75" customHeight="1" x14ac:dyDescent="0.25">
      <c r="A554" s="6">
        <v>264050</v>
      </c>
      <c r="B554" s="10" t="s">
        <v>1955</v>
      </c>
    </row>
    <row r="555" spans="1:2" ht="15.75" customHeight="1" x14ac:dyDescent="0.25">
      <c r="A555" s="6">
        <v>264051</v>
      </c>
      <c r="B555" s="10" t="s">
        <v>1956</v>
      </c>
    </row>
    <row r="556" spans="1:2" ht="15.75" customHeight="1" x14ac:dyDescent="0.25">
      <c r="A556" s="6">
        <v>265001</v>
      </c>
      <c r="B556" s="10" t="s">
        <v>1957</v>
      </c>
    </row>
    <row r="557" spans="1:2" ht="15.75" customHeight="1" x14ac:dyDescent="0.25">
      <c r="A557" s="6">
        <v>265002</v>
      </c>
      <c r="B557" s="10" t="s">
        <v>1958</v>
      </c>
    </row>
    <row r="558" spans="1:2" ht="15.75" customHeight="1" x14ac:dyDescent="0.25">
      <c r="A558" s="6">
        <v>265003</v>
      </c>
      <c r="B558" s="10" t="s">
        <v>1959</v>
      </c>
    </row>
    <row r="559" spans="1:2" ht="15.75" customHeight="1" x14ac:dyDescent="0.25">
      <c r="A559" s="6">
        <v>265004</v>
      </c>
      <c r="B559" s="10" t="s">
        <v>1960</v>
      </c>
    </row>
    <row r="560" spans="1:2" ht="15.75" customHeight="1" x14ac:dyDescent="0.25">
      <c r="A560" s="6">
        <v>265005</v>
      </c>
      <c r="B560" s="10" t="s">
        <v>1961</v>
      </c>
    </row>
    <row r="561" spans="1:2" ht="15.75" customHeight="1" x14ac:dyDescent="0.25">
      <c r="A561" s="6">
        <v>265006</v>
      </c>
      <c r="B561" s="10" t="s">
        <v>1962</v>
      </c>
    </row>
    <row r="562" spans="1:2" ht="15.75" customHeight="1" x14ac:dyDescent="0.25">
      <c r="A562" s="6">
        <v>265007</v>
      </c>
      <c r="B562" s="10" t="s">
        <v>1963</v>
      </c>
    </row>
    <row r="563" spans="1:2" ht="15.75" customHeight="1" x14ac:dyDescent="0.25">
      <c r="A563" s="6">
        <v>265008</v>
      </c>
      <c r="B563" s="10" t="s">
        <v>1964</v>
      </c>
    </row>
    <row r="564" spans="1:2" ht="15.75" customHeight="1" x14ac:dyDescent="0.25">
      <c r="A564" s="6">
        <v>265009</v>
      </c>
      <c r="B564" s="10" t="s">
        <v>1965</v>
      </c>
    </row>
    <row r="565" spans="1:2" ht="15.75" customHeight="1" x14ac:dyDescent="0.25">
      <c r="A565" s="6">
        <v>265010</v>
      </c>
      <c r="B565" s="10" t="s">
        <v>1966</v>
      </c>
    </row>
    <row r="566" spans="1:2" ht="15.75" customHeight="1" x14ac:dyDescent="0.25">
      <c r="A566" s="6">
        <v>265011</v>
      </c>
      <c r="B566" s="10" t="s">
        <v>1967</v>
      </c>
    </row>
    <row r="567" spans="1:2" ht="15.75" customHeight="1" x14ac:dyDescent="0.25">
      <c r="A567" s="6">
        <v>265012</v>
      </c>
      <c r="B567" s="10" t="s">
        <v>1968</v>
      </c>
    </row>
    <row r="568" spans="1:2" ht="15.75" customHeight="1" x14ac:dyDescent="0.25">
      <c r="A568" s="6">
        <v>265013</v>
      </c>
      <c r="B568" s="10" t="s">
        <v>1969</v>
      </c>
    </row>
    <row r="569" spans="1:2" ht="15.75" customHeight="1" x14ac:dyDescent="0.25">
      <c r="A569" s="6">
        <v>265014</v>
      </c>
      <c r="B569" s="10" t="s">
        <v>1970</v>
      </c>
    </row>
    <row r="570" spans="1:2" ht="15.75" customHeight="1" x14ac:dyDescent="0.25">
      <c r="A570" s="6">
        <v>265015</v>
      </c>
      <c r="B570" s="10" t="s">
        <v>1971</v>
      </c>
    </row>
    <row r="571" spans="1:2" ht="15.75" customHeight="1" x14ac:dyDescent="0.25">
      <c r="A571" s="6">
        <v>265016</v>
      </c>
      <c r="B571" s="10" t="s">
        <v>1972</v>
      </c>
    </row>
    <row r="572" spans="1:2" ht="15.75" customHeight="1" x14ac:dyDescent="0.25">
      <c r="A572" s="6">
        <v>265017</v>
      </c>
      <c r="B572" s="10" t="s">
        <v>1973</v>
      </c>
    </row>
    <row r="573" spans="1:2" ht="15.75" customHeight="1" x14ac:dyDescent="0.25">
      <c r="A573" s="6">
        <v>265018</v>
      </c>
      <c r="B573" s="10" t="s">
        <v>1974</v>
      </c>
    </row>
    <row r="574" spans="1:2" ht="15.75" customHeight="1" x14ac:dyDescent="0.25">
      <c r="A574" s="6">
        <v>265019</v>
      </c>
      <c r="B574" s="10" t="s">
        <v>1975</v>
      </c>
    </row>
    <row r="575" spans="1:2" ht="15.75" customHeight="1" x14ac:dyDescent="0.25">
      <c r="A575" s="6">
        <v>265020</v>
      </c>
      <c r="B575" s="10" t="s">
        <v>1976</v>
      </c>
    </row>
    <row r="576" spans="1:2" ht="15.75" customHeight="1" x14ac:dyDescent="0.25">
      <c r="A576" s="6">
        <v>265021</v>
      </c>
      <c r="B576" s="10" t="s">
        <v>1977</v>
      </c>
    </row>
    <row r="577" spans="1:2" ht="15.75" customHeight="1" x14ac:dyDescent="0.25">
      <c r="A577" s="6">
        <v>265022</v>
      </c>
      <c r="B577" s="10" t="s">
        <v>1978</v>
      </c>
    </row>
    <row r="578" spans="1:2" ht="15.75" customHeight="1" x14ac:dyDescent="0.25">
      <c r="A578" s="6">
        <v>265023</v>
      </c>
      <c r="B578" s="10" t="s">
        <v>1979</v>
      </c>
    </row>
    <row r="579" spans="1:2" ht="15.75" customHeight="1" x14ac:dyDescent="0.25">
      <c r="A579" s="6">
        <v>265024</v>
      </c>
      <c r="B579" s="10" t="s">
        <v>1980</v>
      </c>
    </row>
    <row r="580" spans="1:2" ht="15.75" customHeight="1" x14ac:dyDescent="0.25">
      <c r="A580" s="6">
        <v>265025</v>
      </c>
      <c r="B580" s="10" t="s">
        <v>1981</v>
      </c>
    </row>
    <row r="581" spans="1:2" ht="15.75" customHeight="1" x14ac:dyDescent="0.25">
      <c r="A581" s="6">
        <v>265026</v>
      </c>
      <c r="B581" s="10" t="s">
        <v>1982</v>
      </c>
    </row>
    <row r="582" spans="1:2" ht="15.75" customHeight="1" x14ac:dyDescent="0.25">
      <c r="A582" s="6">
        <v>265027</v>
      </c>
      <c r="B582" s="10" t="s">
        <v>1983</v>
      </c>
    </row>
    <row r="583" spans="1:2" ht="15.75" customHeight="1" x14ac:dyDescent="0.25">
      <c r="A583" s="6">
        <v>265028</v>
      </c>
      <c r="B583" s="10" t="s">
        <v>1984</v>
      </c>
    </row>
    <row r="584" spans="1:2" ht="15.75" customHeight="1" x14ac:dyDescent="0.25">
      <c r="A584" s="6">
        <v>265029</v>
      </c>
      <c r="B584" s="10" t="s">
        <v>1985</v>
      </c>
    </row>
    <row r="585" spans="1:2" ht="15.75" customHeight="1" x14ac:dyDescent="0.25">
      <c r="A585" s="6">
        <v>265030</v>
      </c>
      <c r="B585" s="10" t="s">
        <v>1986</v>
      </c>
    </row>
    <row r="586" spans="1:2" ht="15.75" customHeight="1" x14ac:dyDescent="0.25">
      <c r="A586" s="6">
        <v>265031</v>
      </c>
      <c r="B586" s="10" t="s">
        <v>1987</v>
      </c>
    </row>
    <row r="587" spans="1:2" ht="15.75" customHeight="1" x14ac:dyDescent="0.25">
      <c r="A587" s="6">
        <v>265032</v>
      </c>
      <c r="B587" s="10" t="s">
        <v>1988</v>
      </c>
    </row>
    <row r="588" spans="1:2" ht="15.75" customHeight="1" x14ac:dyDescent="0.25">
      <c r="A588" s="6">
        <v>265033</v>
      </c>
      <c r="B588" s="10" t="s">
        <v>1989</v>
      </c>
    </row>
    <row r="589" spans="1:2" ht="15.75" customHeight="1" x14ac:dyDescent="0.25">
      <c r="A589" s="6">
        <v>265034</v>
      </c>
      <c r="B589" s="10" t="s">
        <v>1990</v>
      </c>
    </row>
    <row r="590" spans="1:2" ht="15.75" customHeight="1" x14ac:dyDescent="0.25">
      <c r="A590" s="6">
        <v>265035</v>
      </c>
      <c r="B590" s="10" t="s">
        <v>1991</v>
      </c>
    </row>
    <row r="591" spans="1:2" ht="15.75" customHeight="1" x14ac:dyDescent="0.25">
      <c r="A591" s="6">
        <v>265036</v>
      </c>
      <c r="B591" s="10" t="s">
        <v>1992</v>
      </c>
    </row>
    <row r="592" spans="1:2" ht="15.75" customHeight="1" x14ac:dyDescent="0.25">
      <c r="A592" s="6">
        <v>265037</v>
      </c>
      <c r="B592" s="10" t="s">
        <v>1993</v>
      </c>
    </row>
    <row r="593" spans="1:2" ht="15.75" customHeight="1" x14ac:dyDescent="0.25">
      <c r="A593" s="6">
        <v>265038</v>
      </c>
      <c r="B593" s="10" t="s">
        <v>1994</v>
      </c>
    </row>
    <row r="594" spans="1:2" ht="15.75" customHeight="1" x14ac:dyDescent="0.25">
      <c r="A594" s="6">
        <v>265039</v>
      </c>
      <c r="B594" s="10" t="s">
        <v>1995</v>
      </c>
    </row>
    <row r="595" spans="1:2" ht="15.75" customHeight="1" x14ac:dyDescent="0.25">
      <c r="A595" s="6">
        <v>265040</v>
      </c>
      <c r="B595" s="10" t="s">
        <v>1996</v>
      </c>
    </row>
    <row r="596" spans="1:2" ht="15.75" customHeight="1" x14ac:dyDescent="0.25">
      <c r="A596" s="6">
        <v>265041</v>
      </c>
      <c r="B596" s="10" t="s">
        <v>1997</v>
      </c>
    </row>
    <row r="597" spans="1:2" ht="15.75" customHeight="1" x14ac:dyDescent="0.25">
      <c r="A597" s="6">
        <v>265042</v>
      </c>
      <c r="B597" s="10" t="s">
        <v>1998</v>
      </c>
    </row>
    <row r="598" spans="1:2" ht="15.75" customHeight="1" x14ac:dyDescent="0.25">
      <c r="A598" s="6">
        <v>265043</v>
      </c>
      <c r="B598" s="10" t="s">
        <v>1999</v>
      </c>
    </row>
    <row r="599" spans="1:2" ht="15.75" customHeight="1" x14ac:dyDescent="0.25">
      <c r="A599" s="6">
        <v>265044</v>
      </c>
      <c r="B599" s="10" t="s">
        <v>2000</v>
      </c>
    </row>
    <row r="600" spans="1:2" ht="15.75" customHeight="1" x14ac:dyDescent="0.25">
      <c r="A600" s="6">
        <v>265045</v>
      </c>
      <c r="B600" s="10" t="s">
        <v>2001</v>
      </c>
    </row>
    <row r="601" spans="1:2" ht="15.75" customHeight="1" x14ac:dyDescent="0.25">
      <c r="A601" s="6">
        <v>265046</v>
      </c>
      <c r="B601" s="10" t="s">
        <v>2002</v>
      </c>
    </row>
    <row r="602" spans="1:2" ht="15.75" customHeight="1" x14ac:dyDescent="0.25">
      <c r="A602" s="6">
        <v>265047</v>
      </c>
      <c r="B602" s="10" t="s">
        <v>2003</v>
      </c>
    </row>
    <row r="603" spans="1:2" ht="15.75" customHeight="1" x14ac:dyDescent="0.25">
      <c r="A603" s="6">
        <v>265048</v>
      </c>
      <c r="B603" s="10" t="s">
        <v>2004</v>
      </c>
    </row>
    <row r="604" spans="1:2" ht="15.75" customHeight="1" x14ac:dyDescent="0.25">
      <c r="A604" s="6">
        <v>265049</v>
      </c>
      <c r="B604" s="10" t="s">
        <v>2005</v>
      </c>
    </row>
    <row r="605" spans="1:2" ht="15.75" customHeight="1" x14ac:dyDescent="0.25">
      <c r="A605" s="6">
        <v>66001</v>
      </c>
      <c r="B605" s="10" t="s">
        <v>1659</v>
      </c>
    </row>
    <row r="606" spans="1:2" ht="15.75" customHeight="1" x14ac:dyDescent="0.25">
      <c r="A606" s="6">
        <v>66002</v>
      </c>
      <c r="B606" s="10" t="s">
        <v>1661</v>
      </c>
    </row>
    <row r="607" spans="1:2" ht="15.75" customHeight="1" x14ac:dyDescent="0.25">
      <c r="A607" s="6">
        <v>66003</v>
      </c>
      <c r="B607" s="10" t="s">
        <v>1660</v>
      </c>
    </row>
    <row r="608" spans="1:2" ht="15.75" customHeight="1" x14ac:dyDescent="0.25">
      <c r="A608" s="6">
        <v>66004</v>
      </c>
      <c r="B608" s="10" t="s">
        <v>1662</v>
      </c>
    </row>
    <row r="609" spans="1:2" ht="15.75" customHeight="1" x14ac:dyDescent="0.25">
      <c r="A609" s="6">
        <v>66005</v>
      </c>
      <c r="B609" s="10" t="s">
        <v>2006</v>
      </c>
    </row>
    <row r="610" spans="1:2" ht="15.75" customHeight="1" x14ac:dyDescent="0.25">
      <c r="A610" s="6">
        <v>66006</v>
      </c>
      <c r="B610" s="10" t="s">
        <v>2007</v>
      </c>
    </row>
    <row r="611" spans="1:2" ht="15.75" customHeight="1" x14ac:dyDescent="0.25">
      <c r="A611" s="6">
        <v>66007</v>
      </c>
      <c r="B611" s="10" t="s">
        <v>2008</v>
      </c>
    </row>
    <row r="612" spans="1:2" ht="15.75" customHeight="1" x14ac:dyDescent="0.25">
      <c r="A612" s="6">
        <v>66008</v>
      </c>
      <c r="B612" s="10" t="s">
        <v>2009</v>
      </c>
    </row>
    <row r="613" spans="1:2" ht="15.75" customHeight="1" x14ac:dyDescent="0.25">
      <c r="A613" s="6">
        <v>66009</v>
      </c>
      <c r="B613" s="10" t="s">
        <v>2010</v>
      </c>
    </row>
    <row r="614" spans="1:2" ht="15.75" customHeight="1" x14ac:dyDescent="0.25">
      <c r="A614" s="6">
        <v>66010</v>
      </c>
      <c r="B614" s="10" t="s">
        <v>1540</v>
      </c>
    </row>
    <row r="615" spans="1:2" ht="15.75" customHeight="1" x14ac:dyDescent="0.25">
      <c r="A615" s="6">
        <v>66011</v>
      </c>
      <c r="B615" s="10" t="s">
        <v>1355</v>
      </c>
    </row>
    <row r="616" spans="1:2" ht="15.75" customHeight="1" x14ac:dyDescent="0.25">
      <c r="A616" s="6">
        <v>66012</v>
      </c>
      <c r="B616" s="10" t="s">
        <v>2011</v>
      </c>
    </row>
    <row r="617" spans="1:2" ht="15.75" customHeight="1" x14ac:dyDescent="0.25">
      <c r="A617" s="6">
        <v>67001</v>
      </c>
      <c r="B617" s="10" t="s">
        <v>1659</v>
      </c>
    </row>
    <row r="618" spans="1:2" ht="15.75" customHeight="1" x14ac:dyDescent="0.25">
      <c r="A618" s="6">
        <v>67002</v>
      </c>
      <c r="B618" s="10" t="s">
        <v>1661</v>
      </c>
    </row>
    <row r="619" spans="1:2" ht="15.75" customHeight="1" x14ac:dyDescent="0.25">
      <c r="A619" s="6">
        <v>67003</v>
      </c>
      <c r="B619" s="10" t="s">
        <v>1660</v>
      </c>
    </row>
    <row r="620" spans="1:2" ht="15.75" customHeight="1" x14ac:dyDescent="0.25">
      <c r="A620" s="6">
        <v>67004</v>
      </c>
      <c r="B620" s="10" t="s">
        <v>1662</v>
      </c>
    </row>
    <row r="621" spans="1:2" ht="15.75" customHeight="1" x14ac:dyDescent="0.25">
      <c r="A621" s="6">
        <v>67005</v>
      </c>
      <c r="B621" s="10" t="s">
        <v>2006</v>
      </c>
    </row>
    <row r="622" spans="1:2" ht="15.75" customHeight="1" x14ac:dyDescent="0.25">
      <c r="A622" s="6">
        <v>67006</v>
      </c>
      <c r="B622" s="10" t="s">
        <v>2007</v>
      </c>
    </row>
    <row r="623" spans="1:2" ht="15.75" customHeight="1" x14ac:dyDescent="0.25">
      <c r="A623" s="6">
        <v>67007</v>
      </c>
      <c r="B623" s="10" t="s">
        <v>2008</v>
      </c>
    </row>
    <row r="624" spans="1:2" ht="15.75" customHeight="1" x14ac:dyDescent="0.25">
      <c r="A624" s="6">
        <v>67008</v>
      </c>
      <c r="B624" s="10" t="s">
        <v>2009</v>
      </c>
    </row>
    <row r="625" spans="1:2" ht="15.75" customHeight="1" x14ac:dyDescent="0.25">
      <c r="A625" s="6">
        <v>67009</v>
      </c>
      <c r="B625" s="10" t="s">
        <v>2010</v>
      </c>
    </row>
    <row r="626" spans="1:2" ht="15.75" customHeight="1" x14ac:dyDescent="0.25">
      <c r="A626" s="6">
        <v>67010</v>
      </c>
      <c r="B626" s="10" t="s">
        <v>1540</v>
      </c>
    </row>
    <row r="627" spans="1:2" ht="15.75" customHeight="1" x14ac:dyDescent="0.25">
      <c r="A627" s="6">
        <v>67011</v>
      </c>
      <c r="B627" s="10" t="s">
        <v>1355</v>
      </c>
    </row>
    <row r="628" spans="1:2" ht="15.75" customHeight="1" x14ac:dyDescent="0.25">
      <c r="A628" s="6">
        <v>67012</v>
      </c>
      <c r="B628" s="10" t="s">
        <v>2011</v>
      </c>
    </row>
    <row r="629" spans="1:2" ht="15.75" customHeight="1" x14ac:dyDescent="0.25">
      <c r="A629" s="6">
        <v>1001</v>
      </c>
      <c r="B629" s="10" t="s">
        <v>1120</v>
      </c>
    </row>
    <row r="630" spans="1:2" ht="15.75" customHeight="1" x14ac:dyDescent="0.25">
      <c r="A630" s="6">
        <v>1008</v>
      </c>
      <c r="B630" s="10" t="s">
        <v>1322</v>
      </c>
    </row>
    <row r="631" spans="1:2" ht="15.75" customHeight="1" x14ac:dyDescent="0.25">
      <c r="A631" s="6">
        <v>1010</v>
      </c>
      <c r="B631" s="10" t="s">
        <v>954</v>
      </c>
    </row>
    <row r="632" spans="1:2" ht="15.75" customHeight="1" x14ac:dyDescent="0.25">
      <c r="A632" s="6">
        <v>1013</v>
      </c>
      <c r="B632" s="10" t="s">
        <v>1304</v>
      </c>
    </row>
    <row r="633" spans="1:2" ht="15.75" customHeight="1" x14ac:dyDescent="0.25">
      <c r="A633" s="6">
        <v>1014</v>
      </c>
      <c r="B633" s="10" t="s">
        <v>827</v>
      </c>
    </row>
    <row r="634" spans="1:2" ht="15.75" customHeight="1" x14ac:dyDescent="0.25">
      <c r="A634" s="6">
        <v>1015</v>
      </c>
      <c r="B634" s="10" t="s">
        <v>835</v>
      </c>
    </row>
    <row r="635" spans="1:2" ht="15.75" customHeight="1" x14ac:dyDescent="0.25">
      <c r="A635" s="6">
        <v>1016</v>
      </c>
      <c r="B635" s="10" t="s">
        <v>849</v>
      </c>
    </row>
    <row r="636" spans="1:2" ht="15.75" customHeight="1" x14ac:dyDescent="0.25">
      <c r="A636" s="6">
        <v>1017</v>
      </c>
      <c r="B636" s="10" t="s">
        <v>1450</v>
      </c>
    </row>
    <row r="637" spans="1:2" ht="15.75" customHeight="1" x14ac:dyDescent="0.25">
      <c r="A637" s="6">
        <v>1018</v>
      </c>
      <c r="B637" s="10" t="s">
        <v>1449</v>
      </c>
    </row>
    <row r="638" spans="1:2" ht="15.75" customHeight="1" x14ac:dyDescent="0.25">
      <c r="A638" s="6">
        <v>1019</v>
      </c>
      <c r="B638" s="10" t="s">
        <v>1408</v>
      </c>
    </row>
    <row r="639" spans="1:2" ht="15.75" customHeight="1" x14ac:dyDescent="0.25">
      <c r="A639" s="6">
        <v>1020</v>
      </c>
      <c r="B639" s="10" t="s">
        <v>846</v>
      </c>
    </row>
    <row r="640" spans="1:2" ht="15.75" customHeight="1" x14ac:dyDescent="0.25">
      <c r="A640" s="6">
        <v>1021</v>
      </c>
      <c r="B640" s="10" t="s">
        <v>990</v>
      </c>
    </row>
    <row r="641" spans="1:2" ht="15.75" customHeight="1" x14ac:dyDescent="0.25">
      <c r="A641" s="6">
        <v>1022</v>
      </c>
      <c r="B641" s="10" t="s">
        <v>847</v>
      </c>
    </row>
    <row r="642" spans="1:2" ht="15.75" customHeight="1" x14ac:dyDescent="0.25">
      <c r="A642" s="6">
        <v>1024</v>
      </c>
      <c r="B642" s="10" t="s">
        <v>1243</v>
      </c>
    </row>
    <row r="643" spans="1:2" ht="15.75" customHeight="1" x14ac:dyDescent="0.25">
      <c r="A643" s="6">
        <v>1025</v>
      </c>
      <c r="B643" s="10" t="s">
        <v>1242</v>
      </c>
    </row>
    <row r="644" spans="1:2" ht="15.75" customHeight="1" x14ac:dyDescent="0.25">
      <c r="A644" s="6">
        <v>1027</v>
      </c>
      <c r="B644" s="10" t="s">
        <v>1254</v>
      </c>
    </row>
    <row r="645" spans="1:2" ht="15.75" customHeight="1" x14ac:dyDescent="0.25">
      <c r="A645" s="6">
        <v>1029</v>
      </c>
      <c r="B645" s="10" t="s">
        <v>851</v>
      </c>
    </row>
    <row r="646" spans="1:2" ht="15.75" customHeight="1" x14ac:dyDescent="0.25">
      <c r="A646" s="6">
        <v>1033</v>
      </c>
      <c r="B646" s="10" t="s">
        <v>1244</v>
      </c>
    </row>
    <row r="647" spans="1:2" ht="15.75" customHeight="1" x14ac:dyDescent="0.25">
      <c r="A647" s="6">
        <v>1034</v>
      </c>
      <c r="B647" s="10" t="s">
        <v>1245</v>
      </c>
    </row>
    <row r="648" spans="1:2" ht="15.75" customHeight="1" x14ac:dyDescent="0.25">
      <c r="A648" s="6">
        <v>1039</v>
      </c>
      <c r="B648" s="10" t="s">
        <v>1246</v>
      </c>
    </row>
    <row r="649" spans="1:2" ht="15.75" customHeight="1" x14ac:dyDescent="0.25">
      <c r="A649" s="6">
        <v>1040</v>
      </c>
      <c r="B649" s="10" t="s">
        <v>1581</v>
      </c>
    </row>
    <row r="650" spans="1:2" ht="15.75" customHeight="1" x14ac:dyDescent="0.25">
      <c r="A650" s="6">
        <v>1043</v>
      </c>
      <c r="B650" s="10" t="s">
        <v>1406</v>
      </c>
    </row>
    <row r="651" spans="1:2" ht="15.75" customHeight="1" x14ac:dyDescent="0.25">
      <c r="A651" s="6">
        <v>1045</v>
      </c>
      <c r="B651" s="10" t="s">
        <v>1580</v>
      </c>
    </row>
    <row r="652" spans="1:2" ht="15.75" customHeight="1" x14ac:dyDescent="0.25">
      <c r="A652" s="6">
        <v>1048</v>
      </c>
      <c r="B652" s="10" t="s">
        <v>666</v>
      </c>
    </row>
    <row r="653" spans="1:2" ht="15.75" customHeight="1" x14ac:dyDescent="0.25">
      <c r="A653" s="6">
        <v>1051</v>
      </c>
      <c r="B653" s="10" t="s">
        <v>1409</v>
      </c>
    </row>
    <row r="654" spans="1:2" ht="15.75" customHeight="1" x14ac:dyDescent="0.25">
      <c r="A654" s="6">
        <v>1054</v>
      </c>
      <c r="B654" s="10" t="s">
        <v>1410</v>
      </c>
    </row>
    <row r="655" spans="1:2" ht="15.75" customHeight="1" x14ac:dyDescent="0.25">
      <c r="A655" s="6">
        <v>1070</v>
      </c>
      <c r="B655" s="10" t="s">
        <v>1305</v>
      </c>
    </row>
    <row r="656" spans="1:2" ht="15.75" customHeight="1" x14ac:dyDescent="0.25">
      <c r="A656" s="6">
        <v>1071</v>
      </c>
      <c r="B656" s="10" t="s">
        <v>1324</v>
      </c>
    </row>
    <row r="657" spans="1:2" ht="15.75" customHeight="1" x14ac:dyDescent="0.25">
      <c r="A657" s="6">
        <v>1072</v>
      </c>
      <c r="B657" s="10" t="s">
        <v>1327</v>
      </c>
    </row>
    <row r="658" spans="1:2" ht="15.75" customHeight="1" x14ac:dyDescent="0.25">
      <c r="A658" s="6">
        <v>1073</v>
      </c>
      <c r="B658" s="10" t="s">
        <v>1314</v>
      </c>
    </row>
    <row r="659" spans="1:2" ht="15.75" customHeight="1" x14ac:dyDescent="0.25">
      <c r="A659" s="6">
        <v>1074</v>
      </c>
      <c r="B659" s="10" t="s">
        <v>1315</v>
      </c>
    </row>
    <row r="660" spans="1:2" ht="15.75" customHeight="1" x14ac:dyDescent="0.25">
      <c r="A660" s="6">
        <v>1075</v>
      </c>
      <c r="B660" s="10" t="s">
        <v>1319</v>
      </c>
    </row>
    <row r="661" spans="1:2" ht="15.75" customHeight="1" x14ac:dyDescent="0.25">
      <c r="A661" s="6">
        <v>1076</v>
      </c>
      <c r="B661" s="10" t="s">
        <v>1320</v>
      </c>
    </row>
    <row r="662" spans="1:2" ht="15.75" customHeight="1" x14ac:dyDescent="0.25">
      <c r="A662" s="6">
        <v>1077</v>
      </c>
      <c r="B662" s="10" t="s">
        <v>845</v>
      </c>
    </row>
    <row r="663" spans="1:2" ht="15.75" customHeight="1" x14ac:dyDescent="0.25">
      <c r="A663" s="6">
        <v>1078</v>
      </c>
      <c r="B663" s="10" t="s">
        <v>1129</v>
      </c>
    </row>
    <row r="664" spans="1:2" ht="15.75" customHeight="1" x14ac:dyDescent="0.25">
      <c r="A664" s="6">
        <v>1079</v>
      </c>
      <c r="B664" s="10" t="s">
        <v>1139</v>
      </c>
    </row>
    <row r="665" spans="1:2" ht="15.75" customHeight="1" x14ac:dyDescent="0.25">
      <c r="A665" s="6">
        <v>1080</v>
      </c>
      <c r="B665" s="10" t="s">
        <v>1412</v>
      </c>
    </row>
    <row r="666" spans="1:2" ht="15.75" customHeight="1" x14ac:dyDescent="0.25">
      <c r="A666" s="6">
        <v>1081</v>
      </c>
      <c r="B666" s="10" t="s">
        <v>1011</v>
      </c>
    </row>
    <row r="667" spans="1:2" ht="15.75" customHeight="1" x14ac:dyDescent="0.25">
      <c r="A667" s="6">
        <v>1084</v>
      </c>
      <c r="B667" s="10" t="s">
        <v>836</v>
      </c>
    </row>
    <row r="668" spans="1:2" ht="15.75" customHeight="1" x14ac:dyDescent="0.25">
      <c r="A668" s="6">
        <v>1085</v>
      </c>
      <c r="B668" s="10" t="s">
        <v>837</v>
      </c>
    </row>
    <row r="669" spans="1:2" ht="15.75" customHeight="1" x14ac:dyDescent="0.25">
      <c r="A669" s="6">
        <v>1086</v>
      </c>
      <c r="B669" s="10" t="s">
        <v>1130</v>
      </c>
    </row>
    <row r="670" spans="1:2" ht="15.75" customHeight="1" x14ac:dyDescent="0.25">
      <c r="A670" s="6">
        <v>1087</v>
      </c>
      <c r="B670" s="10" t="s">
        <v>1140</v>
      </c>
    </row>
    <row r="671" spans="1:2" ht="15.75" customHeight="1" x14ac:dyDescent="0.25">
      <c r="A671" s="6">
        <v>1093</v>
      </c>
      <c r="B671" s="10" t="s">
        <v>1247</v>
      </c>
    </row>
    <row r="672" spans="1:2" ht="15.75" customHeight="1" x14ac:dyDescent="0.25">
      <c r="A672" s="6">
        <v>1094</v>
      </c>
      <c r="B672" s="10" t="s">
        <v>1248</v>
      </c>
    </row>
    <row r="673" spans="1:2" ht="15.75" customHeight="1" x14ac:dyDescent="0.25">
      <c r="A673" s="6">
        <v>1095</v>
      </c>
      <c r="B673" s="10" t="s">
        <v>1082</v>
      </c>
    </row>
    <row r="674" spans="1:2" ht="15.75" customHeight="1" x14ac:dyDescent="0.25">
      <c r="A674" s="6">
        <v>1096</v>
      </c>
      <c r="B674" s="10" t="s">
        <v>1086</v>
      </c>
    </row>
    <row r="675" spans="1:2" ht="15.75" customHeight="1" x14ac:dyDescent="0.25">
      <c r="A675" s="6">
        <v>1104</v>
      </c>
      <c r="B675" s="10" t="s">
        <v>1318</v>
      </c>
    </row>
    <row r="676" spans="1:2" ht="15.75" customHeight="1" x14ac:dyDescent="0.25">
      <c r="A676" s="6">
        <v>1105</v>
      </c>
      <c r="B676" s="10" t="s">
        <v>1321</v>
      </c>
    </row>
    <row r="677" spans="1:2" ht="15.75" customHeight="1" x14ac:dyDescent="0.25">
      <c r="A677" s="6">
        <v>1106</v>
      </c>
      <c r="B677" s="10" t="s">
        <v>1239</v>
      </c>
    </row>
    <row r="678" spans="1:2" ht="15.75" customHeight="1" x14ac:dyDescent="0.25">
      <c r="A678" s="6">
        <v>1107</v>
      </c>
      <c r="B678" s="10" t="s">
        <v>834</v>
      </c>
    </row>
    <row r="679" spans="1:2" ht="15.75" customHeight="1" x14ac:dyDescent="0.25">
      <c r="A679" s="6">
        <v>1110</v>
      </c>
      <c r="B679" s="10" t="s">
        <v>1323</v>
      </c>
    </row>
    <row r="680" spans="1:2" ht="15.75" customHeight="1" x14ac:dyDescent="0.25">
      <c r="A680" s="6">
        <v>1111</v>
      </c>
      <c r="B680" s="10" t="s">
        <v>848</v>
      </c>
    </row>
    <row r="681" spans="1:2" ht="15.75" customHeight="1" x14ac:dyDescent="0.25">
      <c r="A681" s="6">
        <v>1112</v>
      </c>
      <c r="B681" s="10" t="s">
        <v>1405</v>
      </c>
    </row>
    <row r="682" spans="1:2" ht="15.75" customHeight="1" x14ac:dyDescent="0.25">
      <c r="A682" s="6">
        <v>1113</v>
      </c>
      <c r="B682" s="10" t="s">
        <v>1407</v>
      </c>
    </row>
    <row r="683" spans="1:2" ht="15.75" customHeight="1" x14ac:dyDescent="0.25">
      <c r="A683" s="6">
        <v>1114</v>
      </c>
      <c r="B683" s="10" t="s">
        <v>950</v>
      </c>
    </row>
    <row r="684" spans="1:2" ht="15.75" customHeight="1" x14ac:dyDescent="0.25">
      <c r="A684" s="6">
        <v>1115</v>
      </c>
      <c r="B684" s="10" t="s">
        <v>956</v>
      </c>
    </row>
    <row r="685" spans="1:2" ht="15.75" customHeight="1" x14ac:dyDescent="0.25">
      <c r="A685" s="6">
        <v>1116</v>
      </c>
      <c r="B685" s="10" t="s">
        <v>955</v>
      </c>
    </row>
    <row r="686" spans="1:2" ht="15.75" customHeight="1" x14ac:dyDescent="0.25">
      <c r="A686" s="6">
        <v>1117</v>
      </c>
      <c r="B686" s="10" t="s">
        <v>839</v>
      </c>
    </row>
    <row r="687" spans="1:2" ht="15.75" customHeight="1" x14ac:dyDescent="0.25">
      <c r="A687" s="6">
        <v>1120</v>
      </c>
      <c r="B687" s="10" t="s">
        <v>1237</v>
      </c>
    </row>
    <row r="688" spans="1:2" ht="15.75" customHeight="1" x14ac:dyDescent="0.25">
      <c r="A688" s="6">
        <v>1121</v>
      </c>
      <c r="B688" s="10" t="s">
        <v>1238</v>
      </c>
    </row>
    <row r="689" spans="1:2" ht="15.75" customHeight="1" x14ac:dyDescent="0.25">
      <c r="A689" s="6">
        <v>1123</v>
      </c>
      <c r="B689" s="10" t="s">
        <v>1404</v>
      </c>
    </row>
    <row r="690" spans="1:2" ht="15.75" customHeight="1" x14ac:dyDescent="0.25">
      <c r="A690" s="6">
        <v>1124</v>
      </c>
      <c r="B690" s="10" t="s">
        <v>840</v>
      </c>
    </row>
    <row r="691" spans="1:2" ht="15.75" customHeight="1" x14ac:dyDescent="0.25">
      <c r="A691" s="6">
        <v>1125</v>
      </c>
      <c r="B691" s="10" t="s">
        <v>953</v>
      </c>
    </row>
    <row r="692" spans="1:2" ht="15.75" customHeight="1" x14ac:dyDescent="0.25">
      <c r="A692" s="6">
        <v>1128</v>
      </c>
      <c r="B692" s="10" t="s">
        <v>838</v>
      </c>
    </row>
    <row r="693" spans="1:2" ht="15.75" customHeight="1" x14ac:dyDescent="0.25">
      <c r="A693" s="6">
        <v>1129</v>
      </c>
      <c r="B693" s="10" t="s">
        <v>751</v>
      </c>
    </row>
    <row r="694" spans="1:2" ht="15.75" customHeight="1" x14ac:dyDescent="0.25">
      <c r="A694" s="6">
        <v>1134</v>
      </c>
      <c r="B694" s="10" t="s">
        <v>1329</v>
      </c>
    </row>
    <row r="695" spans="1:2" ht="15.75" customHeight="1" x14ac:dyDescent="0.25">
      <c r="A695" s="6">
        <v>1136</v>
      </c>
      <c r="B695" s="10" t="s">
        <v>951</v>
      </c>
    </row>
    <row r="696" spans="1:2" ht="15.75" customHeight="1" x14ac:dyDescent="0.25">
      <c r="A696" s="6">
        <v>1137</v>
      </c>
      <c r="B696" s="10" t="s">
        <v>957</v>
      </c>
    </row>
    <row r="697" spans="1:2" ht="15.75" customHeight="1" x14ac:dyDescent="0.25">
      <c r="A697" s="6">
        <v>1138</v>
      </c>
      <c r="B697" s="10" t="s">
        <v>952</v>
      </c>
    </row>
    <row r="698" spans="1:2" ht="15.75" customHeight="1" x14ac:dyDescent="0.25">
      <c r="A698" s="6">
        <v>1141</v>
      </c>
      <c r="B698" s="10" t="s">
        <v>828</v>
      </c>
    </row>
    <row r="699" spans="1:2" ht="15.75" customHeight="1" x14ac:dyDescent="0.25">
      <c r="A699" s="6">
        <v>1142</v>
      </c>
      <c r="B699" s="10" t="s">
        <v>831</v>
      </c>
    </row>
    <row r="700" spans="1:2" ht="15.75" customHeight="1" x14ac:dyDescent="0.25">
      <c r="A700" s="6">
        <v>1144</v>
      </c>
      <c r="B700" s="10" t="s">
        <v>1018</v>
      </c>
    </row>
    <row r="701" spans="1:2" ht="15.75" customHeight="1" x14ac:dyDescent="0.25">
      <c r="A701" s="6">
        <v>1145</v>
      </c>
      <c r="B701" s="10" t="s">
        <v>1240</v>
      </c>
    </row>
    <row r="702" spans="1:2" ht="15.75" customHeight="1" x14ac:dyDescent="0.25">
      <c r="A702" s="6">
        <v>1146</v>
      </c>
      <c r="B702" s="10" t="s">
        <v>829</v>
      </c>
    </row>
    <row r="703" spans="1:2" ht="15.75" customHeight="1" x14ac:dyDescent="0.25">
      <c r="A703" s="6">
        <v>1147</v>
      </c>
      <c r="B703" s="10" t="s">
        <v>832</v>
      </c>
    </row>
    <row r="704" spans="1:2" ht="15.75" customHeight="1" x14ac:dyDescent="0.25">
      <c r="A704" s="6">
        <v>1151</v>
      </c>
      <c r="B704" s="10" t="s">
        <v>1123</v>
      </c>
    </row>
    <row r="705" spans="1:2" ht="15.75" customHeight="1" x14ac:dyDescent="0.25">
      <c r="A705" s="6">
        <v>1153</v>
      </c>
      <c r="B705" s="10" t="s">
        <v>1124</v>
      </c>
    </row>
    <row r="706" spans="1:2" ht="15.75" customHeight="1" x14ac:dyDescent="0.25">
      <c r="A706" s="6">
        <v>1154</v>
      </c>
      <c r="B706" s="10" t="s">
        <v>1125</v>
      </c>
    </row>
    <row r="707" spans="1:2" ht="15.75" customHeight="1" x14ac:dyDescent="0.25">
      <c r="A707" s="6">
        <v>1155</v>
      </c>
      <c r="B707" s="10" t="s">
        <v>841</v>
      </c>
    </row>
    <row r="708" spans="1:2" ht="15.75" customHeight="1" x14ac:dyDescent="0.25">
      <c r="A708" s="6">
        <v>1157</v>
      </c>
      <c r="B708" s="10" t="s">
        <v>1147</v>
      </c>
    </row>
    <row r="709" spans="1:2" ht="15.75" customHeight="1" x14ac:dyDescent="0.25">
      <c r="A709" s="6">
        <v>1159</v>
      </c>
      <c r="B709" s="10" t="s">
        <v>1138</v>
      </c>
    </row>
    <row r="710" spans="1:2" ht="15.75" customHeight="1" x14ac:dyDescent="0.25">
      <c r="A710" s="6">
        <v>1160</v>
      </c>
      <c r="B710" s="10" t="s">
        <v>1306</v>
      </c>
    </row>
    <row r="711" spans="1:2" ht="15.75" customHeight="1" x14ac:dyDescent="0.25">
      <c r="A711" s="6">
        <v>1161</v>
      </c>
      <c r="B711" s="10" t="s">
        <v>1146</v>
      </c>
    </row>
    <row r="712" spans="1:2" ht="15.75" customHeight="1" x14ac:dyDescent="0.25">
      <c r="A712" s="6">
        <v>1163</v>
      </c>
      <c r="B712" s="10" t="s">
        <v>1333</v>
      </c>
    </row>
    <row r="713" spans="1:2" ht="15.75" customHeight="1" x14ac:dyDescent="0.25">
      <c r="A713" s="6">
        <v>1164</v>
      </c>
      <c r="B713" s="10" t="s">
        <v>1141</v>
      </c>
    </row>
    <row r="714" spans="1:2" ht="15.75" customHeight="1" x14ac:dyDescent="0.25">
      <c r="A714" s="6">
        <v>1166</v>
      </c>
      <c r="B714" s="10" t="s">
        <v>1338</v>
      </c>
    </row>
    <row r="715" spans="1:2" ht="15.75" customHeight="1" x14ac:dyDescent="0.25">
      <c r="A715" s="6">
        <v>1168</v>
      </c>
      <c r="B715" s="10" t="s">
        <v>1133</v>
      </c>
    </row>
    <row r="716" spans="1:2" ht="15.75" customHeight="1" x14ac:dyDescent="0.25">
      <c r="A716" s="6">
        <v>1169</v>
      </c>
      <c r="B716" s="10" t="s">
        <v>1142</v>
      </c>
    </row>
    <row r="717" spans="1:2" ht="15.75" customHeight="1" x14ac:dyDescent="0.25">
      <c r="A717" s="6">
        <v>1170</v>
      </c>
      <c r="B717" s="10" t="s">
        <v>989</v>
      </c>
    </row>
    <row r="718" spans="1:2" ht="15.75" customHeight="1" x14ac:dyDescent="0.25">
      <c r="A718" s="6">
        <v>1171</v>
      </c>
      <c r="B718" s="10" t="s">
        <v>1342</v>
      </c>
    </row>
    <row r="719" spans="1:2" ht="15.75" customHeight="1" x14ac:dyDescent="0.25">
      <c r="A719" s="6">
        <v>1173</v>
      </c>
      <c r="B719" s="10" t="s">
        <v>755</v>
      </c>
    </row>
    <row r="720" spans="1:2" ht="15.75" customHeight="1" x14ac:dyDescent="0.25">
      <c r="A720" s="6">
        <v>1174</v>
      </c>
      <c r="B720" s="10" t="s">
        <v>754</v>
      </c>
    </row>
    <row r="721" spans="1:2" ht="15.75" customHeight="1" x14ac:dyDescent="0.25">
      <c r="A721" s="6">
        <v>1177</v>
      </c>
      <c r="B721" s="10" t="s">
        <v>1136</v>
      </c>
    </row>
    <row r="722" spans="1:2" ht="15.75" customHeight="1" x14ac:dyDescent="0.25">
      <c r="A722" s="6">
        <v>1180</v>
      </c>
      <c r="B722" s="10" t="s">
        <v>1334</v>
      </c>
    </row>
    <row r="723" spans="1:2" ht="15.75" customHeight="1" x14ac:dyDescent="0.25">
      <c r="A723" s="6">
        <v>1181</v>
      </c>
      <c r="B723" s="10" t="s">
        <v>1127</v>
      </c>
    </row>
    <row r="724" spans="1:2" ht="15.75" customHeight="1" x14ac:dyDescent="0.25">
      <c r="A724" s="6">
        <v>1182</v>
      </c>
      <c r="B724" s="10" t="s">
        <v>1126</v>
      </c>
    </row>
    <row r="725" spans="1:2" ht="15.75" customHeight="1" x14ac:dyDescent="0.25">
      <c r="A725" s="6">
        <v>1183</v>
      </c>
      <c r="B725" s="10" t="s">
        <v>1135</v>
      </c>
    </row>
    <row r="726" spans="1:2" ht="15.75" customHeight="1" x14ac:dyDescent="0.25">
      <c r="A726" s="6">
        <v>1186</v>
      </c>
      <c r="B726" s="10" t="s">
        <v>1325</v>
      </c>
    </row>
    <row r="727" spans="1:2" ht="15.75" customHeight="1" x14ac:dyDescent="0.25">
      <c r="A727" s="6">
        <v>1187</v>
      </c>
      <c r="B727" s="10" t="s">
        <v>1132</v>
      </c>
    </row>
    <row r="728" spans="1:2" ht="15.75" customHeight="1" x14ac:dyDescent="0.25">
      <c r="A728" s="6">
        <v>1190</v>
      </c>
      <c r="B728" s="10" t="s">
        <v>1137</v>
      </c>
    </row>
    <row r="729" spans="1:2" ht="15.75" customHeight="1" x14ac:dyDescent="0.25">
      <c r="A729" s="6">
        <v>1191</v>
      </c>
      <c r="B729" s="10" t="s">
        <v>1128</v>
      </c>
    </row>
    <row r="730" spans="1:2" ht="15.75" customHeight="1" x14ac:dyDescent="0.25">
      <c r="A730" s="6">
        <v>1196</v>
      </c>
      <c r="B730" s="10" t="s">
        <v>1619</v>
      </c>
    </row>
    <row r="731" spans="1:2" ht="15.75" customHeight="1" x14ac:dyDescent="0.25">
      <c r="A731" s="6">
        <v>1197</v>
      </c>
      <c r="B731" s="10" t="s">
        <v>1620</v>
      </c>
    </row>
    <row r="732" spans="1:2" ht="15.75" customHeight="1" x14ac:dyDescent="0.25">
      <c r="A732" s="6">
        <v>1198</v>
      </c>
      <c r="B732" s="10" t="s">
        <v>1621</v>
      </c>
    </row>
    <row r="733" spans="1:2" ht="15.75" customHeight="1" x14ac:dyDescent="0.25">
      <c r="A733" s="6">
        <v>101001</v>
      </c>
      <c r="B733" s="10" t="s">
        <v>667</v>
      </c>
    </row>
    <row r="734" spans="1:2" ht="15.75" customHeight="1" x14ac:dyDescent="0.25">
      <c r="A734" s="6">
        <v>101004</v>
      </c>
      <c r="B734" s="10" t="s">
        <v>24</v>
      </c>
    </row>
    <row r="735" spans="1:2" ht="15.75" customHeight="1" x14ac:dyDescent="0.25">
      <c r="A735" s="6">
        <v>101006</v>
      </c>
      <c r="B735" s="10" t="s">
        <v>240</v>
      </c>
    </row>
    <row r="736" spans="1:2" ht="15.75" customHeight="1" x14ac:dyDescent="0.25">
      <c r="A736" s="6">
        <v>101012</v>
      </c>
      <c r="B736" s="10" t="s">
        <v>669</v>
      </c>
    </row>
    <row r="737" spans="1:2" ht="15.75" customHeight="1" x14ac:dyDescent="0.25">
      <c r="A737" s="6">
        <v>101018</v>
      </c>
      <c r="B737" s="10" t="s">
        <v>1411</v>
      </c>
    </row>
    <row r="738" spans="1:2" ht="15.75" customHeight="1" x14ac:dyDescent="0.25">
      <c r="A738" s="6">
        <v>4001</v>
      </c>
      <c r="B738" s="10" t="s">
        <v>1083</v>
      </c>
    </row>
    <row r="739" spans="1:2" ht="15.75" customHeight="1" x14ac:dyDescent="0.25">
      <c r="A739" s="6">
        <v>4002</v>
      </c>
      <c r="B739" s="10" t="s">
        <v>1087</v>
      </c>
    </row>
    <row r="740" spans="1:2" ht="15.75" customHeight="1" x14ac:dyDescent="0.25">
      <c r="A740" s="6">
        <v>4003</v>
      </c>
      <c r="B740" s="10" t="s">
        <v>1088</v>
      </c>
    </row>
    <row r="741" spans="1:2" ht="15.75" customHeight="1" x14ac:dyDescent="0.25">
      <c r="A741" s="6">
        <v>4004</v>
      </c>
      <c r="B741" s="10" t="s">
        <v>1085</v>
      </c>
    </row>
    <row r="742" spans="1:2" ht="15.75" customHeight="1" x14ac:dyDescent="0.25">
      <c r="A742" s="6">
        <v>206001</v>
      </c>
      <c r="B742" s="10" t="s">
        <v>1548</v>
      </c>
    </row>
    <row r="743" spans="1:2" ht="15.75" customHeight="1" x14ac:dyDescent="0.25">
      <c r="A743" s="6">
        <v>206002</v>
      </c>
      <c r="B743" s="10" t="s">
        <v>1547</v>
      </c>
    </row>
    <row r="744" spans="1:2" ht="15.75" customHeight="1" x14ac:dyDescent="0.25">
      <c r="A744" s="6">
        <v>206003</v>
      </c>
      <c r="B744" s="10" t="s">
        <v>1108</v>
      </c>
    </row>
    <row r="745" spans="1:2" ht="15.75" customHeight="1" x14ac:dyDescent="0.25">
      <c r="A745" s="6">
        <v>206004</v>
      </c>
      <c r="B745" s="10" t="s">
        <v>963</v>
      </c>
    </row>
    <row r="746" spans="1:2" ht="15.75" customHeight="1" x14ac:dyDescent="0.25">
      <c r="A746" s="6">
        <v>206005</v>
      </c>
      <c r="B746" s="10" t="s">
        <v>1213</v>
      </c>
    </row>
    <row r="747" spans="1:2" ht="15.75" customHeight="1" x14ac:dyDescent="0.25">
      <c r="A747" s="6">
        <v>206006</v>
      </c>
      <c r="B747" s="10" t="s">
        <v>1041</v>
      </c>
    </row>
    <row r="748" spans="1:2" ht="15.75" customHeight="1" x14ac:dyDescent="0.25">
      <c r="A748" s="6">
        <v>206007</v>
      </c>
      <c r="B748" s="10" t="s">
        <v>1228</v>
      </c>
    </row>
    <row r="749" spans="1:2" ht="15.75" customHeight="1" x14ac:dyDescent="0.25">
      <c r="A749" s="6">
        <v>7001</v>
      </c>
      <c r="B749" s="10" t="s">
        <v>1585</v>
      </c>
    </row>
    <row r="750" spans="1:2" ht="15.75" customHeight="1" x14ac:dyDescent="0.25">
      <c r="A750" s="6">
        <v>7002</v>
      </c>
      <c r="B750" s="10" t="s">
        <v>1583</v>
      </c>
    </row>
    <row r="751" spans="1:2" ht="15.75" customHeight="1" x14ac:dyDescent="0.25">
      <c r="A751" s="6">
        <v>7003</v>
      </c>
      <c r="B751" s="10" t="s">
        <v>1584</v>
      </c>
    </row>
    <row r="752" spans="1:2" ht="15.75" customHeight="1" x14ac:dyDescent="0.25">
      <c r="A752" s="6">
        <v>7004</v>
      </c>
      <c r="B752" s="10" t="s">
        <v>1561</v>
      </c>
    </row>
    <row r="753" spans="1:2" ht="15.75" customHeight="1" x14ac:dyDescent="0.25">
      <c r="A753" s="6">
        <v>7005</v>
      </c>
      <c r="B753" s="10" t="s">
        <v>1558</v>
      </c>
    </row>
    <row r="754" spans="1:2" ht="15.75" customHeight="1" x14ac:dyDescent="0.25">
      <c r="A754" s="6">
        <v>7006</v>
      </c>
      <c r="B754" s="10" t="s">
        <v>1559</v>
      </c>
    </row>
    <row r="755" spans="1:2" ht="15.75" customHeight="1" x14ac:dyDescent="0.25">
      <c r="A755" s="6">
        <v>7007</v>
      </c>
      <c r="B755" s="10" t="s">
        <v>1560</v>
      </c>
    </row>
    <row r="756" spans="1:2" ht="15.75" customHeight="1" x14ac:dyDescent="0.25">
      <c r="A756" s="6">
        <v>7008</v>
      </c>
      <c r="B756" s="10" t="s">
        <v>1225</v>
      </c>
    </row>
    <row r="757" spans="1:2" ht="15.75" customHeight="1" x14ac:dyDescent="0.25">
      <c r="A757" s="6">
        <v>7009</v>
      </c>
      <c r="B757" s="10" t="s">
        <v>1222</v>
      </c>
    </row>
    <row r="758" spans="1:2" ht="15.75" customHeight="1" x14ac:dyDescent="0.25">
      <c r="A758" s="6">
        <v>7010</v>
      </c>
      <c r="B758" s="10" t="s">
        <v>1223</v>
      </c>
    </row>
    <row r="759" spans="1:2" ht="15.75" customHeight="1" x14ac:dyDescent="0.25">
      <c r="A759" s="6">
        <v>7011</v>
      </c>
      <c r="B759" s="10" t="s">
        <v>1224</v>
      </c>
    </row>
    <row r="760" spans="1:2" ht="15.75" customHeight="1" x14ac:dyDescent="0.25">
      <c r="A760" s="6">
        <v>209007</v>
      </c>
      <c r="B760" s="10" t="s">
        <v>1157</v>
      </c>
    </row>
    <row r="761" spans="1:2" ht="15.75" customHeight="1" x14ac:dyDescent="0.25">
      <c r="A761" s="6">
        <v>209011</v>
      </c>
      <c r="B761" s="10" t="s">
        <v>1040</v>
      </c>
    </row>
    <row r="762" spans="1:2" ht="15.75" customHeight="1" x14ac:dyDescent="0.25">
      <c r="A762" s="6">
        <v>209015</v>
      </c>
      <c r="B762" s="10" t="s">
        <v>914</v>
      </c>
    </row>
    <row r="763" spans="1:2" ht="15.75" customHeight="1" x14ac:dyDescent="0.25">
      <c r="A763" s="6">
        <v>209016</v>
      </c>
      <c r="B763" s="10" t="s">
        <v>1019</v>
      </c>
    </row>
    <row r="764" spans="1:2" ht="15.75" customHeight="1" x14ac:dyDescent="0.25">
      <c r="A764" s="6">
        <v>209017</v>
      </c>
      <c r="B764" s="10" t="s">
        <v>1379</v>
      </c>
    </row>
    <row r="765" spans="1:2" ht="15.75" customHeight="1" x14ac:dyDescent="0.25">
      <c r="A765" s="6">
        <v>209018</v>
      </c>
      <c r="B765" s="10" t="s">
        <v>1613</v>
      </c>
    </row>
    <row r="766" spans="1:2" ht="15.75" customHeight="1" x14ac:dyDescent="0.25">
      <c r="A766" s="6">
        <v>209027</v>
      </c>
      <c r="B766" s="10" t="s">
        <v>698</v>
      </c>
    </row>
    <row r="767" spans="1:2" ht="15.75" customHeight="1" x14ac:dyDescent="0.25">
      <c r="A767" s="6">
        <v>209030</v>
      </c>
      <c r="B767" s="10" t="s">
        <v>1582</v>
      </c>
    </row>
    <row r="768" spans="1:2" ht="15.75" customHeight="1" x14ac:dyDescent="0.25">
      <c r="A768" s="6">
        <v>309001</v>
      </c>
      <c r="B768" s="10" t="s">
        <v>1532</v>
      </c>
    </row>
    <row r="769" spans="1:2" ht="15.75" customHeight="1" x14ac:dyDescent="0.25">
      <c r="A769" s="6">
        <v>309002</v>
      </c>
      <c r="B769" s="10" t="s">
        <v>914</v>
      </c>
    </row>
    <row r="770" spans="1:2" ht="15.75" customHeight="1" x14ac:dyDescent="0.25">
      <c r="A770" s="6">
        <v>309003</v>
      </c>
      <c r="B770" s="10" t="s">
        <v>756</v>
      </c>
    </row>
    <row r="771" spans="1:2" ht="15.75" customHeight="1" x14ac:dyDescent="0.25">
      <c r="A771" s="6">
        <v>309004</v>
      </c>
      <c r="B771" s="10" t="s">
        <v>1357</v>
      </c>
    </row>
    <row r="772" spans="1:2" ht="15.75" customHeight="1" x14ac:dyDescent="0.25">
      <c r="A772" s="6">
        <v>309005</v>
      </c>
      <c r="B772" s="10" t="s">
        <v>1074</v>
      </c>
    </row>
    <row r="773" spans="1:2" ht="15.75" customHeight="1" x14ac:dyDescent="0.25">
      <c r="A773" s="6">
        <v>409001</v>
      </c>
      <c r="B773" s="10" t="s">
        <v>805</v>
      </c>
    </row>
    <row r="774" spans="1:2" ht="15.75" customHeight="1" x14ac:dyDescent="0.25">
      <c r="A774" s="6">
        <v>409009</v>
      </c>
      <c r="B774" s="10" t="s">
        <v>1602</v>
      </c>
    </row>
    <row r="775" spans="1:2" ht="15.75" customHeight="1" x14ac:dyDescent="0.25">
      <c r="A775" s="6">
        <v>409013</v>
      </c>
      <c r="B775" s="10" t="s">
        <v>826</v>
      </c>
    </row>
    <row r="776" spans="1:2" ht="15.75" customHeight="1" x14ac:dyDescent="0.25">
      <c r="A776" s="6">
        <v>409016</v>
      </c>
      <c r="B776" s="10" t="s">
        <v>971</v>
      </c>
    </row>
    <row r="777" spans="1:2" ht="15.75" customHeight="1" x14ac:dyDescent="0.25">
      <c r="A777" s="6">
        <v>409018</v>
      </c>
      <c r="B777" s="10" t="s">
        <v>870</v>
      </c>
    </row>
    <row r="778" spans="1:2" ht="15.75" customHeight="1" x14ac:dyDescent="0.25">
      <c r="A778" s="6">
        <v>409019</v>
      </c>
      <c r="B778" s="10" t="s">
        <v>944</v>
      </c>
    </row>
    <row r="779" spans="1:2" ht="15.75" customHeight="1" x14ac:dyDescent="0.25">
      <c r="A779" s="6">
        <v>409022</v>
      </c>
      <c r="B779" s="10" t="s">
        <v>1097</v>
      </c>
    </row>
    <row r="780" spans="1:2" ht="15.75" customHeight="1" x14ac:dyDescent="0.25">
      <c r="A780" s="6">
        <v>409024</v>
      </c>
      <c r="B780" s="10" t="s">
        <v>1546</v>
      </c>
    </row>
    <row r="781" spans="1:2" ht="15.75" customHeight="1" x14ac:dyDescent="0.25">
      <c r="A781" s="6">
        <v>409025</v>
      </c>
      <c r="B781" s="10" t="s">
        <v>1100</v>
      </c>
    </row>
    <row r="782" spans="1:2" ht="15.75" customHeight="1" x14ac:dyDescent="0.25">
      <c r="A782" s="6">
        <v>409029</v>
      </c>
      <c r="B782" s="10" t="s">
        <v>997</v>
      </c>
    </row>
    <row r="783" spans="1:2" ht="15.75" customHeight="1" x14ac:dyDescent="0.25">
      <c r="A783" s="6">
        <v>409031</v>
      </c>
      <c r="B783" s="10" t="s">
        <v>1046</v>
      </c>
    </row>
    <row r="784" spans="1:2" ht="15.75" customHeight="1" x14ac:dyDescent="0.25">
      <c r="A784" s="6">
        <v>409033</v>
      </c>
      <c r="B784" s="10" t="s">
        <v>1260</v>
      </c>
    </row>
    <row r="785" spans="1:2" ht="15.75" customHeight="1" x14ac:dyDescent="0.25">
      <c r="A785" s="6">
        <v>210001</v>
      </c>
      <c r="B785" s="10" t="s">
        <v>1612</v>
      </c>
    </row>
    <row r="786" spans="1:2" ht="15.75" customHeight="1" x14ac:dyDescent="0.25">
      <c r="A786" s="6">
        <v>210002</v>
      </c>
      <c r="B786" s="10" t="s">
        <v>1280</v>
      </c>
    </row>
    <row r="787" spans="1:2" ht="15.75" customHeight="1" x14ac:dyDescent="0.25">
      <c r="A787" s="6">
        <v>210003</v>
      </c>
      <c r="B787" s="10" t="s">
        <v>1281</v>
      </c>
    </row>
    <row r="788" spans="1:2" ht="15.75" customHeight="1" x14ac:dyDescent="0.25">
      <c r="A788" s="6">
        <v>210004</v>
      </c>
      <c r="B788" s="10" t="s">
        <v>1282</v>
      </c>
    </row>
    <row r="789" spans="1:2" ht="15.75" customHeight="1" x14ac:dyDescent="0.25">
      <c r="A789" s="6">
        <v>210005</v>
      </c>
      <c r="B789" s="10" t="s">
        <v>1283</v>
      </c>
    </row>
    <row r="790" spans="1:2" ht="15.75" customHeight="1" x14ac:dyDescent="0.25">
      <c r="A790" s="6">
        <v>210006</v>
      </c>
      <c r="B790" s="10" t="s">
        <v>1284</v>
      </c>
    </row>
    <row r="791" spans="1:2" ht="15.75" customHeight="1" x14ac:dyDescent="0.25">
      <c r="A791" s="6">
        <v>210007</v>
      </c>
      <c r="B791" s="10" t="s">
        <v>1285</v>
      </c>
    </row>
    <row r="792" spans="1:2" ht="15.75" customHeight="1" x14ac:dyDescent="0.25">
      <c r="A792" s="6">
        <v>210008</v>
      </c>
      <c r="B792" s="10" t="s">
        <v>1286</v>
      </c>
    </row>
    <row r="793" spans="1:2" ht="15.75" customHeight="1" x14ac:dyDescent="0.25">
      <c r="A793" s="6">
        <v>210009</v>
      </c>
      <c r="B793" s="10" t="s">
        <v>1287</v>
      </c>
    </row>
    <row r="794" spans="1:2" ht="15.75" customHeight="1" x14ac:dyDescent="0.25">
      <c r="A794" s="6">
        <v>210010</v>
      </c>
      <c r="B794" s="10" t="s">
        <v>1288</v>
      </c>
    </row>
    <row r="795" spans="1:2" ht="15.75" customHeight="1" x14ac:dyDescent="0.25">
      <c r="A795" s="6">
        <v>210011</v>
      </c>
      <c r="B795" s="10" t="s">
        <v>1289</v>
      </c>
    </row>
    <row r="796" spans="1:2" ht="15.75" customHeight="1" x14ac:dyDescent="0.25">
      <c r="A796" s="6">
        <v>210012</v>
      </c>
      <c r="B796" s="10" t="s">
        <v>1290</v>
      </c>
    </row>
    <row r="797" spans="1:2" ht="15.75" customHeight="1" x14ac:dyDescent="0.25">
      <c r="A797" s="6">
        <v>210013</v>
      </c>
      <c r="B797" s="10" t="s">
        <v>970</v>
      </c>
    </row>
    <row r="798" spans="1:2" ht="15.75" customHeight="1" x14ac:dyDescent="0.25">
      <c r="A798" s="6">
        <v>210014</v>
      </c>
      <c r="B798" s="10" t="s">
        <v>1556</v>
      </c>
    </row>
    <row r="799" spans="1:2" ht="15.75" customHeight="1" x14ac:dyDescent="0.25">
      <c r="A799" s="6">
        <v>210015</v>
      </c>
      <c r="B799" s="10" t="s">
        <v>869</v>
      </c>
    </row>
    <row r="800" spans="1:2" ht="15.75" customHeight="1" x14ac:dyDescent="0.25">
      <c r="A800" s="6">
        <v>210016</v>
      </c>
      <c r="B800" s="10" t="s">
        <v>1347</v>
      </c>
    </row>
    <row r="801" spans="1:2" ht="15.75" customHeight="1" x14ac:dyDescent="0.25">
      <c r="A801" s="6">
        <v>210017</v>
      </c>
      <c r="B801" s="10" t="s">
        <v>1374</v>
      </c>
    </row>
    <row r="802" spans="1:2" ht="15.75" customHeight="1" x14ac:dyDescent="0.25">
      <c r="A802" s="6">
        <v>210018</v>
      </c>
      <c r="B802" s="10" t="s">
        <v>978</v>
      </c>
    </row>
    <row r="803" spans="1:2" ht="15.75" customHeight="1" x14ac:dyDescent="0.25">
      <c r="A803" s="6">
        <v>210019</v>
      </c>
      <c r="B803" s="10" t="s">
        <v>966</v>
      </c>
    </row>
    <row r="804" spans="1:2" ht="15.75" customHeight="1" x14ac:dyDescent="0.25">
      <c r="A804" s="6">
        <v>210020</v>
      </c>
      <c r="B804" s="10" t="s">
        <v>1578</v>
      </c>
    </row>
    <row r="805" spans="1:2" ht="15.75" customHeight="1" x14ac:dyDescent="0.25">
      <c r="A805" s="6">
        <v>210021</v>
      </c>
      <c r="B805" s="10" t="s">
        <v>864</v>
      </c>
    </row>
    <row r="806" spans="1:2" ht="15.75" customHeight="1" x14ac:dyDescent="0.25">
      <c r="A806" s="6">
        <v>210022</v>
      </c>
      <c r="B806" s="10" t="s">
        <v>867</v>
      </c>
    </row>
    <row r="807" spans="1:2" ht="15.75" customHeight="1" x14ac:dyDescent="0.25">
      <c r="A807" s="6">
        <v>210023</v>
      </c>
      <c r="B807" s="10" t="s">
        <v>1052</v>
      </c>
    </row>
    <row r="808" spans="1:2" ht="15.75" customHeight="1" x14ac:dyDescent="0.25">
      <c r="A808" s="6">
        <v>210024</v>
      </c>
      <c r="B808" s="10" t="s">
        <v>1358</v>
      </c>
    </row>
    <row r="809" spans="1:2" ht="15.75" customHeight="1" x14ac:dyDescent="0.25">
      <c r="A809" s="6">
        <v>210025</v>
      </c>
      <c r="B809" s="10" t="s">
        <v>866</v>
      </c>
    </row>
    <row r="810" spans="1:2" ht="15.75" customHeight="1" x14ac:dyDescent="0.25">
      <c r="A810" s="6">
        <v>211001</v>
      </c>
      <c r="B810" s="10" t="s">
        <v>1349</v>
      </c>
    </row>
    <row r="811" spans="1:2" ht="15.75" customHeight="1" x14ac:dyDescent="0.25">
      <c r="A811" s="6">
        <v>211002</v>
      </c>
      <c r="B811" s="10" t="s">
        <v>697</v>
      </c>
    </row>
    <row r="812" spans="1:2" ht="15.75" customHeight="1" x14ac:dyDescent="0.25">
      <c r="A812" s="6">
        <v>211003</v>
      </c>
      <c r="B812" s="10" t="s">
        <v>1005</v>
      </c>
    </row>
    <row r="813" spans="1:2" ht="15.75" customHeight="1" x14ac:dyDescent="0.25">
      <c r="A813" s="6">
        <v>211004</v>
      </c>
      <c r="B813" s="10" t="s">
        <v>1350</v>
      </c>
    </row>
    <row r="814" spans="1:2" ht="15.75" customHeight="1" x14ac:dyDescent="0.25">
      <c r="A814" s="6">
        <v>211005</v>
      </c>
      <c r="B814" s="10" t="s">
        <v>1053</v>
      </c>
    </row>
    <row r="815" spans="1:2" ht="15.75" customHeight="1" x14ac:dyDescent="0.25">
      <c r="A815" s="6">
        <v>311001</v>
      </c>
      <c r="B815" s="10" t="s">
        <v>673</v>
      </c>
    </row>
    <row r="816" spans="1:2" ht="15.75" customHeight="1" x14ac:dyDescent="0.25">
      <c r="A816" s="6">
        <v>212001</v>
      </c>
      <c r="B816" s="10" t="s">
        <v>1231</v>
      </c>
    </row>
    <row r="817" spans="1:2" ht="15.75" customHeight="1" x14ac:dyDescent="0.25">
      <c r="A817" s="6">
        <v>212002</v>
      </c>
      <c r="B817" s="10" t="s">
        <v>910</v>
      </c>
    </row>
    <row r="818" spans="1:2" ht="15.75" customHeight="1" x14ac:dyDescent="0.25">
      <c r="A818" s="6">
        <v>212003</v>
      </c>
      <c r="B818" s="10" t="s">
        <v>856</v>
      </c>
    </row>
    <row r="819" spans="1:2" ht="15.75" customHeight="1" x14ac:dyDescent="0.25">
      <c r="A819" s="6">
        <v>212004</v>
      </c>
      <c r="B819" s="10" t="s">
        <v>1257</v>
      </c>
    </row>
    <row r="820" spans="1:2" ht="15.75" customHeight="1" x14ac:dyDescent="0.25">
      <c r="A820" s="6">
        <v>212005</v>
      </c>
      <c r="B820" s="10" t="s">
        <v>1294</v>
      </c>
    </row>
    <row r="821" spans="1:2" ht="15.75" customHeight="1" x14ac:dyDescent="0.25">
      <c r="A821" s="6">
        <v>212006</v>
      </c>
      <c r="B821" s="10" t="s">
        <v>991</v>
      </c>
    </row>
    <row r="822" spans="1:2" ht="15.75" customHeight="1" x14ac:dyDescent="0.25">
      <c r="A822" s="6">
        <v>212007</v>
      </c>
      <c r="B822" s="10" t="s">
        <v>865</v>
      </c>
    </row>
    <row r="823" spans="1:2" ht="15.75" customHeight="1" x14ac:dyDescent="0.25">
      <c r="A823" s="6">
        <v>212008</v>
      </c>
      <c r="B823" s="10" t="s">
        <v>947</v>
      </c>
    </row>
    <row r="824" spans="1:2" ht="15.75" customHeight="1" x14ac:dyDescent="0.25">
      <c r="A824" s="6">
        <v>212009</v>
      </c>
      <c r="B824" s="10" t="s">
        <v>904</v>
      </c>
    </row>
    <row r="825" spans="1:2" ht="15.75" customHeight="1" x14ac:dyDescent="0.25">
      <c r="A825" s="6">
        <v>212010</v>
      </c>
      <c r="B825" s="10" t="s">
        <v>945</v>
      </c>
    </row>
    <row r="826" spans="1:2" ht="15.75" customHeight="1" x14ac:dyDescent="0.25">
      <c r="A826" s="6">
        <v>212011</v>
      </c>
      <c r="B826" s="10" t="s">
        <v>1020</v>
      </c>
    </row>
    <row r="827" spans="1:2" ht="15.75" customHeight="1" x14ac:dyDescent="0.25">
      <c r="A827" s="6">
        <v>212012</v>
      </c>
      <c r="B827" s="10" t="s">
        <v>1296</v>
      </c>
    </row>
    <row r="828" spans="1:2" ht="15.75" customHeight="1" x14ac:dyDescent="0.25">
      <c r="A828" s="6">
        <v>212013</v>
      </c>
      <c r="B828" s="10" t="s">
        <v>1261</v>
      </c>
    </row>
    <row r="829" spans="1:2" ht="15.75" customHeight="1" x14ac:dyDescent="0.25">
      <c r="A829" s="6">
        <v>412001</v>
      </c>
      <c r="B829" s="10" t="s">
        <v>1231</v>
      </c>
    </row>
    <row r="830" spans="1:2" ht="15.75" customHeight="1" x14ac:dyDescent="0.25">
      <c r="A830" s="6">
        <v>314013</v>
      </c>
      <c r="B830" s="10" t="s">
        <v>1153</v>
      </c>
    </row>
    <row r="831" spans="1:2" ht="15.75" customHeight="1" x14ac:dyDescent="0.25">
      <c r="A831" s="6">
        <v>314014</v>
      </c>
      <c r="B831" s="10" t="s">
        <v>1154</v>
      </c>
    </row>
    <row r="832" spans="1:2" ht="15.75" customHeight="1" x14ac:dyDescent="0.25">
      <c r="A832" s="6">
        <v>314015</v>
      </c>
      <c r="B832" s="10" t="s">
        <v>1156</v>
      </c>
    </row>
    <row r="833" spans="1:2" ht="15.75" customHeight="1" x14ac:dyDescent="0.25">
      <c r="A833" s="6">
        <v>314016</v>
      </c>
      <c r="B833" s="10" t="s">
        <v>1155</v>
      </c>
    </row>
    <row r="834" spans="1:2" ht="15.75" customHeight="1" x14ac:dyDescent="0.25">
      <c r="A834" s="6">
        <v>314017</v>
      </c>
      <c r="B834" s="10" t="s">
        <v>1152</v>
      </c>
    </row>
    <row r="835" spans="1:2" ht="15.75" customHeight="1" x14ac:dyDescent="0.25">
      <c r="A835" s="6">
        <v>314041</v>
      </c>
      <c r="B835" s="10" t="s">
        <v>1151</v>
      </c>
    </row>
    <row r="836" spans="1:2" ht="15.75" customHeight="1" x14ac:dyDescent="0.25">
      <c r="A836" s="6">
        <v>215001</v>
      </c>
      <c r="B836" s="10" t="s">
        <v>1098</v>
      </c>
    </row>
    <row r="837" spans="1:2" ht="15.75" customHeight="1" x14ac:dyDescent="0.25">
      <c r="A837" s="6">
        <v>216001</v>
      </c>
      <c r="B837" s="10" t="s">
        <v>1234</v>
      </c>
    </row>
    <row r="838" spans="1:2" ht="15.75" customHeight="1" x14ac:dyDescent="0.25">
      <c r="A838" s="6">
        <v>216002</v>
      </c>
      <c r="B838" s="10" t="s">
        <v>1235</v>
      </c>
    </row>
    <row r="839" spans="1:2" ht="15.75" customHeight="1" x14ac:dyDescent="0.25">
      <c r="A839" s="6">
        <v>216003</v>
      </c>
      <c r="B839" s="10" t="s">
        <v>1233</v>
      </c>
    </row>
    <row r="840" spans="1:2" ht="15.75" customHeight="1" x14ac:dyDescent="0.25">
      <c r="A840" s="6">
        <v>216004</v>
      </c>
      <c r="B840" s="10" t="s">
        <v>905</v>
      </c>
    </row>
    <row r="841" spans="1:2" ht="15.75" customHeight="1" x14ac:dyDescent="0.25">
      <c r="A841" s="6">
        <v>216005</v>
      </c>
      <c r="B841" s="10" t="s">
        <v>1025</v>
      </c>
    </row>
    <row r="842" spans="1:2" ht="15.75" customHeight="1" x14ac:dyDescent="0.25">
      <c r="A842" s="6">
        <v>216006</v>
      </c>
      <c r="B842" s="10" t="s">
        <v>1115</v>
      </c>
    </row>
    <row r="843" spans="1:2" ht="15.75" customHeight="1" x14ac:dyDescent="0.25">
      <c r="A843" s="6">
        <v>216007</v>
      </c>
      <c r="B843" s="10" t="s">
        <v>1059</v>
      </c>
    </row>
    <row r="844" spans="1:2" ht="15.75" customHeight="1" x14ac:dyDescent="0.25">
      <c r="A844" s="6">
        <v>216008</v>
      </c>
      <c r="B844" s="10" t="s">
        <v>972</v>
      </c>
    </row>
    <row r="845" spans="1:2" ht="15.75" customHeight="1" x14ac:dyDescent="0.25">
      <c r="A845" s="6">
        <v>216009</v>
      </c>
      <c r="B845" s="10" t="s">
        <v>1292</v>
      </c>
    </row>
    <row r="846" spans="1:2" ht="15.75" customHeight="1" x14ac:dyDescent="0.25">
      <c r="A846" s="6">
        <v>216010</v>
      </c>
      <c r="B846" s="10" t="s">
        <v>1291</v>
      </c>
    </row>
    <row r="847" spans="1:2" ht="15.75" customHeight="1" x14ac:dyDescent="0.25">
      <c r="A847" s="6">
        <v>216011</v>
      </c>
      <c r="B847" s="10" t="s">
        <v>1302</v>
      </c>
    </row>
    <row r="848" spans="1:2" ht="15.75" customHeight="1" x14ac:dyDescent="0.25">
      <c r="A848" s="6">
        <v>216012</v>
      </c>
      <c r="B848" s="10" t="s">
        <v>1303</v>
      </c>
    </row>
    <row r="849" spans="1:2" ht="15.75" customHeight="1" x14ac:dyDescent="0.25">
      <c r="A849" s="6">
        <v>216013</v>
      </c>
      <c r="B849" s="10" t="s">
        <v>1531</v>
      </c>
    </row>
    <row r="850" spans="1:2" ht="15.75" customHeight="1" x14ac:dyDescent="0.25">
      <c r="A850" s="6">
        <v>216014</v>
      </c>
      <c r="B850" s="10" t="s">
        <v>1586</v>
      </c>
    </row>
    <row r="851" spans="1:2" ht="15.75" customHeight="1" x14ac:dyDescent="0.25">
      <c r="A851" s="6">
        <v>216015</v>
      </c>
      <c r="B851" s="10" t="s">
        <v>1599</v>
      </c>
    </row>
    <row r="852" spans="1:2" ht="15.75" customHeight="1" x14ac:dyDescent="0.25">
      <c r="A852" s="6">
        <v>216016</v>
      </c>
      <c r="B852" s="10" t="s">
        <v>1598</v>
      </c>
    </row>
    <row r="853" spans="1:2" ht="15.75" customHeight="1" x14ac:dyDescent="0.25">
      <c r="A853" s="6">
        <v>216017</v>
      </c>
      <c r="B853" s="10" t="s">
        <v>1017</v>
      </c>
    </row>
    <row r="854" spans="1:2" ht="15.75" customHeight="1" x14ac:dyDescent="0.25">
      <c r="A854" s="6">
        <v>216018</v>
      </c>
      <c r="B854" s="10" t="s">
        <v>1016</v>
      </c>
    </row>
    <row r="855" spans="1:2" ht="15.75" customHeight="1" x14ac:dyDescent="0.25">
      <c r="A855" s="6">
        <v>216019</v>
      </c>
      <c r="B855" s="10" t="s">
        <v>1229</v>
      </c>
    </row>
    <row r="856" spans="1:2" ht="15.75" customHeight="1" x14ac:dyDescent="0.25">
      <c r="A856" s="6">
        <v>216020</v>
      </c>
      <c r="B856" s="10" t="s">
        <v>1596</v>
      </c>
    </row>
    <row r="857" spans="1:2" ht="15.75" customHeight="1" x14ac:dyDescent="0.25">
      <c r="A857" s="6">
        <v>216021</v>
      </c>
      <c r="B857" s="10" t="s">
        <v>1597</v>
      </c>
    </row>
    <row r="858" spans="1:2" ht="15.75" customHeight="1" x14ac:dyDescent="0.25">
      <c r="A858" s="6">
        <v>316001</v>
      </c>
      <c r="B858" s="10" t="s">
        <v>103</v>
      </c>
    </row>
    <row r="859" spans="1:2" ht="15.75" customHeight="1" x14ac:dyDescent="0.25">
      <c r="A859" s="6">
        <v>316002</v>
      </c>
      <c r="B859" s="10" t="s">
        <v>1562</v>
      </c>
    </row>
    <row r="860" spans="1:2" ht="15.75" customHeight="1" x14ac:dyDescent="0.25">
      <c r="A860" s="6">
        <v>316003</v>
      </c>
      <c r="B860" s="10" t="s">
        <v>1589</v>
      </c>
    </row>
    <row r="861" spans="1:2" ht="15.75" customHeight="1" x14ac:dyDescent="0.25">
      <c r="A861" s="6">
        <v>316004</v>
      </c>
      <c r="B861" s="10" t="s">
        <v>1297</v>
      </c>
    </row>
    <row r="862" spans="1:2" ht="15.75" customHeight="1" x14ac:dyDescent="0.25">
      <c r="A862" s="6">
        <v>316005</v>
      </c>
      <c r="B862" s="10" t="s">
        <v>1024</v>
      </c>
    </row>
    <row r="863" spans="1:2" ht="15.75" customHeight="1" x14ac:dyDescent="0.25">
      <c r="A863" s="6">
        <v>217001</v>
      </c>
      <c r="B863" s="10" t="s">
        <v>946</v>
      </c>
    </row>
    <row r="864" spans="1:2" ht="15.75" customHeight="1" x14ac:dyDescent="0.25">
      <c r="A864" s="6">
        <v>217002</v>
      </c>
      <c r="B864" s="10" t="s">
        <v>1227</v>
      </c>
    </row>
    <row r="865" spans="1:2" ht="15.75" customHeight="1" x14ac:dyDescent="0.25">
      <c r="A865" s="6">
        <v>218001</v>
      </c>
      <c r="B865" s="10" t="s">
        <v>668</v>
      </c>
    </row>
    <row r="866" spans="1:2" ht="15.75" customHeight="1" x14ac:dyDescent="0.25">
      <c r="A866" s="6">
        <v>219001</v>
      </c>
      <c r="B866" s="10" t="s">
        <v>943</v>
      </c>
    </row>
    <row r="867" spans="1:2" ht="15.75" customHeight="1" x14ac:dyDescent="0.25">
      <c r="A867" s="6">
        <v>219002</v>
      </c>
      <c r="B867" s="10" t="s">
        <v>852</v>
      </c>
    </row>
    <row r="868" spans="1:2" ht="15.75" customHeight="1" x14ac:dyDescent="0.25">
      <c r="A868" s="6">
        <v>21001</v>
      </c>
      <c r="B868" s="10" t="s">
        <v>422</v>
      </c>
    </row>
    <row r="869" spans="1:2" ht="15.75" customHeight="1" x14ac:dyDescent="0.25">
      <c r="A869" s="6">
        <v>21002</v>
      </c>
      <c r="B869" s="10" t="s">
        <v>1440</v>
      </c>
    </row>
    <row r="870" spans="1:2" ht="15.75" customHeight="1" x14ac:dyDescent="0.25">
      <c r="A870" s="6">
        <v>21003</v>
      </c>
      <c r="B870" s="10" t="s">
        <v>115</v>
      </c>
    </row>
    <row r="871" spans="1:2" ht="15.75" customHeight="1" x14ac:dyDescent="0.25">
      <c r="A871" s="6">
        <v>21004</v>
      </c>
      <c r="B871" s="10" t="s">
        <v>1040</v>
      </c>
    </row>
    <row r="872" spans="1:2" ht="15.75" customHeight="1" x14ac:dyDescent="0.25">
      <c r="A872" s="6">
        <v>121005</v>
      </c>
      <c r="B872" s="10" t="s">
        <v>1040</v>
      </c>
    </row>
    <row r="873" spans="1:2" ht="15.75" customHeight="1" x14ac:dyDescent="0.25">
      <c r="A873" s="6">
        <v>121006</v>
      </c>
      <c r="B873" s="10" t="s">
        <v>1574</v>
      </c>
    </row>
    <row r="874" spans="1:2" ht="15.75" customHeight="1" x14ac:dyDescent="0.25">
      <c r="A874" s="6">
        <v>221007</v>
      </c>
      <c r="B874" s="10" t="s">
        <v>1380</v>
      </c>
    </row>
    <row r="875" spans="1:2" ht="15.75" customHeight="1" x14ac:dyDescent="0.25">
      <c r="A875" s="6">
        <v>222001</v>
      </c>
      <c r="B875" s="10" t="s">
        <v>1269</v>
      </c>
    </row>
    <row r="876" spans="1:2" ht="15.75" customHeight="1" x14ac:dyDescent="0.25">
      <c r="A876" s="6">
        <v>222002</v>
      </c>
      <c r="B876" s="10" t="s">
        <v>1270</v>
      </c>
    </row>
    <row r="877" spans="1:2" ht="15.75" customHeight="1" x14ac:dyDescent="0.25">
      <c r="A877" s="6">
        <v>222003</v>
      </c>
      <c r="B877" s="10" t="s">
        <v>1271</v>
      </c>
    </row>
    <row r="878" spans="1:2" ht="15.75" customHeight="1" x14ac:dyDescent="0.25">
      <c r="A878" s="6">
        <v>222004</v>
      </c>
      <c r="B878" s="10" t="s">
        <v>1272</v>
      </c>
    </row>
    <row r="879" spans="1:2" ht="15.75" customHeight="1" x14ac:dyDescent="0.25">
      <c r="A879" s="6">
        <v>222005</v>
      </c>
      <c r="B879" s="10" t="s">
        <v>1273</v>
      </c>
    </row>
    <row r="880" spans="1:2" ht="15.75" customHeight="1" x14ac:dyDescent="0.25">
      <c r="A880" s="6">
        <v>222006</v>
      </c>
      <c r="B880" s="10" t="s">
        <v>1274</v>
      </c>
    </row>
    <row r="881" spans="1:2" ht="15.75" customHeight="1" x14ac:dyDescent="0.25">
      <c r="A881" s="6">
        <v>222007</v>
      </c>
      <c r="B881" s="10" t="s">
        <v>1275</v>
      </c>
    </row>
    <row r="882" spans="1:2" ht="15.75" customHeight="1" x14ac:dyDescent="0.25">
      <c r="A882" s="6">
        <v>222008</v>
      </c>
      <c r="B882" s="10" t="s">
        <v>1276</v>
      </c>
    </row>
    <row r="883" spans="1:2" ht="15.75" customHeight="1" x14ac:dyDescent="0.25">
      <c r="A883" s="6">
        <v>222009</v>
      </c>
      <c r="B883" s="10" t="s">
        <v>1277</v>
      </c>
    </row>
    <row r="884" spans="1:2" ht="15.75" customHeight="1" x14ac:dyDescent="0.25">
      <c r="A884" s="6">
        <v>222010</v>
      </c>
      <c r="B884" s="10" t="s">
        <v>1278</v>
      </c>
    </row>
    <row r="885" spans="1:2" ht="15.75" customHeight="1" x14ac:dyDescent="0.25">
      <c r="A885" s="6">
        <v>222011</v>
      </c>
      <c r="B885" s="10" t="s">
        <v>969</v>
      </c>
    </row>
    <row r="886" spans="1:2" ht="15.75" customHeight="1" x14ac:dyDescent="0.25">
      <c r="A886" s="6">
        <v>222012</v>
      </c>
      <c r="B886" s="10" t="s">
        <v>1556</v>
      </c>
    </row>
    <row r="887" spans="1:2" ht="15.75" customHeight="1" x14ac:dyDescent="0.25">
      <c r="A887" s="6">
        <v>222013</v>
      </c>
      <c r="B887" s="10" t="s">
        <v>868</v>
      </c>
    </row>
    <row r="888" spans="1:2" ht="15.75" customHeight="1" x14ac:dyDescent="0.25">
      <c r="A888" s="6">
        <v>222014</v>
      </c>
      <c r="B888" s="10" t="s">
        <v>1347</v>
      </c>
    </row>
    <row r="889" spans="1:2" ht="15.75" customHeight="1" x14ac:dyDescent="0.25">
      <c r="A889" s="6">
        <v>222015</v>
      </c>
      <c r="B889" s="10" t="s">
        <v>966</v>
      </c>
    </row>
    <row r="890" spans="1:2" ht="15.75" customHeight="1" x14ac:dyDescent="0.25">
      <c r="A890" s="6">
        <v>222016</v>
      </c>
      <c r="B890" s="10" t="s">
        <v>1578</v>
      </c>
    </row>
    <row r="891" spans="1:2" ht="15.75" customHeight="1" x14ac:dyDescent="0.25">
      <c r="A891" s="6">
        <v>222017</v>
      </c>
      <c r="B891" s="10" t="s">
        <v>864</v>
      </c>
    </row>
    <row r="892" spans="1:2" ht="15.75" customHeight="1" x14ac:dyDescent="0.25">
      <c r="A892" s="6">
        <v>222018</v>
      </c>
      <c r="B892" s="10" t="s">
        <v>1052</v>
      </c>
    </row>
    <row r="893" spans="1:2" ht="15.75" customHeight="1" x14ac:dyDescent="0.25">
      <c r="A893" s="6">
        <v>222019</v>
      </c>
      <c r="B893" s="10" t="s">
        <v>1358</v>
      </c>
    </row>
    <row r="894" spans="1:2" ht="15.75" customHeight="1" x14ac:dyDescent="0.25">
      <c r="A894" s="6">
        <v>222020</v>
      </c>
      <c r="B894" s="10" t="s">
        <v>1612</v>
      </c>
    </row>
    <row r="895" spans="1:2" ht="15.75" customHeight="1" x14ac:dyDescent="0.25">
      <c r="A895" s="6">
        <v>222021</v>
      </c>
      <c r="B895" s="10" t="s">
        <v>867</v>
      </c>
    </row>
    <row r="896" spans="1:2" ht="15.75" customHeight="1" x14ac:dyDescent="0.25">
      <c r="A896" s="6">
        <v>222022</v>
      </c>
      <c r="B896" s="10" t="s">
        <v>1375</v>
      </c>
    </row>
    <row r="897" spans="1:2" ht="15.75" customHeight="1" x14ac:dyDescent="0.25">
      <c r="A897" s="6">
        <v>222023</v>
      </c>
      <c r="B897" s="10" t="s">
        <v>866</v>
      </c>
    </row>
    <row r="898" spans="1:2" ht="15.75" customHeight="1" x14ac:dyDescent="0.25">
      <c r="A898" s="6">
        <v>223001</v>
      </c>
      <c r="B898" s="10" t="s">
        <v>1037</v>
      </c>
    </row>
    <row r="899" spans="1:2" ht="15.75" customHeight="1" x14ac:dyDescent="0.25">
      <c r="A899" s="6">
        <v>223002</v>
      </c>
      <c r="B899" s="10" t="s">
        <v>1034</v>
      </c>
    </row>
    <row r="900" spans="1:2" ht="15.75" customHeight="1" x14ac:dyDescent="0.25">
      <c r="A900" s="6">
        <v>223003</v>
      </c>
      <c r="B900" s="10" t="s">
        <v>1035</v>
      </c>
    </row>
    <row r="901" spans="1:2" ht="15.75" customHeight="1" x14ac:dyDescent="0.25">
      <c r="A901" s="6">
        <v>223004</v>
      </c>
      <c r="B901" s="10" t="s">
        <v>1036</v>
      </c>
    </row>
    <row r="902" spans="1:2" ht="15.75" customHeight="1" x14ac:dyDescent="0.25">
      <c r="A902" s="6">
        <v>223005</v>
      </c>
      <c r="B902" s="10" t="s">
        <v>1038</v>
      </c>
    </row>
    <row r="903" spans="1:2" ht="15.75" customHeight="1" x14ac:dyDescent="0.25">
      <c r="A903" s="6">
        <v>224001</v>
      </c>
      <c r="B903" s="10" t="s">
        <v>1221</v>
      </c>
    </row>
    <row r="904" spans="1:2" ht="15.75" customHeight="1" x14ac:dyDescent="0.25">
      <c r="A904" s="6">
        <v>224002</v>
      </c>
      <c r="B904" s="10" t="s">
        <v>1220</v>
      </c>
    </row>
    <row r="905" spans="1:2" ht="15.75" customHeight="1" x14ac:dyDescent="0.25">
      <c r="A905" s="6">
        <v>25001</v>
      </c>
      <c r="B905" s="10" t="s">
        <v>1371</v>
      </c>
    </row>
    <row r="906" spans="1:2" ht="15.75" customHeight="1" x14ac:dyDescent="0.25">
      <c r="A906" s="6">
        <v>25002</v>
      </c>
      <c r="B906" s="10" t="s">
        <v>1370</v>
      </c>
    </row>
    <row r="907" spans="1:2" ht="15.75" customHeight="1" x14ac:dyDescent="0.25">
      <c r="A907" s="6">
        <v>25003</v>
      </c>
      <c r="B907" s="10" t="s">
        <v>1373</v>
      </c>
    </row>
    <row r="908" spans="1:2" ht="15.75" customHeight="1" x14ac:dyDescent="0.25">
      <c r="A908" s="6">
        <v>25004</v>
      </c>
      <c r="B908" s="10" t="s">
        <v>1372</v>
      </c>
    </row>
    <row r="909" spans="1:2" ht="15.75" customHeight="1" x14ac:dyDescent="0.25">
      <c r="A909" s="6">
        <v>26020</v>
      </c>
      <c r="B909" s="10" t="s">
        <v>1415</v>
      </c>
    </row>
    <row r="910" spans="1:2" ht="15.75" customHeight="1" x14ac:dyDescent="0.25">
      <c r="A910" s="6">
        <v>26021</v>
      </c>
      <c r="B910" s="10" t="s">
        <v>1419</v>
      </c>
    </row>
    <row r="911" spans="1:2" ht="15.75" customHeight="1" x14ac:dyDescent="0.25">
      <c r="A911" s="6">
        <v>26022</v>
      </c>
      <c r="B911" s="10" t="s">
        <v>1416</v>
      </c>
    </row>
    <row r="912" spans="1:2" ht="15.75" customHeight="1" x14ac:dyDescent="0.25">
      <c r="A912" s="6">
        <v>26023</v>
      </c>
      <c r="B912" s="10" t="s">
        <v>1418</v>
      </c>
    </row>
    <row r="913" spans="1:2" ht="15.75" customHeight="1" x14ac:dyDescent="0.25">
      <c r="A913" s="6">
        <v>26024</v>
      </c>
      <c r="B913" s="10" t="s">
        <v>1422</v>
      </c>
    </row>
    <row r="914" spans="1:2" ht="15.75" customHeight="1" x14ac:dyDescent="0.25">
      <c r="A914" s="6">
        <v>26025</v>
      </c>
      <c r="B914" s="10" t="s">
        <v>1425</v>
      </c>
    </row>
    <row r="915" spans="1:2" ht="15.75" customHeight="1" x14ac:dyDescent="0.25">
      <c r="A915" s="6">
        <v>26026</v>
      </c>
      <c r="B915" s="10" t="s">
        <v>1423</v>
      </c>
    </row>
    <row r="916" spans="1:2" ht="15.75" customHeight="1" x14ac:dyDescent="0.25">
      <c r="A916" s="6">
        <v>26027</v>
      </c>
      <c r="B916" s="10" t="s">
        <v>1424</v>
      </c>
    </row>
    <row r="917" spans="1:2" ht="15.75" customHeight="1" x14ac:dyDescent="0.25">
      <c r="A917" s="6">
        <v>26028</v>
      </c>
      <c r="B917" s="10" t="s">
        <v>1027</v>
      </c>
    </row>
    <row r="918" spans="1:2" ht="15.75" customHeight="1" x14ac:dyDescent="0.25">
      <c r="A918" s="6">
        <v>26029</v>
      </c>
      <c r="B918" s="10" t="s">
        <v>1028</v>
      </c>
    </row>
    <row r="919" spans="1:2" ht="15.75" customHeight="1" x14ac:dyDescent="0.25">
      <c r="A919" s="6">
        <v>26030</v>
      </c>
      <c r="B919" s="10" t="s">
        <v>1030</v>
      </c>
    </row>
    <row r="920" spans="1:2" ht="15.75" customHeight="1" x14ac:dyDescent="0.25">
      <c r="A920" s="6">
        <v>26031</v>
      </c>
      <c r="B920" s="10" t="s">
        <v>1031</v>
      </c>
    </row>
    <row r="921" spans="1:2" ht="15.75" customHeight="1" x14ac:dyDescent="0.25">
      <c r="A921" s="6">
        <v>26032</v>
      </c>
      <c r="B921" s="10" t="s">
        <v>1029</v>
      </c>
    </row>
    <row r="922" spans="1:2" ht="15.75" customHeight="1" x14ac:dyDescent="0.25">
      <c r="A922" s="6">
        <v>26033</v>
      </c>
      <c r="B922" s="10" t="s">
        <v>992</v>
      </c>
    </row>
    <row r="923" spans="1:2" ht="15.75" customHeight="1" x14ac:dyDescent="0.25">
      <c r="A923" s="6">
        <v>26034</v>
      </c>
      <c r="B923" s="10" t="s">
        <v>993</v>
      </c>
    </row>
    <row r="924" spans="1:2" ht="15.75" customHeight="1" x14ac:dyDescent="0.25">
      <c r="A924" s="6">
        <v>26035</v>
      </c>
      <c r="B924" s="10" t="s">
        <v>994</v>
      </c>
    </row>
    <row r="925" spans="1:2" ht="15.75" customHeight="1" x14ac:dyDescent="0.25">
      <c r="A925" s="6">
        <v>26036</v>
      </c>
      <c r="B925" s="10" t="s">
        <v>1421</v>
      </c>
    </row>
    <row r="926" spans="1:2" ht="15.75" customHeight="1" x14ac:dyDescent="0.25">
      <c r="A926" s="6">
        <v>26037</v>
      </c>
      <c r="B926" s="10" t="s">
        <v>1417</v>
      </c>
    </row>
    <row r="927" spans="1:2" ht="15.75" customHeight="1" x14ac:dyDescent="0.25">
      <c r="A927" s="6">
        <v>26038</v>
      </c>
      <c r="B927" s="10" t="s">
        <v>1420</v>
      </c>
    </row>
    <row r="928" spans="1:2" ht="15.75" customHeight="1" x14ac:dyDescent="0.25">
      <c r="A928" s="6">
        <v>26039</v>
      </c>
      <c r="B928" s="10" t="s">
        <v>1348</v>
      </c>
    </row>
    <row r="929" spans="1:2" ht="15.75" customHeight="1" x14ac:dyDescent="0.25">
      <c r="A929" s="6">
        <v>227001</v>
      </c>
      <c r="B929" s="10" t="s">
        <v>1391</v>
      </c>
    </row>
    <row r="930" spans="1:2" ht="15.75" customHeight="1" x14ac:dyDescent="0.25">
      <c r="A930" s="6">
        <v>227002</v>
      </c>
      <c r="B930" s="10" t="s">
        <v>1389</v>
      </c>
    </row>
    <row r="931" spans="1:2" ht="15.75" customHeight="1" x14ac:dyDescent="0.25">
      <c r="A931" s="6">
        <v>227003</v>
      </c>
      <c r="B931" s="10" t="s">
        <v>1387</v>
      </c>
    </row>
    <row r="932" spans="1:2" ht="15.75" customHeight="1" x14ac:dyDescent="0.25">
      <c r="A932" s="6">
        <v>227004</v>
      </c>
      <c r="B932" s="10" t="s">
        <v>1385</v>
      </c>
    </row>
    <row r="933" spans="1:2" ht="15.75" customHeight="1" x14ac:dyDescent="0.25">
      <c r="A933" s="6">
        <v>227005</v>
      </c>
      <c r="B933" s="10" t="s">
        <v>1390</v>
      </c>
    </row>
    <row r="934" spans="1:2" ht="15.75" customHeight="1" x14ac:dyDescent="0.25">
      <c r="A934" s="6">
        <v>227006</v>
      </c>
      <c r="B934" s="10" t="s">
        <v>1388</v>
      </c>
    </row>
    <row r="935" spans="1:2" ht="15.75" customHeight="1" x14ac:dyDescent="0.25">
      <c r="A935" s="6">
        <v>227007</v>
      </c>
      <c r="B935" s="10" t="s">
        <v>1386</v>
      </c>
    </row>
    <row r="936" spans="1:2" ht="15.75" customHeight="1" x14ac:dyDescent="0.25">
      <c r="A936" s="6">
        <v>227008</v>
      </c>
      <c r="B936" s="10" t="s">
        <v>1392</v>
      </c>
    </row>
    <row r="937" spans="1:2" ht="15.75" customHeight="1" x14ac:dyDescent="0.25">
      <c r="A937" s="6">
        <v>227009</v>
      </c>
      <c r="B937" s="10" t="s">
        <v>1396</v>
      </c>
    </row>
    <row r="938" spans="1:2" ht="15.75" customHeight="1" x14ac:dyDescent="0.25">
      <c r="A938" s="6">
        <v>28001</v>
      </c>
      <c r="B938" s="10" t="s">
        <v>1557</v>
      </c>
    </row>
    <row r="939" spans="1:2" ht="15.75" customHeight="1" x14ac:dyDescent="0.25">
      <c r="A939" s="6">
        <v>29001</v>
      </c>
      <c r="B939" s="10" t="s">
        <v>1436</v>
      </c>
    </row>
    <row r="940" spans="1:2" ht="15.75" customHeight="1" x14ac:dyDescent="0.25">
      <c r="A940" s="6">
        <v>30001</v>
      </c>
      <c r="B940" s="10" t="s">
        <v>1268</v>
      </c>
    </row>
    <row r="941" spans="1:2" ht="15.75" customHeight="1" x14ac:dyDescent="0.25">
      <c r="A941" s="6">
        <v>30002</v>
      </c>
      <c r="B941" s="10" t="s">
        <v>1267</v>
      </c>
    </row>
    <row r="942" spans="1:2" ht="15.75" customHeight="1" x14ac:dyDescent="0.25">
      <c r="A942" s="6">
        <v>32004</v>
      </c>
      <c r="B942" s="10" t="s">
        <v>911</v>
      </c>
    </row>
    <row r="943" spans="1:2" ht="15.75" customHeight="1" x14ac:dyDescent="0.25">
      <c r="A943" s="6">
        <v>32031</v>
      </c>
      <c r="B943" s="10" t="s">
        <v>1181</v>
      </c>
    </row>
    <row r="944" spans="1:2" ht="15.75" customHeight="1" x14ac:dyDescent="0.25">
      <c r="A944" s="6">
        <v>32032</v>
      </c>
      <c r="B944" s="10" t="s">
        <v>1188</v>
      </c>
    </row>
    <row r="945" spans="1:2" ht="15.75" customHeight="1" x14ac:dyDescent="0.25">
      <c r="A945" s="6">
        <v>32054</v>
      </c>
      <c r="B945" s="10" t="s">
        <v>1266</v>
      </c>
    </row>
    <row r="946" spans="1:2" ht="15.75" customHeight="1" x14ac:dyDescent="0.25">
      <c r="A946" s="6">
        <v>32057</v>
      </c>
      <c r="B946" s="10" t="s">
        <v>1433</v>
      </c>
    </row>
    <row r="947" spans="1:2" ht="15.75" customHeight="1" x14ac:dyDescent="0.25">
      <c r="A947" s="6">
        <v>32063</v>
      </c>
      <c r="B947" s="10" t="s">
        <v>1106</v>
      </c>
    </row>
    <row r="948" spans="1:2" ht="15.75" customHeight="1" x14ac:dyDescent="0.25">
      <c r="A948" s="6">
        <v>32068</v>
      </c>
      <c r="B948" s="10" t="s">
        <v>1002</v>
      </c>
    </row>
    <row r="949" spans="1:2" ht="15.75" customHeight="1" x14ac:dyDescent="0.25">
      <c r="A949" s="6">
        <v>32069</v>
      </c>
      <c r="B949" s="10" t="s">
        <v>1004</v>
      </c>
    </row>
    <row r="950" spans="1:2" ht="15.75" customHeight="1" x14ac:dyDescent="0.25">
      <c r="A950" s="6">
        <v>32070</v>
      </c>
      <c r="B950" s="10" t="s">
        <v>938</v>
      </c>
    </row>
    <row r="951" spans="1:2" ht="15.75" customHeight="1" x14ac:dyDescent="0.25">
      <c r="A951" s="6">
        <v>32071</v>
      </c>
      <c r="B951" s="10" t="s">
        <v>706</v>
      </c>
    </row>
    <row r="952" spans="1:2" ht="15.75" customHeight="1" x14ac:dyDescent="0.25">
      <c r="A952" s="6">
        <v>32072</v>
      </c>
      <c r="B952" s="10" t="s">
        <v>1207</v>
      </c>
    </row>
    <row r="953" spans="1:2" ht="15.75" customHeight="1" x14ac:dyDescent="0.25">
      <c r="A953" s="6">
        <v>32089</v>
      </c>
      <c r="B953" s="10" t="s">
        <v>964</v>
      </c>
    </row>
    <row r="954" spans="1:2" ht="15.75" customHeight="1" x14ac:dyDescent="0.25">
      <c r="A954" s="6">
        <v>32090</v>
      </c>
      <c r="B954" s="10" t="s">
        <v>965</v>
      </c>
    </row>
    <row r="955" spans="1:2" ht="15.75" customHeight="1" x14ac:dyDescent="0.25">
      <c r="A955" s="6">
        <v>32102</v>
      </c>
      <c r="B955" s="10" t="s">
        <v>855</v>
      </c>
    </row>
    <row r="956" spans="1:2" ht="15.75" customHeight="1" x14ac:dyDescent="0.25">
      <c r="A956" s="6">
        <v>32103</v>
      </c>
      <c r="B956" s="10" t="s">
        <v>757</v>
      </c>
    </row>
    <row r="957" spans="1:2" ht="15.75" customHeight="1" x14ac:dyDescent="0.25">
      <c r="A957" s="6">
        <v>32110</v>
      </c>
      <c r="B957" s="10" t="s">
        <v>1177</v>
      </c>
    </row>
    <row r="958" spans="1:2" ht="15.75" customHeight="1" x14ac:dyDescent="0.25">
      <c r="A958" s="6">
        <v>32119</v>
      </c>
      <c r="B958" s="10" t="s">
        <v>724</v>
      </c>
    </row>
    <row r="959" spans="1:2" ht="15.75" customHeight="1" x14ac:dyDescent="0.25">
      <c r="A959" s="6">
        <v>32120</v>
      </c>
      <c r="B959" s="10" t="s">
        <v>725</v>
      </c>
    </row>
    <row r="960" spans="1:2" ht="15.75" customHeight="1" x14ac:dyDescent="0.25">
      <c r="A960" s="6">
        <v>32122</v>
      </c>
      <c r="B960" s="10" t="s">
        <v>1205</v>
      </c>
    </row>
    <row r="961" spans="1:2" ht="15.75" customHeight="1" x14ac:dyDescent="0.25">
      <c r="A961" s="6">
        <v>32124</v>
      </c>
      <c r="B961" s="10" t="s">
        <v>1185</v>
      </c>
    </row>
    <row r="962" spans="1:2" ht="15.75" customHeight="1" x14ac:dyDescent="0.25">
      <c r="A962" s="6">
        <v>32128</v>
      </c>
      <c r="B962" s="10" t="s">
        <v>1259</v>
      </c>
    </row>
    <row r="963" spans="1:2" ht="15.75" customHeight="1" x14ac:dyDescent="0.25">
      <c r="A963" s="6">
        <v>32129</v>
      </c>
      <c r="B963" s="10" t="s">
        <v>1258</v>
      </c>
    </row>
    <row r="964" spans="1:2" ht="15.75" customHeight="1" x14ac:dyDescent="0.25">
      <c r="A964" s="6">
        <v>32134</v>
      </c>
      <c r="B964" s="10" t="s">
        <v>1200</v>
      </c>
    </row>
    <row r="965" spans="1:2" ht="15.75" customHeight="1" x14ac:dyDescent="0.25">
      <c r="A965" s="6">
        <v>32135</v>
      </c>
      <c r="B965" s="10" t="s">
        <v>936</v>
      </c>
    </row>
    <row r="966" spans="1:2" ht="15.75" customHeight="1" x14ac:dyDescent="0.25">
      <c r="A966" s="6">
        <v>32136</v>
      </c>
      <c r="B966" s="10" t="s">
        <v>931</v>
      </c>
    </row>
    <row r="967" spans="1:2" ht="15.75" customHeight="1" x14ac:dyDescent="0.25">
      <c r="A967" s="6">
        <v>32139</v>
      </c>
      <c r="B967" s="10" t="s">
        <v>1587</v>
      </c>
    </row>
    <row r="968" spans="1:2" ht="15.75" customHeight="1" x14ac:dyDescent="0.25">
      <c r="A968" s="6">
        <v>32140</v>
      </c>
      <c r="B968" s="10" t="s">
        <v>1588</v>
      </c>
    </row>
    <row r="969" spans="1:2" ht="15.75" customHeight="1" x14ac:dyDescent="0.25">
      <c r="A969" s="6">
        <v>32141</v>
      </c>
      <c r="B969" s="10" t="s">
        <v>1193</v>
      </c>
    </row>
    <row r="970" spans="1:2" ht="15.75" customHeight="1" x14ac:dyDescent="0.25">
      <c r="A970" s="6">
        <v>32142</v>
      </c>
      <c r="B970" s="10" t="s">
        <v>915</v>
      </c>
    </row>
    <row r="971" spans="1:2" ht="15.75" customHeight="1" x14ac:dyDescent="0.25">
      <c r="A971" s="6">
        <v>32143</v>
      </c>
      <c r="B971" s="10" t="s">
        <v>916</v>
      </c>
    </row>
    <row r="972" spans="1:2" ht="15.75" customHeight="1" x14ac:dyDescent="0.25">
      <c r="A972" s="6">
        <v>32144</v>
      </c>
      <c r="B972" s="10" t="s">
        <v>926</v>
      </c>
    </row>
    <row r="973" spans="1:2" ht="15.75" customHeight="1" x14ac:dyDescent="0.25">
      <c r="A973" s="6">
        <v>32145</v>
      </c>
      <c r="B973" s="10" t="s">
        <v>1003</v>
      </c>
    </row>
    <row r="974" spans="1:2" ht="15.75" customHeight="1" x14ac:dyDescent="0.25">
      <c r="A974" s="6">
        <v>32146</v>
      </c>
      <c r="B974" s="10" t="s">
        <v>999</v>
      </c>
    </row>
    <row r="975" spans="1:2" ht="15.75" customHeight="1" x14ac:dyDescent="0.25">
      <c r="A975" s="6">
        <v>32149</v>
      </c>
      <c r="B975" s="10" t="s">
        <v>982</v>
      </c>
    </row>
    <row r="976" spans="1:2" ht="15.75" customHeight="1" x14ac:dyDescent="0.25">
      <c r="A976" s="6">
        <v>32150</v>
      </c>
      <c r="B976" s="10" t="s">
        <v>733</v>
      </c>
    </row>
    <row r="977" spans="1:2" ht="15.75" customHeight="1" x14ac:dyDescent="0.25">
      <c r="A977" s="6">
        <v>32151</v>
      </c>
      <c r="B977" s="10" t="s">
        <v>732</v>
      </c>
    </row>
    <row r="978" spans="1:2" ht="15.75" customHeight="1" x14ac:dyDescent="0.25">
      <c r="A978" s="6">
        <v>32152</v>
      </c>
      <c r="B978" s="10" t="s">
        <v>923</v>
      </c>
    </row>
    <row r="979" spans="1:2" ht="15.75" customHeight="1" x14ac:dyDescent="0.25">
      <c r="A979" s="6">
        <v>32153</v>
      </c>
      <c r="B979" s="10" t="s">
        <v>928</v>
      </c>
    </row>
    <row r="980" spans="1:2" ht="15.75" customHeight="1" x14ac:dyDescent="0.25">
      <c r="A980" s="6">
        <v>32154</v>
      </c>
      <c r="B980" s="10" t="s">
        <v>921</v>
      </c>
    </row>
    <row r="981" spans="1:2" ht="15.75" customHeight="1" x14ac:dyDescent="0.25">
      <c r="A981" s="6">
        <v>32155</v>
      </c>
      <c r="B981" s="10" t="s">
        <v>737</v>
      </c>
    </row>
    <row r="982" spans="1:2" ht="15.75" customHeight="1" x14ac:dyDescent="0.25">
      <c r="A982" s="6">
        <v>32156</v>
      </c>
      <c r="B982" s="10" t="s">
        <v>736</v>
      </c>
    </row>
    <row r="983" spans="1:2" ht="15.75" customHeight="1" x14ac:dyDescent="0.25">
      <c r="A983" s="6">
        <v>32157</v>
      </c>
      <c r="B983" s="10" t="s">
        <v>1211</v>
      </c>
    </row>
    <row r="984" spans="1:2" ht="15.75" customHeight="1" x14ac:dyDescent="0.25">
      <c r="A984" s="6">
        <v>32158</v>
      </c>
      <c r="B984" s="10" t="s">
        <v>1189</v>
      </c>
    </row>
    <row r="985" spans="1:2" ht="15.75" customHeight="1" x14ac:dyDescent="0.25">
      <c r="A985" s="6">
        <v>32159</v>
      </c>
      <c r="B985" s="10" t="s">
        <v>1194</v>
      </c>
    </row>
    <row r="986" spans="1:2" ht="15.75" customHeight="1" x14ac:dyDescent="0.25">
      <c r="A986" s="6">
        <v>32160</v>
      </c>
      <c r="B986" s="10" t="s">
        <v>1204</v>
      </c>
    </row>
    <row r="987" spans="1:2" ht="15.75" customHeight="1" x14ac:dyDescent="0.25">
      <c r="A987" s="6">
        <v>32161</v>
      </c>
      <c r="B987" s="10" t="s">
        <v>1434</v>
      </c>
    </row>
    <row r="988" spans="1:2" ht="15.75" customHeight="1" x14ac:dyDescent="0.25">
      <c r="A988" s="6">
        <v>32162</v>
      </c>
      <c r="B988" s="10" t="s">
        <v>707</v>
      </c>
    </row>
    <row r="989" spans="1:2" ht="15.75" customHeight="1" x14ac:dyDescent="0.25">
      <c r="A989" s="6">
        <v>32163</v>
      </c>
      <c r="B989" s="10" t="s">
        <v>1001</v>
      </c>
    </row>
    <row r="990" spans="1:2" ht="15.75" customHeight="1" x14ac:dyDescent="0.25">
      <c r="A990" s="6">
        <v>32164</v>
      </c>
      <c r="B990" s="10" t="s">
        <v>1000</v>
      </c>
    </row>
    <row r="991" spans="1:2" ht="15.75" customHeight="1" x14ac:dyDescent="0.25">
      <c r="A991" s="6">
        <v>32165</v>
      </c>
      <c r="B991" s="10" t="s">
        <v>925</v>
      </c>
    </row>
    <row r="992" spans="1:2" ht="15.75" customHeight="1" x14ac:dyDescent="0.25">
      <c r="A992" s="6">
        <v>32166</v>
      </c>
      <c r="B992" s="10" t="s">
        <v>930</v>
      </c>
    </row>
    <row r="993" spans="1:2" ht="15.75" customHeight="1" x14ac:dyDescent="0.25">
      <c r="A993" s="6">
        <v>32167</v>
      </c>
      <c r="B993" s="10" t="s">
        <v>912</v>
      </c>
    </row>
    <row r="994" spans="1:2" ht="15.75" customHeight="1" x14ac:dyDescent="0.25">
      <c r="A994" s="6">
        <v>32168</v>
      </c>
      <c r="B994" s="10" t="s">
        <v>734</v>
      </c>
    </row>
    <row r="995" spans="1:2" ht="15.75" customHeight="1" x14ac:dyDescent="0.25">
      <c r="A995" s="6">
        <v>32170</v>
      </c>
      <c r="B995" s="10" t="s">
        <v>927</v>
      </c>
    </row>
    <row r="996" spans="1:2" ht="15.75" customHeight="1" x14ac:dyDescent="0.25">
      <c r="A996" s="6">
        <v>32171</v>
      </c>
      <c r="B996" s="10" t="s">
        <v>922</v>
      </c>
    </row>
    <row r="997" spans="1:2" ht="15.75" customHeight="1" x14ac:dyDescent="0.25">
      <c r="A997" s="6">
        <v>32172</v>
      </c>
      <c r="B997" s="10" t="s">
        <v>929</v>
      </c>
    </row>
    <row r="998" spans="1:2" ht="15.75" customHeight="1" x14ac:dyDescent="0.25">
      <c r="A998" s="6">
        <v>32173</v>
      </c>
      <c r="B998" s="10" t="s">
        <v>924</v>
      </c>
    </row>
    <row r="999" spans="1:2" ht="15.75" customHeight="1" x14ac:dyDescent="0.25">
      <c r="A999" s="6">
        <v>32174</v>
      </c>
      <c r="B999" s="10" t="s">
        <v>1196</v>
      </c>
    </row>
    <row r="1000" spans="1:2" ht="15.75" customHeight="1" x14ac:dyDescent="0.25">
      <c r="A1000" s="6">
        <v>32175</v>
      </c>
      <c r="B1000" s="10" t="s">
        <v>1180</v>
      </c>
    </row>
    <row r="1001" spans="1:2" ht="15.75" customHeight="1" x14ac:dyDescent="0.25">
      <c r="A1001" s="6">
        <v>32176</v>
      </c>
      <c r="B1001" s="10" t="s">
        <v>1202</v>
      </c>
    </row>
    <row r="1002" spans="1:2" ht="15.75" customHeight="1" x14ac:dyDescent="0.25">
      <c r="A1002" s="6">
        <v>32178</v>
      </c>
      <c r="B1002" s="10" t="s">
        <v>890</v>
      </c>
    </row>
    <row r="1003" spans="1:2" ht="15.75" customHeight="1" x14ac:dyDescent="0.25">
      <c r="A1003" s="6">
        <v>32179</v>
      </c>
      <c r="B1003" s="10" t="s">
        <v>881</v>
      </c>
    </row>
    <row r="1004" spans="1:2" ht="15.75" customHeight="1" x14ac:dyDescent="0.25">
      <c r="A1004" s="6">
        <v>32182</v>
      </c>
      <c r="B1004" s="10" t="s">
        <v>887</v>
      </c>
    </row>
    <row r="1005" spans="1:2" ht="15.75" customHeight="1" x14ac:dyDescent="0.25">
      <c r="A1005" s="6">
        <v>32183</v>
      </c>
      <c r="B1005" s="10" t="s">
        <v>1183</v>
      </c>
    </row>
    <row r="1006" spans="1:2" ht="15.75" customHeight="1" x14ac:dyDescent="0.25">
      <c r="A1006" s="6">
        <v>32184</v>
      </c>
      <c r="B1006" s="10" t="s">
        <v>933</v>
      </c>
    </row>
    <row r="1007" spans="1:2" ht="15.75" customHeight="1" x14ac:dyDescent="0.25">
      <c r="A1007" s="6">
        <v>32185</v>
      </c>
      <c r="B1007" s="10" t="s">
        <v>919</v>
      </c>
    </row>
    <row r="1008" spans="1:2" ht="15.75" customHeight="1" x14ac:dyDescent="0.25">
      <c r="A1008" s="6">
        <v>32186</v>
      </c>
      <c r="B1008" s="10" t="s">
        <v>920</v>
      </c>
    </row>
    <row r="1009" spans="1:2" ht="15.75" customHeight="1" x14ac:dyDescent="0.25">
      <c r="A1009" s="6">
        <v>32187</v>
      </c>
      <c r="B1009" s="10" t="s">
        <v>981</v>
      </c>
    </row>
    <row r="1010" spans="1:2" ht="15.75" customHeight="1" x14ac:dyDescent="0.25">
      <c r="A1010" s="6">
        <v>32188</v>
      </c>
      <c r="B1010" s="10" t="s">
        <v>880</v>
      </c>
    </row>
    <row r="1011" spans="1:2" ht="15.75" customHeight="1" x14ac:dyDescent="0.25">
      <c r="A1011" s="6">
        <v>32189</v>
      </c>
      <c r="B1011" s="10" t="s">
        <v>885</v>
      </c>
    </row>
    <row r="1012" spans="1:2" ht="15.75" customHeight="1" x14ac:dyDescent="0.25">
      <c r="A1012" s="6">
        <v>32193</v>
      </c>
      <c r="B1012" s="10" t="s">
        <v>1212</v>
      </c>
    </row>
    <row r="1013" spans="1:2" ht="15.75" customHeight="1" x14ac:dyDescent="0.25">
      <c r="A1013" s="6">
        <v>32194</v>
      </c>
      <c r="B1013" s="10" t="s">
        <v>891</v>
      </c>
    </row>
    <row r="1014" spans="1:2" ht="15.75" customHeight="1" x14ac:dyDescent="0.25">
      <c r="A1014" s="6">
        <v>32195</v>
      </c>
      <c r="B1014" s="10" t="s">
        <v>886</v>
      </c>
    </row>
    <row r="1015" spans="1:2" ht="15.75" customHeight="1" x14ac:dyDescent="0.25">
      <c r="A1015" s="6">
        <v>32196</v>
      </c>
      <c r="B1015" s="10" t="s">
        <v>882</v>
      </c>
    </row>
    <row r="1016" spans="1:2" ht="15.75" customHeight="1" x14ac:dyDescent="0.25">
      <c r="A1016" s="6">
        <v>32198</v>
      </c>
      <c r="B1016" s="10" t="s">
        <v>1210</v>
      </c>
    </row>
    <row r="1017" spans="1:2" ht="15.75" customHeight="1" x14ac:dyDescent="0.25">
      <c r="A1017" s="6">
        <v>32199</v>
      </c>
      <c r="B1017" s="10" t="s">
        <v>979</v>
      </c>
    </row>
    <row r="1018" spans="1:2" ht="15.75" customHeight="1" x14ac:dyDescent="0.25">
      <c r="A1018" s="6">
        <v>32200</v>
      </c>
      <c r="B1018" s="10" t="s">
        <v>917</v>
      </c>
    </row>
    <row r="1019" spans="1:2" ht="15.75" customHeight="1" x14ac:dyDescent="0.25">
      <c r="A1019" s="6">
        <v>32203</v>
      </c>
      <c r="B1019" s="10" t="s">
        <v>888</v>
      </c>
    </row>
    <row r="1020" spans="1:2" ht="15.75" customHeight="1" x14ac:dyDescent="0.25">
      <c r="A1020" s="6">
        <v>32214</v>
      </c>
      <c r="B1020" s="10" t="s">
        <v>934</v>
      </c>
    </row>
    <row r="1021" spans="1:2" ht="15.75" customHeight="1" x14ac:dyDescent="0.25">
      <c r="A1021" s="6">
        <v>32216</v>
      </c>
      <c r="B1021" s="10" t="s">
        <v>918</v>
      </c>
    </row>
    <row r="1022" spans="1:2" ht="15.75" customHeight="1" x14ac:dyDescent="0.25">
      <c r="A1022" s="6">
        <v>32217</v>
      </c>
      <c r="B1022" s="10" t="s">
        <v>932</v>
      </c>
    </row>
    <row r="1023" spans="1:2" ht="15.75" customHeight="1" x14ac:dyDescent="0.25">
      <c r="A1023" s="6">
        <v>32232</v>
      </c>
      <c r="B1023" s="10" t="s">
        <v>1635</v>
      </c>
    </row>
    <row r="1024" spans="1:2" ht="15.75" customHeight="1" x14ac:dyDescent="0.25">
      <c r="A1024" s="6">
        <v>132001</v>
      </c>
      <c r="B1024" s="10" t="s">
        <v>182</v>
      </c>
    </row>
    <row r="1025" spans="1:2" ht="15.75" customHeight="1" x14ac:dyDescent="0.25">
      <c r="A1025" s="6">
        <v>132002</v>
      </c>
      <c r="B1025" s="10" t="s">
        <v>935</v>
      </c>
    </row>
    <row r="1026" spans="1:2" ht="15.75" customHeight="1" x14ac:dyDescent="0.25">
      <c r="A1026" s="6">
        <v>132003</v>
      </c>
      <c r="B1026" s="10" t="s">
        <v>1638</v>
      </c>
    </row>
    <row r="1027" spans="1:2" ht="15.75" customHeight="1" x14ac:dyDescent="0.25">
      <c r="A1027" s="6">
        <v>132004</v>
      </c>
      <c r="B1027" s="10" t="s">
        <v>1639</v>
      </c>
    </row>
    <row r="1028" spans="1:2" ht="15.75" customHeight="1" x14ac:dyDescent="0.25">
      <c r="A1028" s="6">
        <v>132005</v>
      </c>
      <c r="B1028" s="10" t="s">
        <v>1640</v>
      </c>
    </row>
    <row r="1029" spans="1:2" ht="15.75" customHeight="1" x14ac:dyDescent="0.25">
      <c r="A1029" s="6">
        <v>132006</v>
      </c>
      <c r="B1029" s="10" t="s">
        <v>1641</v>
      </c>
    </row>
    <row r="1030" spans="1:2" ht="15.75" customHeight="1" x14ac:dyDescent="0.25">
      <c r="A1030" s="6">
        <v>132007</v>
      </c>
      <c r="B1030" s="10" t="s">
        <v>1642</v>
      </c>
    </row>
    <row r="1031" spans="1:2" ht="15.75" customHeight="1" x14ac:dyDescent="0.25">
      <c r="A1031" s="6">
        <v>132008</v>
      </c>
      <c r="B1031" s="10" t="s">
        <v>1643</v>
      </c>
    </row>
    <row r="1032" spans="1:2" ht="15.75" customHeight="1" x14ac:dyDescent="0.25">
      <c r="A1032" s="6">
        <v>132022</v>
      </c>
      <c r="B1032" s="10" t="s">
        <v>1645</v>
      </c>
    </row>
    <row r="1033" spans="1:2" ht="15.75" customHeight="1" x14ac:dyDescent="0.25">
      <c r="A1033" s="6">
        <v>33001</v>
      </c>
      <c r="B1033" s="10" t="s">
        <v>973</v>
      </c>
    </row>
    <row r="1034" spans="1:2" ht="15.75" customHeight="1" x14ac:dyDescent="0.25">
      <c r="A1034" s="6">
        <v>434001</v>
      </c>
      <c r="B1034" s="10" t="s">
        <v>696</v>
      </c>
    </row>
    <row r="1035" spans="1:2" ht="15.75" customHeight="1" x14ac:dyDescent="0.25">
      <c r="A1035" s="6">
        <v>434002</v>
      </c>
      <c r="B1035" s="10" t="s">
        <v>899</v>
      </c>
    </row>
    <row r="1036" spans="1:2" ht="15.75" customHeight="1" x14ac:dyDescent="0.25">
      <c r="A1036" s="6">
        <v>434003</v>
      </c>
      <c r="B1036" s="10" t="s">
        <v>900</v>
      </c>
    </row>
    <row r="1037" spans="1:2" ht="15.75" customHeight="1" x14ac:dyDescent="0.25">
      <c r="A1037" s="6">
        <v>434004</v>
      </c>
      <c r="B1037" s="10" t="s">
        <v>906</v>
      </c>
    </row>
    <row r="1038" spans="1:2" ht="15.75" customHeight="1" x14ac:dyDescent="0.25">
      <c r="A1038" s="6">
        <v>434005</v>
      </c>
      <c r="B1038" s="10" t="s">
        <v>907</v>
      </c>
    </row>
    <row r="1039" spans="1:2" ht="15.75" customHeight="1" x14ac:dyDescent="0.25">
      <c r="A1039" s="6">
        <v>434006</v>
      </c>
      <c r="B1039" s="10" t="s">
        <v>908</v>
      </c>
    </row>
    <row r="1040" spans="1:2" ht="15.75" customHeight="1" x14ac:dyDescent="0.25">
      <c r="A1040" s="6">
        <v>434007</v>
      </c>
      <c r="B1040" s="10" t="s">
        <v>937</v>
      </c>
    </row>
    <row r="1041" spans="1:2" ht="15.75" customHeight="1" x14ac:dyDescent="0.25">
      <c r="A1041" s="6">
        <v>434008</v>
      </c>
      <c r="B1041" s="10" t="s">
        <v>939</v>
      </c>
    </row>
    <row r="1042" spans="1:2" ht="15.75" customHeight="1" x14ac:dyDescent="0.25">
      <c r="A1042" s="6">
        <v>434009</v>
      </c>
      <c r="B1042" s="10" t="s">
        <v>940</v>
      </c>
    </row>
    <row r="1043" spans="1:2" ht="15.75" customHeight="1" x14ac:dyDescent="0.25">
      <c r="A1043" s="6">
        <v>434012</v>
      </c>
      <c r="B1043" s="10" t="s">
        <v>1047</v>
      </c>
    </row>
    <row r="1044" spans="1:2" ht="15.75" customHeight="1" x14ac:dyDescent="0.25">
      <c r="A1044" s="6">
        <v>434013</v>
      </c>
      <c r="B1044" s="10" t="s">
        <v>1048</v>
      </c>
    </row>
    <row r="1045" spans="1:2" ht="15.75" customHeight="1" x14ac:dyDescent="0.25">
      <c r="A1045" s="6">
        <v>434014</v>
      </c>
      <c r="B1045" s="10" t="s">
        <v>1359</v>
      </c>
    </row>
    <row r="1046" spans="1:2" ht="15.75" customHeight="1" x14ac:dyDescent="0.25">
      <c r="A1046" s="6">
        <v>434015</v>
      </c>
      <c r="B1046" s="10" t="s">
        <v>1360</v>
      </c>
    </row>
    <row r="1047" spans="1:2" ht="15.75" customHeight="1" x14ac:dyDescent="0.25">
      <c r="A1047" s="6">
        <v>434016</v>
      </c>
      <c r="B1047" s="10" t="s">
        <v>1365</v>
      </c>
    </row>
    <row r="1048" spans="1:2" ht="15.75" customHeight="1" x14ac:dyDescent="0.25">
      <c r="A1048" s="6">
        <v>434017</v>
      </c>
      <c r="B1048" s="10" t="s">
        <v>1366</v>
      </c>
    </row>
    <row r="1049" spans="1:2" ht="15.75" customHeight="1" x14ac:dyDescent="0.25">
      <c r="A1049" s="6">
        <v>434018</v>
      </c>
      <c r="B1049" s="10" t="s">
        <v>1376</v>
      </c>
    </row>
    <row r="1050" spans="1:2" ht="15.75" customHeight="1" x14ac:dyDescent="0.25">
      <c r="A1050" s="6">
        <v>434019</v>
      </c>
      <c r="B1050" s="10" t="s">
        <v>1377</v>
      </c>
    </row>
    <row r="1051" spans="1:2" ht="15.75" customHeight="1" x14ac:dyDescent="0.25">
      <c r="A1051" s="6">
        <v>434020</v>
      </c>
      <c r="B1051" s="10" t="s">
        <v>1430</v>
      </c>
    </row>
    <row r="1052" spans="1:2" ht="15.75" customHeight="1" x14ac:dyDescent="0.25">
      <c r="A1052" s="6">
        <v>434021</v>
      </c>
      <c r="B1052" s="10" t="s">
        <v>1431</v>
      </c>
    </row>
    <row r="1053" spans="1:2" ht="15.75" customHeight="1" x14ac:dyDescent="0.25">
      <c r="A1053" s="6">
        <v>434022</v>
      </c>
      <c r="B1053" s="10" t="s">
        <v>1432</v>
      </c>
    </row>
    <row r="1054" spans="1:2" ht="15.75" customHeight="1" x14ac:dyDescent="0.25">
      <c r="A1054" s="6">
        <v>434023</v>
      </c>
      <c r="B1054" s="10" t="s">
        <v>1528</v>
      </c>
    </row>
    <row r="1055" spans="1:2" ht="15.75" customHeight="1" x14ac:dyDescent="0.25">
      <c r="A1055" s="6">
        <v>434024</v>
      </c>
      <c r="B1055" s="10" t="s">
        <v>1529</v>
      </c>
    </row>
    <row r="1056" spans="1:2" ht="15.75" customHeight="1" x14ac:dyDescent="0.25">
      <c r="A1056" s="6">
        <v>434025</v>
      </c>
      <c r="B1056" s="10" t="s">
        <v>1530</v>
      </c>
    </row>
    <row r="1057" spans="1:2" ht="15.75" customHeight="1" x14ac:dyDescent="0.25">
      <c r="A1057" s="6">
        <v>434026</v>
      </c>
      <c r="B1057" s="10" t="s">
        <v>1551</v>
      </c>
    </row>
    <row r="1058" spans="1:2" ht="15.75" customHeight="1" x14ac:dyDescent="0.25">
      <c r="A1058" s="6">
        <v>434027</v>
      </c>
      <c r="B1058" s="10" t="s">
        <v>1552</v>
      </c>
    </row>
    <row r="1059" spans="1:2" ht="15.75" customHeight="1" x14ac:dyDescent="0.25">
      <c r="A1059" s="6">
        <v>434028</v>
      </c>
      <c r="B1059" s="10" t="s">
        <v>1553</v>
      </c>
    </row>
    <row r="1060" spans="1:2" ht="15.75" customHeight="1" x14ac:dyDescent="0.25">
      <c r="A1060" s="6">
        <v>434029</v>
      </c>
      <c r="B1060" s="10" t="s">
        <v>1563</v>
      </c>
    </row>
    <row r="1061" spans="1:2" ht="15.75" customHeight="1" x14ac:dyDescent="0.25">
      <c r="A1061" s="6">
        <v>434030</v>
      </c>
      <c r="B1061" s="10" t="s">
        <v>1564</v>
      </c>
    </row>
    <row r="1062" spans="1:2" ht="15.75" customHeight="1" x14ac:dyDescent="0.25">
      <c r="A1062" s="6">
        <v>434031</v>
      </c>
      <c r="B1062" s="10" t="s">
        <v>1565</v>
      </c>
    </row>
    <row r="1063" spans="1:2" ht="15.75" customHeight="1" x14ac:dyDescent="0.25">
      <c r="A1063" s="6">
        <v>434032</v>
      </c>
      <c r="B1063" s="10" t="s">
        <v>1566</v>
      </c>
    </row>
    <row r="1064" spans="1:2" ht="15.75" customHeight="1" x14ac:dyDescent="0.25">
      <c r="A1064" s="6">
        <v>434033</v>
      </c>
      <c r="B1064" s="10" t="s">
        <v>1568</v>
      </c>
    </row>
    <row r="1065" spans="1:2" ht="15.75" customHeight="1" x14ac:dyDescent="0.25">
      <c r="A1065" s="6">
        <v>434034</v>
      </c>
      <c r="B1065" s="10" t="s">
        <v>1567</v>
      </c>
    </row>
    <row r="1066" spans="1:2" ht="15.75" customHeight="1" x14ac:dyDescent="0.25">
      <c r="A1066" s="6">
        <v>35001</v>
      </c>
      <c r="B1066" s="10" t="s">
        <v>1013</v>
      </c>
    </row>
    <row r="1067" spans="1:2" ht="15.75" customHeight="1" x14ac:dyDescent="0.25">
      <c r="A1067" s="6">
        <v>35002</v>
      </c>
      <c r="B1067" s="10" t="s">
        <v>1014</v>
      </c>
    </row>
    <row r="1068" spans="1:2" ht="15.75" customHeight="1" x14ac:dyDescent="0.25">
      <c r="A1068" s="6">
        <v>35003</v>
      </c>
      <c r="B1068" s="10" t="s">
        <v>1543</v>
      </c>
    </row>
    <row r="1069" spans="1:2" ht="15.75" customHeight="1" x14ac:dyDescent="0.25">
      <c r="A1069" s="6">
        <v>35004</v>
      </c>
      <c r="B1069" s="10" t="s">
        <v>568</v>
      </c>
    </row>
    <row r="1070" spans="1:2" ht="15.75" customHeight="1" x14ac:dyDescent="0.25">
      <c r="A1070" s="6">
        <v>35005</v>
      </c>
      <c r="B1070" s="10" t="s">
        <v>564</v>
      </c>
    </row>
    <row r="1071" spans="1:2" ht="15.75" customHeight="1" x14ac:dyDescent="0.25">
      <c r="A1071" s="6">
        <v>235006</v>
      </c>
      <c r="B1071" s="10" t="s">
        <v>814</v>
      </c>
    </row>
    <row r="1072" spans="1:2" ht="15.75" customHeight="1" x14ac:dyDescent="0.25">
      <c r="A1072" s="6">
        <v>235007</v>
      </c>
      <c r="B1072" s="10" t="s">
        <v>813</v>
      </c>
    </row>
    <row r="1073" spans="1:2" ht="15.75" customHeight="1" x14ac:dyDescent="0.25">
      <c r="A1073" s="6">
        <v>235008</v>
      </c>
      <c r="B1073" s="10" t="s">
        <v>817</v>
      </c>
    </row>
    <row r="1074" spans="1:2" ht="15.75" customHeight="1" x14ac:dyDescent="0.25">
      <c r="A1074" s="6">
        <v>235009</v>
      </c>
      <c r="B1074" s="10" t="s">
        <v>815</v>
      </c>
    </row>
    <row r="1075" spans="1:2" ht="15.75" customHeight="1" x14ac:dyDescent="0.25">
      <c r="A1075" s="6">
        <v>235010</v>
      </c>
      <c r="B1075" s="10" t="s">
        <v>816</v>
      </c>
    </row>
    <row r="1076" spans="1:2" ht="15.75" customHeight="1" x14ac:dyDescent="0.25">
      <c r="A1076" s="6">
        <v>236001</v>
      </c>
      <c r="B1076" s="10" t="s">
        <v>1394</v>
      </c>
    </row>
    <row r="1077" spans="1:2" ht="15.75" customHeight="1" x14ac:dyDescent="0.25">
      <c r="A1077" s="6">
        <v>236002</v>
      </c>
      <c r="B1077" s="10" t="s">
        <v>1384</v>
      </c>
    </row>
    <row r="1078" spans="1:2" ht="15.75" customHeight="1" x14ac:dyDescent="0.25">
      <c r="A1078" s="6">
        <v>236003</v>
      </c>
      <c r="B1078" s="10" t="s">
        <v>1393</v>
      </c>
    </row>
    <row r="1079" spans="1:2" ht="15.75" customHeight="1" x14ac:dyDescent="0.25">
      <c r="A1079" s="6">
        <v>236004</v>
      </c>
      <c r="B1079" s="10" t="s">
        <v>1395</v>
      </c>
    </row>
    <row r="1080" spans="1:2" ht="15.75" customHeight="1" x14ac:dyDescent="0.25">
      <c r="A1080" s="6">
        <v>236005</v>
      </c>
      <c r="B1080" s="10" t="s">
        <v>1383</v>
      </c>
    </row>
    <row r="1081" spans="1:2" ht="15.75" customHeight="1" x14ac:dyDescent="0.25">
      <c r="A1081" s="6">
        <v>236006</v>
      </c>
      <c r="B1081" s="10" t="s">
        <v>1382</v>
      </c>
    </row>
    <row r="1082" spans="1:2" ht="15.75" customHeight="1" x14ac:dyDescent="0.25">
      <c r="A1082" s="6">
        <v>37001</v>
      </c>
      <c r="B1082" s="10" t="s">
        <v>700</v>
      </c>
    </row>
    <row r="1083" spans="1:2" ht="15.75" customHeight="1" x14ac:dyDescent="0.25">
      <c r="A1083" s="6">
        <v>37002</v>
      </c>
      <c r="B1083" s="10" t="s">
        <v>983</v>
      </c>
    </row>
    <row r="1084" spans="1:2" ht="15.75" customHeight="1" x14ac:dyDescent="0.25">
      <c r="A1084" s="6">
        <v>37003</v>
      </c>
      <c r="B1084" s="10" t="s">
        <v>985</v>
      </c>
    </row>
    <row r="1085" spans="1:2" ht="15.75" customHeight="1" x14ac:dyDescent="0.25">
      <c r="A1085" s="6">
        <v>37004</v>
      </c>
      <c r="B1085" s="10" t="s">
        <v>987</v>
      </c>
    </row>
    <row r="1086" spans="1:2" ht="15.75" customHeight="1" x14ac:dyDescent="0.25">
      <c r="A1086" s="6">
        <v>37005</v>
      </c>
      <c r="B1086" s="10" t="s">
        <v>1455</v>
      </c>
    </row>
    <row r="1087" spans="1:2" ht="15.75" customHeight="1" x14ac:dyDescent="0.25">
      <c r="A1087" s="6">
        <v>37006</v>
      </c>
      <c r="B1087" s="10" t="s">
        <v>1453</v>
      </c>
    </row>
    <row r="1088" spans="1:2" ht="15.75" customHeight="1" x14ac:dyDescent="0.25">
      <c r="A1088" s="6">
        <v>37007</v>
      </c>
      <c r="B1088" s="10" t="s">
        <v>1451</v>
      </c>
    </row>
    <row r="1089" spans="1:2" ht="15.75" customHeight="1" x14ac:dyDescent="0.25">
      <c r="A1089" s="6">
        <v>37008</v>
      </c>
      <c r="B1089" s="10" t="s">
        <v>1456</v>
      </c>
    </row>
    <row r="1090" spans="1:2" ht="15.75" customHeight="1" x14ac:dyDescent="0.25">
      <c r="A1090" s="6">
        <v>37009</v>
      </c>
      <c r="B1090" s="10" t="s">
        <v>1454</v>
      </c>
    </row>
    <row r="1091" spans="1:2" ht="15.75" customHeight="1" x14ac:dyDescent="0.25">
      <c r="A1091" s="6">
        <v>37010</v>
      </c>
      <c r="B1091" s="10" t="s">
        <v>1452</v>
      </c>
    </row>
    <row r="1092" spans="1:2" ht="15.75" customHeight="1" x14ac:dyDescent="0.25">
      <c r="A1092" s="6">
        <v>37011</v>
      </c>
      <c r="B1092" s="10" t="s">
        <v>701</v>
      </c>
    </row>
    <row r="1093" spans="1:2" ht="15.75" customHeight="1" x14ac:dyDescent="0.25">
      <c r="A1093" s="6">
        <v>37012</v>
      </c>
      <c r="B1093" s="10" t="s">
        <v>984</v>
      </c>
    </row>
    <row r="1094" spans="1:2" ht="15.75" customHeight="1" x14ac:dyDescent="0.25">
      <c r="A1094" s="6">
        <v>37013</v>
      </c>
      <c r="B1094" s="10" t="s">
        <v>986</v>
      </c>
    </row>
    <row r="1095" spans="1:2" ht="15.75" customHeight="1" x14ac:dyDescent="0.25">
      <c r="A1095" s="6">
        <v>37014</v>
      </c>
      <c r="B1095" s="10" t="s">
        <v>988</v>
      </c>
    </row>
    <row r="1096" spans="1:2" ht="15.75" customHeight="1" x14ac:dyDescent="0.25">
      <c r="A1096" s="6">
        <v>37015</v>
      </c>
      <c r="B1096" s="10" t="s">
        <v>1362</v>
      </c>
    </row>
    <row r="1097" spans="1:2" ht="15.75" customHeight="1" x14ac:dyDescent="0.25">
      <c r="A1097" s="6">
        <v>37016</v>
      </c>
      <c r="B1097" s="10" t="s">
        <v>1363</v>
      </c>
    </row>
    <row r="1098" spans="1:2" ht="15.75" customHeight="1" x14ac:dyDescent="0.25">
      <c r="A1098" s="6">
        <v>137017</v>
      </c>
      <c r="B1098" s="10" t="s">
        <v>1364</v>
      </c>
    </row>
    <row r="1099" spans="1:2" ht="15.75" customHeight="1" x14ac:dyDescent="0.25">
      <c r="A1099" s="6">
        <v>338001</v>
      </c>
      <c r="B1099" s="10" t="s">
        <v>1091</v>
      </c>
    </row>
    <row r="1100" spans="1:2" ht="15.75" customHeight="1" x14ac:dyDescent="0.25">
      <c r="A1100" s="6">
        <v>338002</v>
      </c>
      <c r="B1100" s="10" t="s">
        <v>1579</v>
      </c>
    </row>
    <row r="1101" spans="1:2" ht="15.75" customHeight="1" x14ac:dyDescent="0.25">
      <c r="A1101" s="6">
        <v>338003</v>
      </c>
      <c r="B1101" s="10" t="s">
        <v>1090</v>
      </c>
    </row>
    <row r="1102" spans="1:2" ht="15.75" customHeight="1" x14ac:dyDescent="0.25">
      <c r="A1102" s="6">
        <v>338004</v>
      </c>
      <c r="B1102" s="10" t="s">
        <v>995</v>
      </c>
    </row>
    <row r="1103" spans="1:2" ht="15.75" customHeight="1" x14ac:dyDescent="0.25">
      <c r="A1103" s="6">
        <v>338005</v>
      </c>
      <c r="B1103" s="10" t="s">
        <v>1072</v>
      </c>
    </row>
    <row r="1104" spans="1:2" ht="15.75" customHeight="1" x14ac:dyDescent="0.25">
      <c r="A1104" s="6">
        <v>338006</v>
      </c>
      <c r="B1104" s="10" t="s">
        <v>1073</v>
      </c>
    </row>
    <row r="1105" spans="1:2" ht="15.75" customHeight="1" x14ac:dyDescent="0.25">
      <c r="A1105" s="6">
        <v>338007</v>
      </c>
      <c r="B1105" s="10" t="s">
        <v>1114</v>
      </c>
    </row>
    <row r="1106" spans="1:2" ht="15.75" customHeight="1" x14ac:dyDescent="0.25">
      <c r="A1106" s="6">
        <v>338008</v>
      </c>
      <c r="B1106" s="10" t="s">
        <v>769</v>
      </c>
    </row>
    <row r="1107" spans="1:2" ht="15.75" customHeight="1" x14ac:dyDescent="0.25">
      <c r="A1107" s="6">
        <v>338009</v>
      </c>
      <c r="B1107" s="10" t="s">
        <v>1590</v>
      </c>
    </row>
    <row r="1108" spans="1:2" ht="15.75" customHeight="1" x14ac:dyDescent="0.25">
      <c r="A1108" s="6">
        <v>338010</v>
      </c>
      <c r="B1108" s="10" t="s">
        <v>1592</v>
      </c>
    </row>
    <row r="1109" spans="1:2" ht="15.75" customHeight="1" x14ac:dyDescent="0.25">
      <c r="A1109" s="6">
        <v>338011</v>
      </c>
      <c r="B1109" s="10" t="s">
        <v>1591</v>
      </c>
    </row>
    <row r="1110" spans="1:2" ht="15.75" customHeight="1" x14ac:dyDescent="0.25">
      <c r="A1110" s="6">
        <v>338012</v>
      </c>
      <c r="B1110" s="10" t="s">
        <v>1593</v>
      </c>
    </row>
    <row r="1111" spans="1:2" ht="15.75" customHeight="1" x14ac:dyDescent="0.25">
      <c r="A1111" s="6">
        <v>338013</v>
      </c>
      <c r="B1111" s="10" t="s">
        <v>1595</v>
      </c>
    </row>
    <row r="1112" spans="1:2" ht="15.75" customHeight="1" x14ac:dyDescent="0.25">
      <c r="A1112" s="6">
        <v>338014</v>
      </c>
      <c r="B1112" s="10" t="s">
        <v>1594</v>
      </c>
    </row>
    <row r="1113" spans="1:2" ht="15.75" customHeight="1" x14ac:dyDescent="0.25">
      <c r="A1113" s="6">
        <v>338015</v>
      </c>
      <c r="B1113" s="10" t="s">
        <v>1078</v>
      </c>
    </row>
    <row r="1114" spans="1:2" ht="15.75" customHeight="1" x14ac:dyDescent="0.25">
      <c r="A1114" s="6">
        <v>338016</v>
      </c>
      <c r="B1114" s="10" t="s">
        <v>1079</v>
      </c>
    </row>
    <row r="1115" spans="1:2" ht="15.75" customHeight="1" x14ac:dyDescent="0.25">
      <c r="A1115" s="6">
        <v>338017</v>
      </c>
      <c r="B1115" s="10" t="s">
        <v>1080</v>
      </c>
    </row>
    <row r="1116" spans="1:2" ht="15.75" customHeight="1" x14ac:dyDescent="0.25">
      <c r="A1116" s="6">
        <v>338018</v>
      </c>
      <c r="B1116" s="10" t="s">
        <v>1076</v>
      </c>
    </row>
    <row r="1117" spans="1:2" ht="15.75" customHeight="1" x14ac:dyDescent="0.25">
      <c r="A1117" s="6">
        <v>338019</v>
      </c>
      <c r="B1117" s="10" t="s">
        <v>1075</v>
      </c>
    </row>
    <row r="1118" spans="1:2" ht="15.75" customHeight="1" x14ac:dyDescent="0.25">
      <c r="A1118" s="6">
        <v>338020</v>
      </c>
      <c r="B1118" s="10" t="s">
        <v>1077</v>
      </c>
    </row>
    <row r="1119" spans="1:2" ht="15.75" customHeight="1" x14ac:dyDescent="0.25">
      <c r="A1119" s="6">
        <v>338021</v>
      </c>
      <c r="B1119" s="10" t="s">
        <v>1081</v>
      </c>
    </row>
    <row r="1120" spans="1:2" ht="15.75" customHeight="1" x14ac:dyDescent="0.25">
      <c r="A1120" s="6">
        <v>39001</v>
      </c>
      <c r="B1120" s="10" t="s">
        <v>1510</v>
      </c>
    </row>
    <row r="1121" spans="1:2" ht="15.75" customHeight="1" x14ac:dyDescent="0.25">
      <c r="A1121" s="6">
        <v>39002</v>
      </c>
      <c r="B1121" s="10" t="s">
        <v>1494</v>
      </c>
    </row>
    <row r="1122" spans="1:2" ht="15.75" customHeight="1" x14ac:dyDescent="0.25">
      <c r="A1122" s="6">
        <v>39003</v>
      </c>
      <c r="B1122" s="10" t="s">
        <v>1520</v>
      </c>
    </row>
    <row r="1123" spans="1:2" ht="15.75" customHeight="1" x14ac:dyDescent="0.25">
      <c r="A1123" s="6">
        <v>39004</v>
      </c>
      <c r="B1123" s="10" t="s">
        <v>1511</v>
      </c>
    </row>
    <row r="1124" spans="1:2" ht="15.75" customHeight="1" x14ac:dyDescent="0.25">
      <c r="A1124" s="6">
        <v>39005</v>
      </c>
      <c r="B1124" s="10" t="s">
        <v>1495</v>
      </c>
    </row>
    <row r="1125" spans="1:2" ht="15.75" customHeight="1" x14ac:dyDescent="0.25">
      <c r="A1125" s="6">
        <v>39006</v>
      </c>
      <c r="B1125" s="10" t="s">
        <v>1521</v>
      </c>
    </row>
    <row r="1126" spans="1:2" ht="15.75" customHeight="1" x14ac:dyDescent="0.25">
      <c r="A1126" s="6">
        <v>39007</v>
      </c>
      <c r="B1126" s="10" t="s">
        <v>1508</v>
      </c>
    </row>
    <row r="1127" spans="1:2" ht="15.75" customHeight="1" x14ac:dyDescent="0.25">
      <c r="A1127" s="6">
        <v>39008</v>
      </c>
      <c r="B1127" s="10" t="s">
        <v>1492</v>
      </c>
    </row>
    <row r="1128" spans="1:2" ht="15.75" customHeight="1" x14ac:dyDescent="0.25">
      <c r="A1128" s="6">
        <v>39009</v>
      </c>
      <c r="B1128" s="10" t="s">
        <v>1518</v>
      </c>
    </row>
    <row r="1129" spans="1:2" ht="15.75" customHeight="1" x14ac:dyDescent="0.25">
      <c r="A1129" s="6">
        <v>39010</v>
      </c>
      <c r="B1129" s="10" t="s">
        <v>1509</v>
      </c>
    </row>
    <row r="1130" spans="1:2" ht="15.75" customHeight="1" x14ac:dyDescent="0.25">
      <c r="A1130" s="6">
        <v>39011</v>
      </c>
      <c r="B1130" s="10" t="s">
        <v>1493</v>
      </c>
    </row>
    <row r="1131" spans="1:2" ht="15.75" customHeight="1" x14ac:dyDescent="0.25">
      <c r="A1131" s="6">
        <v>39012</v>
      </c>
      <c r="B1131" s="10" t="s">
        <v>1519</v>
      </c>
    </row>
    <row r="1132" spans="1:2" ht="15.75" customHeight="1" x14ac:dyDescent="0.25">
      <c r="A1132" s="6">
        <v>39013</v>
      </c>
      <c r="B1132" s="10" t="s">
        <v>1506</v>
      </c>
    </row>
    <row r="1133" spans="1:2" ht="15.75" customHeight="1" x14ac:dyDescent="0.25">
      <c r="A1133" s="6">
        <v>39014</v>
      </c>
      <c r="B1133" s="10" t="s">
        <v>1490</v>
      </c>
    </row>
    <row r="1134" spans="1:2" ht="15.75" customHeight="1" x14ac:dyDescent="0.25">
      <c r="A1134" s="6">
        <v>39015</v>
      </c>
      <c r="B1134" s="10" t="s">
        <v>1516</v>
      </c>
    </row>
    <row r="1135" spans="1:2" ht="15.75" customHeight="1" x14ac:dyDescent="0.25">
      <c r="A1135" s="6">
        <v>39016</v>
      </c>
      <c r="B1135" s="10" t="s">
        <v>1507</v>
      </c>
    </row>
    <row r="1136" spans="1:2" ht="15.75" customHeight="1" x14ac:dyDescent="0.25">
      <c r="A1136" s="6">
        <v>39017</v>
      </c>
      <c r="B1136" s="10" t="s">
        <v>1491</v>
      </c>
    </row>
    <row r="1137" spans="1:2" ht="15.75" customHeight="1" x14ac:dyDescent="0.25">
      <c r="A1137" s="6">
        <v>39018</v>
      </c>
      <c r="B1137" s="10" t="s">
        <v>1517</v>
      </c>
    </row>
    <row r="1138" spans="1:2" ht="15.75" customHeight="1" x14ac:dyDescent="0.25">
      <c r="A1138" s="6">
        <v>440001</v>
      </c>
      <c r="B1138" s="10" t="s">
        <v>796</v>
      </c>
    </row>
    <row r="1139" spans="1:2" ht="15.75" customHeight="1" x14ac:dyDescent="0.25">
      <c r="A1139" s="6">
        <v>440002</v>
      </c>
      <c r="B1139" s="10" t="s">
        <v>802</v>
      </c>
    </row>
    <row r="1140" spans="1:2" ht="15.75" customHeight="1" x14ac:dyDescent="0.25">
      <c r="A1140" s="6">
        <v>440003</v>
      </c>
      <c r="B1140" s="10" t="s">
        <v>797</v>
      </c>
    </row>
    <row r="1141" spans="1:2" ht="15.75" customHeight="1" x14ac:dyDescent="0.25">
      <c r="A1141" s="6">
        <v>440004</v>
      </c>
      <c r="B1141" s="10" t="s">
        <v>798</v>
      </c>
    </row>
    <row r="1142" spans="1:2" ht="15.75" customHeight="1" x14ac:dyDescent="0.25">
      <c r="A1142" s="6">
        <v>440005</v>
      </c>
      <c r="B1142" s="10" t="s">
        <v>804</v>
      </c>
    </row>
    <row r="1143" spans="1:2" ht="15.75" customHeight="1" x14ac:dyDescent="0.25">
      <c r="A1143" s="6">
        <v>440006</v>
      </c>
      <c r="B1143" s="10" t="s">
        <v>801</v>
      </c>
    </row>
    <row r="1144" spans="1:2" ht="15.75" customHeight="1" x14ac:dyDescent="0.25">
      <c r="A1144" s="6">
        <v>440007</v>
      </c>
      <c r="B1144" s="10" t="s">
        <v>803</v>
      </c>
    </row>
    <row r="1145" spans="1:2" ht="15.75" customHeight="1" x14ac:dyDescent="0.25">
      <c r="A1145" s="6">
        <v>440008</v>
      </c>
      <c r="B1145" s="10" t="s">
        <v>799</v>
      </c>
    </row>
    <row r="1146" spans="1:2" ht="15.75" customHeight="1" x14ac:dyDescent="0.25">
      <c r="A1146" s="6">
        <v>440009</v>
      </c>
      <c r="B1146" s="10" t="s">
        <v>800</v>
      </c>
    </row>
    <row r="1147" spans="1:2" ht="15.75" customHeight="1" x14ac:dyDescent="0.25">
      <c r="A1147" s="6">
        <v>440010</v>
      </c>
      <c r="B1147" s="10" t="s">
        <v>787</v>
      </c>
    </row>
    <row r="1148" spans="1:2" ht="15.75" customHeight="1" x14ac:dyDescent="0.25">
      <c r="A1148" s="6">
        <v>440011</v>
      </c>
      <c r="B1148" s="10" t="s">
        <v>793</v>
      </c>
    </row>
    <row r="1149" spans="1:2" ht="15.75" customHeight="1" x14ac:dyDescent="0.25">
      <c r="A1149" s="6">
        <v>440012</v>
      </c>
      <c r="B1149" s="10" t="s">
        <v>788</v>
      </c>
    </row>
    <row r="1150" spans="1:2" ht="15.75" customHeight="1" x14ac:dyDescent="0.25">
      <c r="A1150" s="6">
        <v>440013</v>
      </c>
      <c r="B1150" s="10" t="s">
        <v>789</v>
      </c>
    </row>
    <row r="1151" spans="1:2" ht="15.75" customHeight="1" x14ac:dyDescent="0.25">
      <c r="A1151" s="6">
        <v>440014</v>
      </c>
      <c r="B1151" s="10" t="s">
        <v>795</v>
      </c>
    </row>
    <row r="1152" spans="1:2" ht="15.75" customHeight="1" x14ac:dyDescent="0.25">
      <c r="A1152" s="6">
        <v>440015</v>
      </c>
      <c r="B1152" s="10" t="s">
        <v>792</v>
      </c>
    </row>
    <row r="1153" spans="1:2" ht="15.75" customHeight="1" x14ac:dyDescent="0.25">
      <c r="A1153" s="6">
        <v>440016</v>
      </c>
      <c r="B1153" s="10" t="s">
        <v>794</v>
      </c>
    </row>
    <row r="1154" spans="1:2" ht="15.75" customHeight="1" x14ac:dyDescent="0.25">
      <c r="A1154" s="6">
        <v>440017</v>
      </c>
      <c r="B1154" s="10" t="s">
        <v>790</v>
      </c>
    </row>
    <row r="1155" spans="1:2" ht="15.75" customHeight="1" x14ac:dyDescent="0.25">
      <c r="A1155" s="6">
        <v>440018</v>
      </c>
      <c r="B1155" s="10" t="s">
        <v>791</v>
      </c>
    </row>
    <row r="1156" spans="1:2" ht="15.75" customHeight="1" x14ac:dyDescent="0.25">
      <c r="A1156" s="6">
        <v>440019</v>
      </c>
      <c r="B1156" s="10" t="s">
        <v>778</v>
      </c>
    </row>
    <row r="1157" spans="1:2" ht="15.75" customHeight="1" x14ac:dyDescent="0.25">
      <c r="A1157" s="6">
        <v>440020</v>
      </c>
      <c r="B1157" s="10" t="s">
        <v>784</v>
      </c>
    </row>
    <row r="1158" spans="1:2" ht="15.75" customHeight="1" x14ac:dyDescent="0.25">
      <c r="A1158" s="6">
        <v>440021</v>
      </c>
      <c r="B1158" s="10" t="s">
        <v>779</v>
      </c>
    </row>
    <row r="1159" spans="1:2" ht="15.75" customHeight="1" x14ac:dyDescent="0.25">
      <c r="A1159" s="6">
        <v>440022</v>
      </c>
      <c r="B1159" s="10" t="s">
        <v>780</v>
      </c>
    </row>
    <row r="1160" spans="1:2" ht="15.75" customHeight="1" x14ac:dyDescent="0.25">
      <c r="A1160" s="6">
        <v>440023</v>
      </c>
      <c r="B1160" s="10" t="s">
        <v>786</v>
      </c>
    </row>
    <row r="1161" spans="1:2" ht="15.75" customHeight="1" x14ac:dyDescent="0.25">
      <c r="A1161" s="6">
        <v>440024</v>
      </c>
      <c r="B1161" s="10" t="s">
        <v>783</v>
      </c>
    </row>
    <row r="1162" spans="1:2" ht="15.75" customHeight="1" x14ac:dyDescent="0.25">
      <c r="A1162" s="6">
        <v>440025</v>
      </c>
      <c r="B1162" s="10" t="s">
        <v>785</v>
      </c>
    </row>
    <row r="1163" spans="1:2" ht="15.75" customHeight="1" x14ac:dyDescent="0.25">
      <c r="A1163" s="6">
        <v>440026</v>
      </c>
      <c r="B1163" s="10" t="s">
        <v>781</v>
      </c>
    </row>
    <row r="1164" spans="1:2" ht="15.75" customHeight="1" x14ac:dyDescent="0.25">
      <c r="A1164" s="6">
        <v>440027</v>
      </c>
      <c r="B1164" s="10" t="s">
        <v>782</v>
      </c>
    </row>
    <row r="1165" spans="1:2" ht="15.75" customHeight="1" x14ac:dyDescent="0.25">
      <c r="A1165" s="6">
        <v>440028</v>
      </c>
      <c r="B1165" s="10" t="s">
        <v>770</v>
      </c>
    </row>
    <row r="1166" spans="1:2" ht="15.75" customHeight="1" x14ac:dyDescent="0.25">
      <c r="A1166" s="6">
        <v>440029</v>
      </c>
      <c r="B1166" s="10" t="s">
        <v>775</v>
      </c>
    </row>
    <row r="1167" spans="1:2" ht="15.75" customHeight="1" x14ac:dyDescent="0.25">
      <c r="A1167" s="6">
        <v>440030</v>
      </c>
      <c r="B1167" s="10" t="s">
        <v>771</v>
      </c>
    </row>
    <row r="1168" spans="1:2" ht="15.75" customHeight="1" x14ac:dyDescent="0.25">
      <c r="A1168" s="6">
        <v>440031</v>
      </c>
      <c r="B1168" s="10" t="s">
        <v>772</v>
      </c>
    </row>
    <row r="1169" spans="1:2" ht="15.75" customHeight="1" x14ac:dyDescent="0.25">
      <c r="A1169" s="6">
        <v>440032</v>
      </c>
      <c r="B1169" s="10" t="s">
        <v>777</v>
      </c>
    </row>
    <row r="1170" spans="1:2" ht="15.75" customHeight="1" x14ac:dyDescent="0.25">
      <c r="A1170" s="6">
        <v>440033</v>
      </c>
      <c r="B1170" s="10" t="s">
        <v>774</v>
      </c>
    </row>
    <row r="1171" spans="1:2" ht="15.75" customHeight="1" x14ac:dyDescent="0.25">
      <c r="A1171" s="6">
        <v>440034</v>
      </c>
      <c r="B1171" s="10" t="s">
        <v>776</v>
      </c>
    </row>
    <row r="1172" spans="1:2" ht="15.75" customHeight="1" x14ac:dyDescent="0.25">
      <c r="A1172" s="6">
        <v>440035</v>
      </c>
      <c r="B1172" s="10" t="s">
        <v>773</v>
      </c>
    </row>
    <row r="1173" spans="1:2" ht="15.75" customHeight="1" x14ac:dyDescent="0.25">
      <c r="A1173" s="6">
        <v>440036</v>
      </c>
      <c r="B1173" s="10" t="s">
        <v>712</v>
      </c>
    </row>
    <row r="1174" spans="1:2" ht="15.75" customHeight="1" x14ac:dyDescent="0.25">
      <c r="A1174" s="6">
        <v>440037</v>
      </c>
      <c r="B1174" s="10" t="s">
        <v>710</v>
      </c>
    </row>
    <row r="1175" spans="1:2" ht="15.75" customHeight="1" x14ac:dyDescent="0.25">
      <c r="A1175" s="6">
        <v>440038</v>
      </c>
      <c r="B1175" s="10" t="s">
        <v>716</v>
      </c>
    </row>
    <row r="1176" spans="1:2" ht="15.75" customHeight="1" x14ac:dyDescent="0.25">
      <c r="A1176" s="6">
        <v>440039</v>
      </c>
      <c r="B1176" s="10" t="s">
        <v>711</v>
      </c>
    </row>
    <row r="1177" spans="1:2" ht="15.75" customHeight="1" x14ac:dyDescent="0.25">
      <c r="A1177" s="6">
        <v>440040</v>
      </c>
      <c r="B1177" s="10" t="s">
        <v>715</v>
      </c>
    </row>
    <row r="1178" spans="1:2" ht="15.75" customHeight="1" x14ac:dyDescent="0.25">
      <c r="A1178" s="6">
        <v>440041</v>
      </c>
      <c r="B1178" s="10" t="s">
        <v>718</v>
      </c>
    </row>
    <row r="1179" spans="1:2" ht="15.75" customHeight="1" x14ac:dyDescent="0.25">
      <c r="A1179" s="6">
        <v>440042</v>
      </c>
      <c r="B1179" s="10" t="s">
        <v>717</v>
      </c>
    </row>
    <row r="1180" spans="1:2" ht="15.75" customHeight="1" x14ac:dyDescent="0.25">
      <c r="A1180" s="6">
        <v>440043</v>
      </c>
      <c r="B1180" s="10" t="s">
        <v>713</v>
      </c>
    </row>
    <row r="1181" spans="1:2" ht="15.75" customHeight="1" x14ac:dyDescent="0.25">
      <c r="A1181" s="6">
        <v>440044</v>
      </c>
      <c r="B1181" s="10" t="s">
        <v>714</v>
      </c>
    </row>
    <row r="1182" spans="1:2" ht="15.75" customHeight="1" x14ac:dyDescent="0.25">
      <c r="A1182" s="6">
        <v>440045</v>
      </c>
      <c r="B1182" s="10" t="s">
        <v>709</v>
      </c>
    </row>
    <row r="1183" spans="1:2" ht="15.75" customHeight="1" x14ac:dyDescent="0.25">
      <c r="A1183" s="6">
        <v>440046</v>
      </c>
      <c r="B1183" s="10" t="s">
        <v>1170</v>
      </c>
    </row>
    <row r="1184" spans="1:2" ht="15.75" customHeight="1" x14ac:dyDescent="0.25">
      <c r="A1184" s="6">
        <v>440047</v>
      </c>
      <c r="B1184" s="10" t="s">
        <v>1168</v>
      </c>
    </row>
    <row r="1185" spans="1:2" ht="15.75" customHeight="1" x14ac:dyDescent="0.25">
      <c r="A1185" s="6">
        <v>440048</v>
      </c>
      <c r="B1185" s="10" t="s">
        <v>1174</v>
      </c>
    </row>
    <row r="1186" spans="1:2" ht="15.75" customHeight="1" x14ac:dyDescent="0.25">
      <c r="A1186" s="6">
        <v>440049</v>
      </c>
      <c r="B1186" s="10" t="s">
        <v>1169</v>
      </c>
    </row>
    <row r="1187" spans="1:2" ht="15.75" customHeight="1" x14ac:dyDescent="0.25">
      <c r="A1187" s="6">
        <v>440050</v>
      </c>
      <c r="B1187" s="10" t="s">
        <v>1173</v>
      </c>
    </row>
    <row r="1188" spans="1:2" ht="15.75" customHeight="1" x14ac:dyDescent="0.25">
      <c r="A1188" s="6">
        <v>440051</v>
      </c>
      <c r="B1188" s="10" t="s">
        <v>1176</v>
      </c>
    </row>
    <row r="1189" spans="1:2" ht="15.75" customHeight="1" x14ac:dyDescent="0.25">
      <c r="A1189" s="6">
        <v>440052</v>
      </c>
      <c r="B1189" s="10" t="s">
        <v>1175</v>
      </c>
    </row>
    <row r="1190" spans="1:2" ht="15.75" customHeight="1" x14ac:dyDescent="0.25">
      <c r="A1190" s="6">
        <v>440053</v>
      </c>
      <c r="B1190" s="10" t="s">
        <v>1171</v>
      </c>
    </row>
    <row r="1191" spans="1:2" ht="15.75" customHeight="1" x14ac:dyDescent="0.25">
      <c r="A1191" s="6">
        <v>440054</v>
      </c>
      <c r="B1191" s="10" t="s">
        <v>1172</v>
      </c>
    </row>
    <row r="1192" spans="1:2" ht="15.75" customHeight="1" x14ac:dyDescent="0.25">
      <c r="A1192" s="6">
        <v>440055</v>
      </c>
      <c r="B1192" s="10" t="s">
        <v>1167</v>
      </c>
    </row>
    <row r="1193" spans="1:2" ht="15.75" customHeight="1" x14ac:dyDescent="0.25">
      <c r="A1193" s="6">
        <v>441001</v>
      </c>
      <c r="B1193" s="10" t="s">
        <v>796</v>
      </c>
    </row>
    <row r="1194" spans="1:2" ht="15.75" customHeight="1" x14ac:dyDescent="0.25">
      <c r="A1194" s="6">
        <v>441002</v>
      </c>
      <c r="B1194" s="10" t="s">
        <v>802</v>
      </c>
    </row>
    <row r="1195" spans="1:2" ht="15.75" customHeight="1" x14ac:dyDescent="0.25">
      <c r="A1195" s="6">
        <v>441003</v>
      </c>
      <c r="B1195" s="10" t="s">
        <v>797</v>
      </c>
    </row>
    <row r="1196" spans="1:2" ht="15.75" customHeight="1" x14ac:dyDescent="0.25">
      <c r="A1196" s="6">
        <v>441004</v>
      </c>
      <c r="B1196" s="10" t="s">
        <v>798</v>
      </c>
    </row>
    <row r="1197" spans="1:2" ht="15.75" customHeight="1" x14ac:dyDescent="0.25">
      <c r="A1197" s="6">
        <v>441005</v>
      </c>
      <c r="B1197" s="10" t="s">
        <v>804</v>
      </c>
    </row>
    <row r="1198" spans="1:2" ht="15.75" customHeight="1" x14ac:dyDescent="0.25">
      <c r="A1198" s="6">
        <v>441006</v>
      </c>
      <c r="B1198" s="10" t="s">
        <v>801</v>
      </c>
    </row>
    <row r="1199" spans="1:2" ht="15.75" customHeight="1" x14ac:dyDescent="0.25">
      <c r="A1199" s="6">
        <v>441007</v>
      </c>
      <c r="B1199" s="10" t="s">
        <v>803</v>
      </c>
    </row>
    <row r="1200" spans="1:2" ht="15.75" customHeight="1" x14ac:dyDescent="0.25">
      <c r="A1200" s="6">
        <v>441008</v>
      </c>
      <c r="B1200" s="10" t="s">
        <v>799</v>
      </c>
    </row>
    <row r="1201" spans="1:2" ht="15.75" customHeight="1" x14ac:dyDescent="0.25">
      <c r="A1201" s="6">
        <v>441009</v>
      </c>
      <c r="B1201" s="10" t="s">
        <v>800</v>
      </c>
    </row>
    <row r="1202" spans="1:2" ht="15.75" customHeight="1" x14ac:dyDescent="0.25">
      <c r="A1202" s="6">
        <v>441010</v>
      </c>
      <c r="B1202" s="10" t="s">
        <v>787</v>
      </c>
    </row>
    <row r="1203" spans="1:2" ht="15.75" customHeight="1" x14ac:dyDescent="0.25">
      <c r="A1203" s="6">
        <v>441011</v>
      </c>
      <c r="B1203" s="10" t="s">
        <v>793</v>
      </c>
    </row>
    <row r="1204" spans="1:2" ht="15.75" customHeight="1" x14ac:dyDescent="0.25">
      <c r="A1204" s="6">
        <v>441012</v>
      </c>
      <c r="B1204" s="10" t="s">
        <v>788</v>
      </c>
    </row>
    <row r="1205" spans="1:2" ht="15.75" customHeight="1" x14ac:dyDescent="0.25">
      <c r="A1205" s="6">
        <v>441013</v>
      </c>
      <c r="B1205" s="10" t="s">
        <v>789</v>
      </c>
    </row>
    <row r="1206" spans="1:2" ht="15.75" customHeight="1" x14ac:dyDescent="0.25">
      <c r="A1206" s="6">
        <v>441014</v>
      </c>
      <c r="B1206" s="10" t="s">
        <v>795</v>
      </c>
    </row>
    <row r="1207" spans="1:2" ht="15.75" customHeight="1" x14ac:dyDescent="0.25">
      <c r="A1207" s="6">
        <v>441015</v>
      </c>
      <c r="B1207" s="10" t="s">
        <v>792</v>
      </c>
    </row>
    <row r="1208" spans="1:2" ht="15.75" customHeight="1" x14ac:dyDescent="0.25">
      <c r="A1208" s="6">
        <v>441016</v>
      </c>
      <c r="B1208" s="10" t="s">
        <v>794</v>
      </c>
    </row>
    <row r="1209" spans="1:2" ht="15.75" customHeight="1" x14ac:dyDescent="0.25">
      <c r="A1209" s="6">
        <v>441017</v>
      </c>
      <c r="B1209" s="10" t="s">
        <v>790</v>
      </c>
    </row>
    <row r="1210" spans="1:2" ht="15.75" customHeight="1" x14ac:dyDescent="0.25">
      <c r="A1210" s="6">
        <v>441018</v>
      </c>
      <c r="B1210" s="10" t="s">
        <v>791</v>
      </c>
    </row>
    <row r="1211" spans="1:2" ht="15.75" customHeight="1" x14ac:dyDescent="0.25">
      <c r="A1211" s="6">
        <v>441019</v>
      </c>
      <c r="B1211" s="10" t="s">
        <v>778</v>
      </c>
    </row>
    <row r="1212" spans="1:2" ht="15.75" customHeight="1" x14ac:dyDescent="0.25">
      <c r="A1212" s="6">
        <v>441020</v>
      </c>
      <c r="B1212" s="10" t="s">
        <v>784</v>
      </c>
    </row>
    <row r="1213" spans="1:2" ht="15.75" customHeight="1" x14ac:dyDescent="0.25">
      <c r="A1213" s="6">
        <v>441021</v>
      </c>
      <c r="B1213" s="10" t="s">
        <v>779</v>
      </c>
    </row>
    <row r="1214" spans="1:2" ht="15.75" customHeight="1" x14ac:dyDescent="0.25">
      <c r="A1214" s="6">
        <v>441022</v>
      </c>
      <c r="B1214" s="10" t="s">
        <v>780</v>
      </c>
    </row>
    <row r="1215" spans="1:2" ht="15.75" customHeight="1" x14ac:dyDescent="0.25">
      <c r="A1215" s="6">
        <v>441023</v>
      </c>
      <c r="B1215" s="10" t="s">
        <v>786</v>
      </c>
    </row>
    <row r="1216" spans="1:2" ht="15.75" customHeight="1" x14ac:dyDescent="0.25">
      <c r="A1216" s="6">
        <v>441024</v>
      </c>
      <c r="B1216" s="10" t="s">
        <v>783</v>
      </c>
    </row>
    <row r="1217" spans="1:2" ht="15.75" customHeight="1" x14ac:dyDescent="0.25">
      <c r="A1217" s="6">
        <v>441025</v>
      </c>
      <c r="B1217" s="10" t="s">
        <v>785</v>
      </c>
    </row>
    <row r="1218" spans="1:2" ht="15.75" customHeight="1" x14ac:dyDescent="0.25">
      <c r="A1218" s="6">
        <v>441026</v>
      </c>
      <c r="B1218" s="10" t="s">
        <v>781</v>
      </c>
    </row>
    <row r="1219" spans="1:2" ht="15.75" customHeight="1" x14ac:dyDescent="0.25">
      <c r="A1219" s="6">
        <v>441027</v>
      </c>
      <c r="B1219" s="10" t="s">
        <v>782</v>
      </c>
    </row>
    <row r="1220" spans="1:2" ht="15.75" customHeight="1" x14ac:dyDescent="0.25">
      <c r="A1220" s="6">
        <v>441028</v>
      </c>
      <c r="B1220" s="10" t="s">
        <v>770</v>
      </c>
    </row>
    <row r="1221" spans="1:2" ht="15.75" customHeight="1" x14ac:dyDescent="0.25">
      <c r="A1221" s="6">
        <v>441029</v>
      </c>
      <c r="B1221" s="10" t="s">
        <v>775</v>
      </c>
    </row>
    <row r="1222" spans="1:2" ht="15.75" customHeight="1" x14ac:dyDescent="0.25">
      <c r="A1222" s="6">
        <v>441030</v>
      </c>
      <c r="B1222" s="10" t="s">
        <v>771</v>
      </c>
    </row>
    <row r="1223" spans="1:2" ht="15.75" customHeight="1" x14ac:dyDescent="0.25">
      <c r="A1223" s="6">
        <v>441031</v>
      </c>
      <c r="B1223" s="10" t="s">
        <v>772</v>
      </c>
    </row>
    <row r="1224" spans="1:2" ht="15.75" customHeight="1" x14ac:dyDescent="0.25">
      <c r="A1224" s="6">
        <v>441032</v>
      </c>
      <c r="B1224" s="10" t="s">
        <v>777</v>
      </c>
    </row>
    <row r="1225" spans="1:2" ht="15.75" customHeight="1" x14ac:dyDescent="0.25">
      <c r="A1225" s="6">
        <v>441033</v>
      </c>
      <c r="B1225" s="10" t="s">
        <v>774</v>
      </c>
    </row>
    <row r="1226" spans="1:2" ht="15.75" customHeight="1" x14ac:dyDescent="0.25">
      <c r="A1226" s="6">
        <v>441034</v>
      </c>
      <c r="B1226" s="10" t="s">
        <v>776</v>
      </c>
    </row>
    <row r="1227" spans="1:2" ht="15.75" customHeight="1" x14ac:dyDescent="0.25">
      <c r="A1227" s="6">
        <v>441035</v>
      </c>
      <c r="B1227" s="10" t="s">
        <v>773</v>
      </c>
    </row>
    <row r="1228" spans="1:2" ht="15.75" customHeight="1" x14ac:dyDescent="0.25">
      <c r="A1228" s="6">
        <v>441036</v>
      </c>
      <c r="B1228" s="10" t="s">
        <v>712</v>
      </c>
    </row>
    <row r="1229" spans="1:2" ht="15.75" customHeight="1" x14ac:dyDescent="0.25">
      <c r="A1229" s="6">
        <v>441037</v>
      </c>
      <c r="B1229" s="10" t="s">
        <v>710</v>
      </c>
    </row>
    <row r="1230" spans="1:2" ht="15.75" customHeight="1" x14ac:dyDescent="0.25">
      <c r="A1230" s="6">
        <v>441038</v>
      </c>
      <c r="B1230" s="10" t="s">
        <v>716</v>
      </c>
    </row>
    <row r="1231" spans="1:2" ht="15.75" customHeight="1" x14ac:dyDescent="0.25">
      <c r="A1231" s="6">
        <v>441039</v>
      </c>
      <c r="B1231" s="10" t="s">
        <v>711</v>
      </c>
    </row>
    <row r="1232" spans="1:2" ht="15.75" customHeight="1" x14ac:dyDescent="0.25">
      <c r="A1232" s="6">
        <v>441040</v>
      </c>
      <c r="B1232" s="10" t="s">
        <v>715</v>
      </c>
    </row>
    <row r="1233" spans="1:2" ht="15.75" customHeight="1" x14ac:dyDescent="0.25">
      <c r="A1233" s="6">
        <v>441041</v>
      </c>
      <c r="B1233" s="10" t="s">
        <v>718</v>
      </c>
    </row>
    <row r="1234" spans="1:2" ht="15.75" customHeight="1" x14ac:dyDescent="0.25">
      <c r="A1234" s="6">
        <v>441042</v>
      </c>
      <c r="B1234" s="10" t="s">
        <v>717</v>
      </c>
    </row>
    <row r="1235" spans="1:2" ht="15.75" customHeight="1" x14ac:dyDescent="0.25">
      <c r="A1235" s="6">
        <v>441043</v>
      </c>
      <c r="B1235" s="10" t="s">
        <v>713</v>
      </c>
    </row>
    <row r="1236" spans="1:2" ht="15.75" customHeight="1" x14ac:dyDescent="0.25">
      <c r="A1236" s="6">
        <v>441044</v>
      </c>
      <c r="B1236" s="10" t="s">
        <v>714</v>
      </c>
    </row>
    <row r="1237" spans="1:2" ht="15.75" customHeight="1" x14ac:dyDescent="0.25">
      <c r="A1237" s="6">
        <v>441045</v>
      </c>
      <c r="B1237" s="10" t="s">
        <v>709</v>
      </c>
    </row>
    <row r="1238" spans="1:2" ht="15.75" customHeight="1" x14ac:dyDescent="0.25">
      <c r="A1238" s="6">
        <v>42001</v>
      </c>
      <c r="B1238" s="10" t="s">
        <v>1467</v>
      </c>
    </row>
    <row r="1239" spans="1:2" ht="15.75" customHeight="1" x14ac:dyDescent="0.25">
      <c r="A1239" s="6">
        <v>42002</v>
      </c>
      <c r="B1239" s="10" t="s">
        <v>1465</v>
      </c>
    </row>
    <row r="1240" spans="1:2" ht="15.75" customHeight="1" x14ac:dyDescent="0.25">
      <c r="A1240" s="6">
        <v>42003</v>
      </c>
      <c r="B1240" s="10" t="s">
        <v>1478</v>
      </c>
    </row>
    <row r="1241" spans="1:2" ht="15.75" customHeight="1" x14ac:dyDescent="0.25">
      <c r="A1241" s="6">
        <v>42004</v>
      </c>
      <c r="B1241" s="10" t="s">
        <v>1468</v>
      </c>
    </row>
    <row r="1242" spans="1:2" ht="15.75" customHeight="1" x14ac:dyDescent="0.25">
      <c r="A1242" s="6">
        <v>42005</v>
      </c>
      <c r="B1242" s="10" t="s">
        <v>1466</v>
      </c>
    </row>
    <row r="1243" spans="1:2" ht="15.75" customHeight="1" x14ac:dyDescent="0.25">
      <c r="A1243" s="6">
        <v>42006</v>
      </c>
      <c r="B1243" s="10" t="s">
        <v>1479</v>
      </c>
    </row>
    <row r="1244" spans="1:2" ht="15.75" customHeight="1" x14ac:dyDescent="0.25">
      <c r="A1244" s="6">
        <v>42013</v>
      </c>
      <c r="B1244" s="10" t="s">
        <v>1482</v>
      </c>
    </row>
    <row r="1245" spans="1:2" ht="15.75" customHeight="1" x14ac:dyDescent="0.25">
      <c r="A1245" s="6">
        <v>42014</v>
      </c>
      <c r="B1245" s="10" t="s">
        <v>1480</v>
      </c>
    </row>
    <row r="1246" spans="1:2" ht="15.75" customHeight="1" x14ac:dyDescent="0.25">
      <c r="A1246" s="6">
        <v>42015</v>
      </c>
      <c r="B1246" s="10" t="s">
        <v>1484</v>
      </c>
    </row>
    <row r="1247" spans="1:2" ht="15.75" customHeight="1" x14ac:dyDescent="0.25">
      <c r="A1247" s="6">
        <v>42016</v>
      </c>
      <c r="B1247" s="10" t="s">
        <v>1483</v>
      </c>
    </row>
    <row r="1248" spans="1:2" ht="15.75" customHeight="1" x14ac:dyDescent="0.25">
      <c r="A1248" s="6">
        <v>42017</v>
      </c>
      <c r="B1248" s="10" t="s">
        <v>1481</v>
      </c>
    </row>
    <row r="1249" spans="1:2" ht="15.75" customHeight="1" x14ac:dyDescent="0.25">
      <c r="A1249" s="6">
        <v>42018</v>
      </c>
      <c r="B1249" s="10" t="s">
        <v>1485</v>
      </c>
    </row>
    <row r="1250" spans="1:2" ht="15.75" customHeight="1" x14ac:dyDescent="0.25">
      <c r="A1250" s="6">
        <v>42031</v>
      </c>
      <c r="B1250" s="10" t="s">
        <v>1513</v>
      </c>
    </row>
    <row r="1251" spans="1:2" ht="15.75" customHeight="1" x14ac:dyDescent="0.25">
      <c r="A1251" s="6">
        <v>42032</v>
      </c>
      <c r="B1251" s="10" t="s">
        <v>1497</v>
      </c>
    </row>
    <row r="1252" spans="1:2" ht="15.75" customHeight="1" x14ac:dyDescent="0.25">
      <c r="A1252" s="6">
        <v>42033</v>
      </c>
      <c r="B1252" s="10" t="s">
        <v>1523</v>
      </c>
    </row>
    <row r="1253" spans="1:2" ht="15.75" customHeight="1" x14ac:dyDescent="0.25">
      <c r="A1253" s="6">
        <v>42034</v>
      </c>
      <c r="B1253" s="10" t="s">
        <v>1515</v>
      </c>
    </row>
    <row r="1254" spans="1:2" ht="15.75" customHeight="1" x14ac:dyDescent="0.25">
      <c r="A1254" s="6">
        <v>42035</v>
      </c>
      <c r="B1254" s="10" t="s">
        <v>1499</v>
      </c>
    </row>
    <row r="1255" spans="1:2" ht="15.75" customHeight="1" x14ac:dyDescent="0.25">
      <c r="A1255" s="6">
        <v>42036</v>
      </c>
      <c r="B1255" s="10" t="s">
        <v>1525</v>
      </c>
    </row>
    <row r="1256" spans="1:2" ht="15.75" customHeight="1" x14ac:dyDescent="0.25">
      <c r="A1256" s="6">
        <v>42037</v>
      </c>
      <c r="B1256" s="10" t="s">
        <v>1512</v>
      </c>
    </row>
    <row r="1257" spans="1:2" ht="15.75" customHeight="1" x14ac:dyDescent="0.25">
      <c r="A1257" s="6">
        <v>42038</v>
      </c>
      <c r="B1257" s="10" t="s">
        <v>1496</v>
      </c>
    </row>
    <row r="1258" spans="1:2" ht="15.75" customHeight="1" x14ac:dyDescent="0.25">
      <c r="A1258" s="6">
        <v>42039</v>
      </c>
      <c r="B1258" s="10" t="s">
        <v>1522</v>
      </c>
    </row>
    <row r="1259" spans="1:2" ht="15.75" customHeight="1" x14ac:dyDescent="0.25">
      <c r="A1259" s="6">
        <v>42040</v>
      </c>
      <c r="B1259" s="10" t="s">
        <v>1514</v>
      </c>
    </row>
    <row r="1260" spans="1:2" ht="15.75" customHeight="1" x14ac:dyDescent="0.25">
      <c r="A1260" s="6">
        <v>42041</v>
      </c>
      <c r="B1260" s="10" t="s">
        <v>1498</v>
      </c>
    </row>
    <row r="1261" spans="1:2" ht="15.75" customHeight="1" x14ac:dyDescent="0.25">
      <c r="A1261" s="6">
        <v>42042</v>
      </c>
      <c r="B1261" s="10" t="s">
        <v>1524</v>
      </c>
    </row>
    <row r="1262" spans="1:2" ht="15.75" customHeight="1" x14ac:dyDescent="0.25">
      <c r="A1262" s="6">
        <v>42043</v>
      </c>
      <c r="B1262" s="10" t="s">
        <v>1476</v>
      </c>
    </row>
    <row r="1263" spans="1:2" ht="15.75" customHeight="1" x14ac:dyDescent="0.25">
      <c r="A1263" s="6">
        <v>42044</v>
      </c>
      <c r="B1263" s="10" t="s">
        <v>1477</v>
      </c>
    </row>
    <row r="1264" spans="1:2" ht="15.75" customHeight="1" x14ac:dyDescent="0.25">
      <c r="A1264" s="6">
        <v>42045</v>
      </c>
      <c r="B1264" s="10" t="s">
        <v>1475</v>
      </c>
    </row>
    <row r="1265" spans="1:2" ht="15.75" customHeight="1" x14ac:dyDescent="0.25">
      <c r="A1265" s="6">
        <v>42046</v>
      </c>
      <c r="B1265" s="10" t="s">
        <v>1650</v>
      </c>
    </row>
    <row r="1266" spans="1:2" ht="15.75" customHeight="1" x14ac:dyDescent="0.25">
      <c r="A1266" s="6">
        <v>42047</v>
      </c>
      <c r="B1266" s="10" t="s">
        <v>1651</v>
      </c>
    </row>
    <row r="1267" spans="1:2" ht="15.75" customHeight="1" x14ac:dyDescent="0.25">
      <c r="A1267" s="6">
        <v>42048</v>
      </c>
      <c r="B1267" s="10" t="s">
        <v>1652</v>
      </c>
    </row>
    <row r="1268" spans="1:2" ht="15.75" customHeight="1" x14ac:dyDescent="0.25">
      <c r="A1268" s="6">
        <v>42049</v>
      </c>
      <c r="B1268" s="10" t="s">
        <v>1653</v>
      </c>
    </row>
    <row r="1269" spans="1:2" ht="15.75" customHeight="1" x14ac:dyDescent="0.25">
      <c r="A1269" s="6">
        <v>42050</v>
      </c>
      <c r="B1269" s="10" t="s">
        <v>2012</v>
      </c>
    </row>
    <row r="1270" spans="1:2" ht="15.75" customHeight="1" x14ac:dyDescent="0.25">
      <c r="A1270" s="6">
        <v>43007</v>
      </c>
      <c r="B1270" s="10" t="s">
        <v>1605</v>
      </c>
    </row>
    <row r="1271" spans="1:2" ht="15.75" customHeight="1" x14ac:dyDescent="0.25">
      <c r="A1271" s="6">
        <v>43010</v>
      </c>
      <c r="B1271" s="10" t="s">
        <v>842</v>
      </c>
    </row>
    <row r="1272" spans="1:2" ht="15.75" customHeight="1" x14ac:dyDescent="0.25">
      <c r="A1272" s="6">
        <v>43011</v>
      </c>
      <c r="B1272" s="10" t="s">
        <v>850</v>
      </c>
    </row>
    <row r="1273" spans="1:2" ht="15.75" customHeight="1" x14ac:dyDescent="0.25">
      <c r="A1273" s="6">
        <v>43012</v>
      </c>
      <c r="B1273" s="10" t="s">
        <v>830</v>
      </c>
    </row>
    <row r="1274" spans="1:2" ht="15.75" customHeight="1" x14ac:dyDescent="0.25">
      <c r="A1274" s="6">
        <v>43013</v>
      </c>
      <c r="B1274" s="10" t="s">
        <v>833</v>
      </c>
    </row>
    <row r="1275" spans="1:2" ht="15.75" customHeight="1" x14ac:dyDescent="0.25">
      <c r="A1275" s="6">
        <v>43014</v>
      </c>
      <c r="B1275" s="10" t="s">
        <v>1448</v>
      </c>
    </row>
    <row r="1276" spans="1:2" ht="15.75" customHeight="1" x14ac:dyDescent="0.25">
      <c r="A1276" s="6">
        <v>45001</v>
      </c>
      <c r="B1276" s="10" t="s">
        <v>1009</v>
      </c>
    </row>
    <row r="1277" spans="1:2" ht="15.75" customHeight="1" x14ac:dyDescent="0.25">
      <c r="A1277" s="6">
        <v>45002</v>
      </c>
      <c r="B1277" s="10" t="s">
        <v>1006</v>
      </c>
    </row>
    <row r="1278" spans="1:2" ht="15.75" customHeight="1" x14ac:dyDescent="0.25">
      <c r="A1278" s="6">
        <v>45003</v>
      </c>
      <c r="B1278" s="10" t="s">
        <v>1007</v>
      </c>
    </row>
    <row r="1279" spans="1:2" ht="15.75" customHeight="1" x14ac:dyDescent="0.25">
      <c r="A1279" s="6">
        <v>45004</v>
      </c>
      <c r="B1279" s="10" t="s">
        <v>1008</v>
      </c>
    </row>
    <row r="1280" spans="1:2" ht="15.75" customHeight="1" x14ac:dyDescent="0.25">
      <c r="A1280" s="6">
        <v>45005</v>
      </c>
      <c r="B1280" s="10" t="s">
        <v>1010</v>
      </c>
    </row>
    <row r="1281" spans="1:2" ht="15.75" customHeight="1" x14ac:dyDescent="0.25">
      <c r="A1281" s="6">
        <v>45006</v>
      </c>
      <c r="B1281" s="10" t="s">
        <v>1536</v>
      </c>
    </row>
    <row r="1282" spans="1:2" ht="15.75" customHeight="1" x14ac:dyDescent="0.25">
      <c r="A1282" s="6">
        <v>45007</v>
      </c>
      <c r="B1282" s="10" t="s">
        <v>1533</v>
      </c>
    </row>
    <row r="1283" spans="1:2" ht="15.75" customHeight="1" x14ac:dyDescent="0.25">
      <c r="A1283" s="6">
        <v>45008</v>
      </c>
      <c r="B1283" s="10" t="s">
        <v>1534</v>
      </c>
    </row>
    <row r="1284" spans="1:2" ht="15.75" customHeight="1" x14ac:dyDescent="0.25">
      <c r="A1284" s="6">
        <v>45009</v>
      </c>
      <c r="B1284" s="10" t="s">
        <v>1535</v>
      </c>
    </row>
    <row r="1285" spans="1:2" ht="15.75" customHeight="1" x14ac:dyDescent="0.25">
      <c r="A1285" s="6">
        <v>45010</v>
      </c>
      <c r="B1285" s="10" t="s">
        <v>1537</v>
      </c>
    </row>
    <row r="1286" spans="1:2" ht="15.75" customHeight="1" x14ac:dyDescent="0.25">
      <c r="A1286" s="6">
        <v>45011</v>
      </c>
      <c r="B1286" s="10" t="s">
        <v>1462</v>
      </c>
    </row>
    <row r="1287" spans="1:2" ht="15.75" customHeight="1" x14ac:dyDescent="0.25">
      <c r="A1287" s="6">
        <v>45012</v>
      </c>
      <c r="B1287" s="10" t="s">
        <v>1113</v>
      </c>
    </row>
    <row r="1288" spans="1:2" ht="15.75" customHeight="1" x14ac:dyDescent="0.25">
      <c r="A1288" s="6">
        <v>45013</v>
      </c>
      <c r="B1288" s="10" t="s">
        <v>690</v>
      </c>
    </row>
    <row r="1289" spans="1:2" ht="15.75" customHeight="1" x14ac:dyDescent="0.25">
      <c r="A1289" s="6">
        <v>45014</v>
      </c>
      <c r="B1289" s="10" t="s">
        <v>688</v>
      </c>
    </row>
    <row r="1290" spans="1:2" ht="15.75" customHeight="1" x14ac:dyDescent="0.25">
      <c r="A1290" s="6">
        <v>45015</v>
      </c>
      <c r="B1290" s="10" t="s">
        <v>689</v>
      </c>
    </row>
    <row r="1291" spans="1:2" ht="15.75" customHeight="1" x14ac:dyDescent="0.25">
      <c r="A1291" s="6">
        <v>45016</v>
      </c>
      <c r="B1291" s="10" t="s">
        <v>680</v>
      </c>
    </row>
    <row r="1292" spans="1:2" ht="15.75" customHeight="1" x14ac:dyDescent="0.25">
      <c r="A1292" s="6">
        <v>45017</v>
      </c>
      <c r="B1292" s="10" t="s">
        <v>678</v>
      </c>
    </row>
    <row r="1293" spans="1:2" ht="15.75" customHeight="1" x14ac:dyDescent="0.25">
      <c r="A1293" s="6">
        <v>45018</v>
      </c>
      <c r="B1293" s="10" t="s">
        <v>679</v>
      </c>
    </row>
    <row r="1294" spans="1:2" ht="15.75" customHeight="1" x14ac:dyDescent="0.25">
      <c r="A1294" s="6">
        <v>45019</v>
      </c>
      <c r="B1294" s="10" t="s">
        <v>1051</v>
      </c>
    </row>
    <row r="1295" spans="1:2" ht="15.75" customHeight="1" x14ac:dyDescent="0.25">
      <c r="A1295" s="6">
        <v>45020</v>
      </c>
      <c r="B1295" s="10" t="s">
        <v>1049</v>
      </c>
    </row>
    <row r="1296" spans="1:2" ht="15.75" customHeight="1" x14ac:dyDescent="0.25">
      <c r="A1296" s="6">
        <v>45021</v>
      </c>
      <c r="B1296" s="10" t="s">
        <v>1050</v>
      </c>
    </row>
    <row r="1297" spans="1:2" ht="15.75" customHeight="1" x14ac:dyDescent="0.25">
      <c r="A1297" s="6">
        <v>45022</v>
      </c>
      <c r="B1297" s="10" t="s">
        <v>1216</v>
      </c>
    </row>
    <row r="1298" spans="1:2" ht="15.75" customHeight="1" x14ac:dyDescent="0.25">
      <c r="A1298" s="6">
        <v>45023</v>
      </c>
      <c r="B1298" s="10" t="s">
        <v>1214</v>
      </c>
    </row>
    <row r="1299" spans="1:2" ht="15.75" customHeight="1" x14ac:dyDescent="0.25">
      <c r="A1299" s="6">
        <v>45024</v>
      </c>
      <c r="B1299" s="10" t="s">
        <v>1215</v>
      </c>
    </row>
    <row r="1300" spans="1:2" ht="15.75" customHeight="1" x14ac:dyDescent="0.25">
      <c r="A1300" s="6">
        <v>45025</v>
      </c>
      <c r="B1300" s="10" t="s">
        <v>1301</v>
      </c>
    </row>
    <row r="1301" spans="1:2" ht="15.75" customHeight="1" x14ac:dyDescent="0.25">
      <c r="A1301" s="6">
        <v>45026</v>
      </c>
      <c r="B1301" s="10" t="s">
        <v>1298</v>
      </c>
    </row>
    <row r="1302" spans="1:2" ht="15.75" customHeight="1" x14ac:dyDescent="0.25">
      <c r="A1302" s="6">
        <v>45027</v>
      </c>
      <c r="B1302" s="10" t="s">
        <v>1299</v>
      </c>
    </row>
    <row r="1303" spans="1:2" ht="15.75" customHeight="1" x14ac:dyDescent="0.25">
      <c r="A1303" s="6">
        <v>45028</v>
      </c>
      <c r="B1303" s="10" t="s">
        <v>1300</v>
      </c>
    </row>
    <row r="1304" spans="1:2" ht="15.75" customHeight="1" x14ac:dyDescent="0.25">
      <c r="A1304" s="6">
        <v>45029</v>
      </c>
      <c r="B1304" s="10" t="s">
        <v>1439</v>
      </c>
    </row>
    <row r="1305" spans="1:2" ht="15.75" customHeight="1" x14ac:dyDescent="0.25">
      <c r="A1305" s="6">
        <v>45030</v>
      </c>
      <c r="B1305" s="10" t="s">
        <v>1437</v>
      </c>
    </row>
    <row r="1306" spans="1:2" ht="15.75" customHeight="1" x14ac:dyDescent="0.25">
      <c r="A1306" s="6">
        <v>45031</v>
      </c>
      <c r="B1306" s="10" t="s">
        <v>1438</v>
      </c>
    </row>
    <row r="1307" spans="1:2" ht="15.75" customHeight="1" x14ac:dyDescent="0.25">
      <c r="A1307" s="6">
        <v>45032</v>
      </c>
      <c r="B1307" s="10" t="s">
        <v>705</v>
      </c>
    </row>
    <row r="1308" spans="1:2" ht="15.75" customHeight="1" x14ac:dyDescent="0.25">
      <c r="A1308" s="6">
        <v>45033</v>
      </c>
      <c r="B1308" s="10" t="s">
        <v>702</v>
      </c>
    </row>
    <row r="1309" spans="1:2" ht="15.75" customHeight="1" x14ac:dyDescent="0.25">
      <c r="A1309" s="6">
        <v>45034</v>
      </c>
      <c r="B1309" s="10" t="s">
        <v>703</v>
      </c>
    </row>
    <row r="1310" spans="1:2" ht="15.75" customHeight="1" x14ac:dyDescent="0.25">
      <c r="A1310" s="6">
        <v>45035</v>
      </c>
      <c r="B1310" s="10" t="s">
        <v>704</v>
      </c>
    </row>
    <row r="1311" spans="1:2" ht="15.75" customHeight="1" x14ac:dyDescent="0.25">
      <c r="A1311" s="6">
        <v>45036</v>
      </c>
      <c r="B1311" s="10" t="s">
        <v>1150</v>
      </c>
    </row>
    <row r="1312" spans="1:2" ht="15.75" customHeight="1" x14ac:dyDescent="0.25">
      <c r="A1312" s="6">
        <v>45037</v>
      </c>
      <c r="B1312" s="10" t="s">
        <v>1148</v>
      </c>
    </row>
    <row r="1313" spans="1:2" ht="15.75" customHeight="1" x14ac:dyDescent="0.25">
      <c r="A1313" s="6">
        <v>45038</v>
      </c>
      <c r="B1313" s="10" t="s">
        <v>1149</v>
      </c>
    </row>
    <row r="1314" spans="1:2" ht="15.75" customHeight="1" x14ac:dyDescent="0.25">
      <c r="A1314" s="6">
        <v>45039</v>
      </c>
      <c r="B1314" s="10" t="s">
        <v>1464</v>
      </c>
    </row>
    <row r="1315" spans="1:2" ht="15.75" customHeight="1" x14ac:dyDescent="0.25">
      <c r="A1315" s="6">
        <v>45040</v>
      </c>
      <c r="B1315" s="10" t="s">
        <v>1463</v>
      </c>
    </row>
    <row r="1316" spans="1:2" ht="15.75" customHeight="1" x14ac:dyDescent="0.25">
      <c r="A1316" s="6">
        <v>45041</v>
      </c>
      <c r="B1316" s="10" t="s">
        <v>1109</v>
      </c>
    </row>
    <row r="1317" spans="1:2" ht="15.75" customHeight="1" x14ac:dyDescent="0.25">
      <c r="A1317" s="6">
        <v>45042</v>
      </c>
      <c r="B1317" s="10" t="s">
        <v>1110</v>
      </c>
    </row>
    <row r="1318" spans="1:2" ht="15.75" customHeight="1" x14ac:dyDescent="0.25">
      <c r="A1318" s="6">
        <v>45043</v>
      </c>
      <c r="B1318" s="10" t="s">
        <v>1112</v>
      </c>
    </row>
    <row r="1319" spans="1:2" ht="15.75" customHeight="1" x14ac:dyDescent="0.25">
      <c r="A1319" s="6">
        <v>45044</v>
      </c>
      <c r="B1319" s="10" t="s">
        <v>821</v>
      </c>
    </row>
    <row r="1320" spans="1:2" ht="15.75" customHeight="1" x14ac:dyDescent="0.25">
      <c r="A1320" s="6">
        <v>45045</v>
      </c>
      <c r="B1320" s="10" t="s">
        <v>819</v>
      </c>
    </row>
    <row r="1321" spans="1:2" ht="15.75" customHeight="1" x14ac:dyDescent="0.25">
      <c r="A1321" s="6">
        <v>45046</v>
      </c>
      <c r="B1321" s="10" t="s">
        <v>820</v>
      </c>
    </row>
    <row r="1322" spans="1:2" ht="15.75" customHeight="1" x14ac:dyDescent="0.25">
      <c r="A1322" s="6">
        <v>45047</v>
      </c>
      <c r="B1322" s="10" t="s">
        <v>873</v>
      </c>
    </row>
    <row r="1323" spans="1:2" ht="15.75" customHeight="1" x14ac:dyDescent="0.25">
      <c r="A1323" s="6">
        <v>45048</v>
      </c>
      <c r="B1323" s="10" t="s">
        <v>874</v>
      </c>
    </row>
    <row r="1324" spans="1:2" ht="15.75" customHeight="1" x14ac:dyDescent="0.25">
      <c r="A1324" s="6">
        <v>45049</v>
      </c>
      <c r="B1324" s="10" t="s">
        <v>871</v>
      </c>
    </row>
    <row r="1325" spans="1:2" ht="15.75" customHeight="1" x14ac:dyDescent="0.25">
      <c r="A1325" s="6">
        <v>45050</v>
      </c>
      <c r="B1325" s="10" t="s">
        <v>872</v>
      </c>
    </row>
    <row r="1326" spans="1:2" ht="15.75" customHeight="1" x14ac:dyDescent="0.25">
      <c r="A1326" s="6">
        <v>45051</v>
      </c>
      <c r="B1326" s="10" t="s">
        <v>672</v>
      </c>
    </row>
    <row r="1327" spans="1:2" ht="15.75" customHeight="1" x14ac:dyDescent="0.25">
      <c r="A1327" s="6">
        <v>45052</v>
      </c>
      <c r="B1327" s="10" t="s">
        <v>670</v>
      </c>
    </row>
    <row r="1328" spans="1:2" ht="15.75" customHeight="1" x14ac:dyDescent="0.25">
      <c r="A1328" s="6">
        <v>45053</v>
      </c>
      <c r="B1328" s="10" t="s">
        <v>671</v>
      </c>
    </row>
    <row r="1329" spans="1:2" ht="15.75" customHeight="1" x14ac:dyDescent="0.25">
      <c r="A1329" s="6">
        <v>45054</v>
      </c>
      <c r="B1329" s="10" t="s">
        <v>878</v>
      </c>
    </row>
    <row r="1330" spans="1:2" ht="15.75" customHeight="1" x14ac:dyDescent="0.25">
      <c r="A1330" s="6">
        <v>45055</v>
      </c>
      <c r="B1330" s="10" t="s">
        <v>875</v>
      </c>
    </row>
    <row r="1331" spans="1:2" ht="15.75" customHeight="1" x14ac:dyDescent="0.25">
      <c r="A1331" s="6">
        <v>45056</v>
      </c>
      <c r="B1331" s="10" t="s">
        <v>876</v>
      </c>
    </row>
    <row r="1332" spans="1:2" ht="15.75" customHeight="1" x14ac:dyDescent="0.25">
      <c r="A1332" s="6">
        <v>45057</v>
      </c>
      <c r="B1332" s="10" t="s">
        <v>877</v>
      </c>
    </row>
    <row r="1333" spans="1:2" ht="15.75" customHeight="1" x14ac:dyDescent="0.25">
      <c r="A1333" s="6">
        <v>45058</v>
      </c>
      <c r="B1333" s="10" t="s">
        <v>1166</v>
      </c>
    </row>
    <row r="1334" spans="1:2" ht="15.75" customHeight="1" x14ac:dyDescent="0.25">
      <c r="A1334" s="6">
        <v>45059</v>
      </c>
      <c r="B1334" s="10" t="s">
        <v>1164</v>
      </c>
    </row>
    <row r="1335" spans="1:2" ht="15.75" customHeight="1" x14ac:dyDescent="0.25">
      <c r="A1335" s="6">
        <v>45060</v>
      </c>
      <c r="B1335" s="10" t="s">
        <v>1165</v>
      </c>
    </row>
    <row r="1336" spans="1:2" ht="15.75" customHeight="1" x14ac:dyDescent="0.25">
      <c r="A1336" s="6">
        <v>45061</v>
      </c>
      <c r="B1336" s="10" t="s">
        <v>687</v>
      </c>
    </row>
    <row r="1337" spans="1:2" ht="15.75" customHeight="1" x14ac:dyDescent="0.25">
      <c r="A1337" s="6">
        <v>45062</v>
      </c>
      <c r="B1337" s="10" t="s">
        <v>686</v>
      </c>
    </row>
    <row r="1338" spans="1:2" ht="15.75" customHeight="1" x14ac:dyDescent="0.25">
      <c r="A1338" s="6">
        <v>45064</v>
      </c>
      <c r="B1338" s="10" t="s">
        <v>1111</v>
      </c>
    </row>
    <row r="1339" spans="1:2" ht="15.75" customHeight="1" x14ac:dyDescent="0.25">
      <c r="A1339" s="6">
        <v>446001</v>
      </c>
      <c r="B1339" s="10" t="s">
        <v>1611</v>
      </c>
    </row>
    <row r="1340" spans="1:2" ht="15.75" customHeight="1" x14ac:dyDescent="0.25">
      <c r="A1340" s="6">
        <v>446002</v>
      </c>
      <c r="B1340" s="10" t="s">
        <v>1608</v>
      </c>
    </row>
    <row r="1341" spans="1:2" ht="15.75" customHeight="1" x14ac:dyDescent="0.25">
      <c r="A1341" s="6">
        <v>446003</v>
      </c>
      <c r="B1341" s="10" t="s">
        <v>1610</v>
      </c>
    </row>
    <row r="1342" spans="1:2" ht="15.75" customHeight="1" x14ac:dyDescent="0.25">
      <c r="A1342" s="6">
        <v>446004</v>
      </c>
      <c r="B1342" s="10" t="s">
        <v>1609</v>
      </c>
    </row>
    <row r="1343" spans="1:2" ht="15.75" customHeight="1" x14ac:dyDescent="0.25">
      <c r="A1343" s="6">
        <v>48001</v>
      </c>
      <c r="B1343" s="10" t="s">
        <v>115</v>
      </c>
    </row>
    <row r="1344" spans="1:2" ht="15.75" customHeight="1" x14ac:dyDescent="0.25">
      <c r="A1344" s="6">
        <v>48002</v>
      </c>
      <c r="B1344" s="10" t="s">
        <v>903</v>
      </c>
    </row>
    <row r="1345" spans="1:2" ht="15.75" customHeight="1" x14ac:dyDescent="0.25">
      <c r="A1345" s="6">
        <v>48003</v>
      </c>
      <c r="B1345" s="10" t="s">
        <v>1367</v>
      </c>
    </row>
    <row r="1346" spans="1:2" ht="15.75" customHeight="1" x14ac:dyDescent="0.25">
      <c r="A1346" s="6">
        <v>48004</v>
      </c>
      <c r="B1346" s="10" t="s">
        <v>1368</v>
      </c>
    </row>
    <row r="1347" spans="1:2" ht="15.75" customHeight="1" x14ac:dyDescent="0.25">
      <c r="A1347" s="6">
        <v>48005</v>
      </c>
      <c r="B1347" s="10" t="s">
        <v>1440</v>
      </c>
    </row>
    <row r="1348" spans="1:2" ht="15.75" customHeight="1" x14ac:dyDescent="0.25">
      <c r="A1348" s="6">
        <v>49001</v>
      </c>
      <c r="B1348" s="10" t="s">
        <v>1064</v>
      </c>
    </row>
    <row r="1349" spans="1:2" ht="15.75" customHeight="1" x14ac:dyDescent="0.25">
      <c r="A1349" s="6">
        <v>49002</v>
      </c>
      <c r="B1349" s="10" t="s">
        <v>1060</v>
      </c>
    </row>
    <row r="1350" spans="1:2" ht="15.75" customHeight="1" x14ac:dyDescent="0.25">
      <c r="A1350" s="6">
        <v>49003</v>
      </c>
      <c r="B1350" s="10" t="s">
        <v>1219</v>
      </c>
    </row>
    <row r="1351" spans="1:2" ht="15.75" customHeight="1" x14ac:dyDescent="0.25">
      <c r="A1351" s="6">
        <v>49004</v>
      </c>
      <c r="B1351" s="10" t="s">
        <v>1217</v>
      </c>
    </row>
    <row r="1352" spans="1:2" ht="15.75" customHeight="1" x14ac:dyDescent="0.25">
      <c r="A1352" s="6">
        <v>49005</v>
      </c>
      <c r="B1352" s="10" t="s">
        <v>1218</v>
      </c>
    </row>
    <row r="1353" spans="1:2" ht="15.75" customHeight="1" x14ac:dyDescent="0.25">
      <c r="A1353" s="6">
        <v>49006</v>
      </c>
      <c r="B1353" s="10" t="s">
        <v>1063</v>
      </c>
    </row>
    <row r="1354" spans="1:2" ht="15.75" customHeight="1" x14ac:dyDescent="0.25">
      <c r="A1354" s="6">
        <v>49007</v>
      </c>
      <c r="B1354" s="10" t="s">
        <v>1061</v>
      </c>
    </row>
    <row r="1355" spans="1:2" ht="15.75" customHeight="1" x14ac:dyDescent="0.25">
      <c r="A1355" s="6">
        <v>49008</v>
      </c>
      <c r="B1355" s="10" t="s">
        <v>1062</v>
      </c>
    </row>
    <row r="1356" spans="1:2" ht="15.75" customHeight="1" x14ac:dyDescent="0.25">
      <c r="A1356" s="6">
        <v>50001</v>
      </c>
      <c r="B1356" s="10" t="s">
        <v>1527</v>
      </c>
    </row>
    <row r="1357" spans="1:2" ht="15.75" customHeight="1" x14ac:dyDescent="0.25">
      <c r="A1357" s="6">
        <v>51001</v>
      </c>
      <c r="B1357" s="10" t="s">
        <v>1361</v>
      </c>
    </row>
    <row r="1358" spans="1:2" ht="15.75" customHeight="1" x14ac:dyDescent="0.25">
      <c r="A1358" s="6">
        <v>52001</v>
      </c>
      <c r="B1358" s="10" t="s">
        <v>768</v>
      </c>
    </row>
    <row r="1359" spans="1:2" ht="15.75" customHeight="1" x14ac:dyDescent="0.25">
      <c r="A1359" s="6">
        <v>52002</v>
      </c>
      <c r="B1359" s="10" t="s">
        <v>901</v>
      </c>
    </row>
    <row r="1360" spans="1:2" ht="15.75" customHeight="1" x14ac:dyDescent="0.25">
      <c r="A1360" s="6">
        <v>52003</v>
      </c>
      <c r="B1360" s="10" t="s">
        <v>1352</v>
      </c>
    </row>
    <row r="1361" spans="1:2" ht="15.75" customHeight="1" x14ac:dyDescent="0.25">
      <c r="A1361" s="6">
        <v>53001</v>
      </c>
      <c r="B1361" s="10" t="s">
        <v>683</v>
      </c>
    </row>
    <row r="1362" spans="1:2" ht="15.75" customHeight="1" x14ac:dyDescent="0.25">
      <c r="A1362" s="6">
        <v>53002</v>
      </c>
      <c r="B1362" s="10" t="s">
        <v>684</v>
      </c>
    </row>
    <row r="1363" spans="1:2" ht="15.75" customHeight="1" x14ac:dyDescent="0.25">
      <c r="A1363" s="6">
        <v>53003</v>
      </c>
      <c r="B1363" s="10" t="s">
        <v>681</v>
      </c>
    </row>
    <row r="1364" spans="1:2" ht="15.75" customHeight="1" x14ac:dyDescent="0.25">
      <c r="A1364" s="6">
        <v>53004</v>
      </c>
      <c r="B1364" s="10" t="s">
        <v>682</v>
      </c>
    </row>
    <row r="1365" spans="1:2" ht="15.75" customHeight="1" x14ac:dyDescent="0.25">
      <c r="A1365" s="6">
        <v>53005</v>
      </c>
      <c r="B1365" s="10" t="s">
        <v>1044</v>
      </c>
    </row>
    <row r="1366" spans="1:2" ht="15.75" customHeight="1" x14ac:dyDescent="0.25">
      <c r="A1366" s="6">
        <v>53006</v>
      </c>
      <c r="B1366" s="10" t="s">
        <v>1045</v>
      </c>
    </row>
    <row r="1367" spans="1:2" ht="15.75" customHeight="1" x14ac:dyDescent="0.25">
      <c r="A1367" s="6">
        <v>53007</v>
      </c>
      <c r="B1367" s="10" t="s">
        <v>1042</v>
      </c>
    </row>
    <row r="1368" spans="1:2" ht="15.75" customHeight="1" x14ac:dyDescent="0.25">
      <c r="A1368" s="6">
        <v>53008</v>
      </c>
      <c r="B1368" s="10" t="s">
        <v>1043</v>
      </c>
    </row>
    <row r="1369" spans="1:2" ht="15.75" customHeight="1" x14ac:dyDescent="0.25">
      <c r="A1369" s="6">
        <v>53009</v>
      </c>
      <c r="B1369" s="10" t="s">
        <v>693</v>
      </c>
    </row>
    <row r="1370" spans="1:2" ht="15.75" customHeight="1" x14ac:dyDescent="0.25">
      <c r="A1370" s="6">
        <v>53010</v>
      </c>
      <c r="B1370" s="10" t="s">
        <v>694</v>
      </c>
    </row>
    <row r="1371" spans="1:2" ht="15.75" customHeight="1" x14ac:dyDescent="0.25">
      <c r="A1371" s="6">
        <v>53011</v>
      </c>
      <c r="B1371" s="10" t="s">
        <v>691</v>
      </c>
    </row>
    <row r="1372" spans="1:2" ht="15.75" customHeight="1" x14ac:dyDescent="0.25">
      <c r="A1372" s="6">
        <v>53012</v>
      </c>
      <c r="B1372" s="10" t="s">
        <v>692</v>
      </c>
    </row>
    <row r="1373" spans="1:2" ht="15.75" customHeight="1" x14ac:dyDescent="0.25">
      <c r="A1373" s="6">
        <v>53013</v>
      </c>
      <c r="B1373" s="10" t="s">
        <v>824</v>
      </c>
    </row>
    <row r="1374" spans="1:2" ht="15.75" customHeight="1" x14ac:dyDescent="0.25">
      <c r="A1374" s="6">
        <v>53014</v>
      </c>
      <c r="B1374" s="10" t="s">
        <v>825</v>
      </c>
    </row>
    <row r="1375" spans="1:2" ht="15.75" customHeight="1" x14ac:dyDescent="0.25">
      <c r="A1375" s="6">
        <v>53015</v>
      </c>
      <c r="B1375" s="10" t="s">
        <v>822</v>
      </c>
    </row>
    <row r="1376" spans="1:2" ht="15.75" customHeight="1" x14ac:dyDescent="0.25">
      <c r="A1376" s="6">
        <v>53016</v>
      </c>
      <c r="B1376" s="10" t="s">
        <v>823</v>
      </c>
    </row>
    <row r="1377" spans="1:2" ht="15.75" customHeight="1" x14ac:dyDescent="0.25">
      <c r="A1377" s="6">
        <v>53017</v>
      </c>
      <c r="B1377" s="10" t="s">
        <v>745</v>
      </c>
    </row>
    <row r="1378" spans="1:2" ht="15.75" customHeight="1" x14ac:dyDescent="0.25">
      <c r="A1378" s="6">
        <v>53018</v>
      </c>
      <c r="B1378" s="10" t="s">
        <v>746</v>
      </c>
    </row>
    <row r="1379" spans="1:2" ht="15.75" customHeight="1" x14ac:dyDescent="0.25">
      <c r="A1379" s="6">
        <v>53019</v>
      </c>
      <c r="B1379" s="10" t="s">
        <v>743</v>
      </c>
    </row>
    <row r="1380" spans="1:2" ht="15.75" customHeight="1" x14ac:dyDescent="0.25">
      <c r="A1380" s="6">
        <v>53020</v>
      </c>
      <c r="B1380" s="10" t="s">
        <v>744</v>
      </c>
    </row>
    <row r="1381" spans="1:2" ht="15.75" customHeight="1" x14ac:dyDescent="0.25">
      <c r="A1381" s="6">
        <v>53021</v>
      </c>
      <c r="B1381" s="10" t="s">
        <v>960</v>
      </c>
    </row>
    <row r="1382" spans="1:2" ht="15.75" customHeight="1" x14ac:dyDescent="0.25">
      <c r="A1382" s="6">
        <v>53022</v>
      </c>
      <c r="B1382" s="10" t="s">
        <v>961</v>
      </c>
    </row>
    <row r="1383" spans="1:2" ht="15.75" customHeight="1" x14ac:dyDescent="0.25">
      <c r="A1383" s="6">
        <v>53023</v>
      </c>
      <c r="B1383" s="10" t="s">
        <v>958</v>
      </c>
    </row>
    <row r="1384" spans="1:2" ht="15.75" customHeight="1" x14ac:dyDescent="0.25">
      <c r="A1384" s="6">
        <v>53024</v>
      </c>
      <c r="B1384" s="10" t="s">
        <v>959</v>
      </c>
    </row>
    <row r="1385" spans="1:2" ht="15.75" customHeight="1" x14ac:dyDescent="0.25">
      <c r="A1385" s="6">
        <v>53025</v>
      </c>
      <c r="B1385" s="10" t="s">
        <v>1428</v>
      </c>
    </row>
    <row r="1386" spans="1:2" ht="15.75" customHeight="1" x14ac:dyDescent="0.25">
      <c r="A1386" s="6">
        <v>53026</v>
      </c>
      <c r="B1386" s="10" t="s">
        <v>1429</v>
      </c>
    </row>
    <row r="1387" spans="1:2" ht="15.75" customHeight="1" x14ac:dyDescent="0.25">
      <c r="A1387" s="6">
        <v>53027</v>
      </c>
      <c r="B1387" s="10" t="s">
        <v>1426</v>
      </c>
    </row>
    <row r="1388" spans="1:2" ht="15.75" customHeight="1" x14ac:dyDescent="0.25">
      <c r="A1388" s="6">
        <v>53028</v>
      </c>
      <c r="B1388" s="10" t="s">
        <v>1427</v>
      </c>
    </row>
    <row r="1389" spans="1:2" ht="15.75" customHeight="1" x14ac:dyDescent="0.25">
      <c r="A1389" s="6">
        <v>53029</v>
      </c>
      <c r="B1389" s="10" t="s">
        <v>763</v>
      </c>
    </row>
    <row r="1390" spans="1:2" ht="15.75" customHeight="1" x14ac:dyDescent="0.25">
      <c r="A1390" s="6">
        <v>53030</v>
      </c>
      <c r="B1390" s="10" t="s">
        <v>759</v>
      </c>
    </row>
    <row r="1391" spans="1:2" ht="15.75" customHeight="1" x14ac:dyDescent="0.25">
      <c r="A1391" s="6">
        <v>53031</v>
      </c>
      <c r="B1391" s="10" t="s">
        <v>758</v>
      </c>
    </row>
    <row r="1392" spans="1:2" ht="15.75" customHeight="1" x14ac:dyDescent="0.25">
      <c r="A1392" s="6">
        <v>53032</v>
      </c>
      <c r="B1392" s="10" t="s">
        <v>761</v>
      </c>
    </row>
    <row r="1393" spans="1:2" ht="15.75" customHeight="1" x14ac:dyDescent="0.25">
      <c r="A1393" s="6">
        <v>53033</v>
      </c>
      <c r="B1393" s="10" t="s">
        <v>764</v>
      </c>
    </row>
    <row r="1394" spans="1:2" ht="15.75" customHeight="1" x14ac:dyDescent="0.25">
      <c r="A1394" s="6">
        <v>53034</v>
      </c>
      <c r="B1394" s="10" t="s">
        <v>767</v>
      </c>
    </row>
    <row r="1395" spans="1:2" ht="15.75" customHeight="1" x14ac:dyDescent="0.25">
      <c r="A1395" s="6">
        <v>53035</v>
      </c>
      <c r="B1395" s="10" t="s">
        <v>765</v>
      </c>
    </row>
    <row r="1396" spans="1:2" ht="15.75" customHeight="1" x14ac:dyDescent="0.25">
      <c r="A1396" s="6">
        <v>53036</v>
      </c>
      <c r="B1396" s="10" t="s">
        <v>766</v>
      </c>
    </row>
    <row r="1397" spans="1:2" ht="15.75" customHeight="1" x14ac:dyDescent="0.25">
      <c r="A1397" s="6">
        <v>53037</v>
      </c>
      <c r="B1397" s="10" t="s">
        <v>762</v>
      </c>
    </row>
    <row r="1398" spans="1:2" ht="15.75" customHeight="1" x14ac:dyDescent="0.25">
      <c r="A1398" s="6">
        <v>53038</v>
      </c>
      <c r="B1398" s="10" t="s">
        <v>760</v>
      </c>
    </row>
    <row r="1399" spans="1:2" ht="15.75" customHeight="1" x14ac:dyDescent="0.25">
      <c r="A1399" s="6">
        <v>53039</v>
      </c>
      <c r="B1399" s="10" t="s">
        <v>740</v>
      </c>
    </row>
    <row r="1400" spans="1:2" ht="15.75" customHeight="1" x14ac:dyDescent="0.25">
      <c r="A1400" s="6">
        <v>53040</v>
      </c>
      <c r="B1400" s="10" t="s">
        <v>741</v>
      </c>
    </row>
    <row r="1401" spans="1:2" ht="15.75" customHeight="1" x14ac:dyDescent="0.25">
      <c r="A1401" s="6">
        <v>53041</v>
      </c>
      <c r="B1401" s="10" t="s">
        <v>738</v>
      </c>
    </row>
    <row r="1402" spans="1:2" ht="15.75" customHeight="1" x14ac:dyDescent="0.25">
      <c r="A1402" s="6">
        <v>53042</v>
      </c>
      <c r="B1402" s="10" t="s">
        <v>739</v>
      </c>
    </row>
    <row r="1403" spans="1:2" ht="15.75" customHeight="1" x14ac:dyDescent="0.25">
      <c r="A1403" s="6">
        <v>53043</v>
      </c>
      <c r="B1403" s="10" t="s">
        <v>1264</v>
      </c>
    </row>
    <row r="1404" spans="1:2" ht="15.75" customHeight="1" x14ac:dyDescent="0.25">
      <c r="A1404" s="6">
        <v>53044</v>
      </c>
      <c r="B1404" s="10" t="s">
        <v>1265</v>
      </c>
    </row>
    <row r="1405" spans="1:2" ht="15.75" customHeight="1" x14ac:dyDescent="0.25">
      <c r="A1405" s="6">
        <v>53045</v>
      </c>
      <c r="B1405" s="10" t="s">
        <v>1262</v>
      </c>
    </row>
    <row r="1406" spans="1:2" ht="15.75" customHeight="1" x14ac:dyDescent="0.25">
      <c r="A1406" s="6">
        <v>53046</v>
      </c>
      <c r="B1406" s="10" t="s">
        <v>1263</v>
      </c>
    </row>
    <row r="1407" spans="1:2" ht="15.75" customHeight="1" x14ac:dyDescent="0.25">
      <c r="A1407" s="6">
        <v>53047</v>
      </c>
      <c r="B1407" s="10" t="s">
        <v>1445</v>
      </c>
    </row>
    <row r="1408" spans="1:2" ht="15.75" customHeight="1" x14ac:dyDescent="0.25">
      <c r="A1408" s="6">
        <v>53048</v>
      </c>
      <c r="B1408" s="10" t="s">
        <v>1446</v>
      </c>
    </row>
    <row r="1409" spans="1:2" ht="15.75" customHeight="1" x14ac:dyDescent="0.25">
      <c r="A1409" s="6">
        <v>53049</v>
      </c>
      <c r="B1409" s="10" t="s">
        <v>1443</v>
      </c>
    </row>
    <row r="1410" spans="1:2" ht="15.75" customHeight="1" x14ac:dyDescent="0.25">
      <c r="A1410" s="6">
        <v>53050</v>
      </c>
      <c r="B1410" s="10" t="s">
        <v>1444</v>
      </c>
    </row>
    <row r="1411" spans="1:2" ht="15.75" customHeight="1" x14ac:dyDescent="0.25">
      <c r="A1411" s="6">
        <v>53051</v>
      </c>
      <c r="B1411" s="10" t="s">
        <v>1572</v>
      </c>
    </row>
    <row r="1412" spans="1:2" ht="15.75" customHeight="1" x14ac:dyDescent="0.25">
      <c r="A1412" s="6">
        <v>53052</v>
      </c>
      <c r="B1412" s="10" t="s">
        <v>1573</v>
      </c>
    </row>
    <row r="1413" spans="1:2" ht="15.75" customHeight="1" x14ac:dyDescent="0.25">
      <c r="A1413" s="6">
        <v>53053</v>
      </c>
      <c r="B1413" s="10" t="s">
        <v>1570</v>
      </c>
    </row>
    <row r="1414" spans="1:2" ht="15.75" customHeight="1" x14ac:dyDescent="0.25">
      <c r="A1414" s="6">
        <v>53054</v>
      </c>
      <c r="B1414" s="10" t="s">
        <v>1571</v>
      </c>
    </row>
    <row r="1415" spans="1:2" ht="15.75" customHeight="1" x14ac:dyDescent="0.25">
      <c r="A1415" s="6">
        <v>53055</v>
      </c>
      <c r="B1415" s="10" t="s">
        <v>1118</v>
      </c>
    </row>
    <row r="1416" spans="1:2" ht="15.75" customHeight="1" x14ac:dyDescent="0.25">
      <c r="A1416" s="6">
        <v>53056</v>
      </c>
      <c r="B1416" s="10" t="s">
        <v>1119</v>
      </c>
    </row>
    <row r="1417" spans="1:2" ht="15.75" customHeight="1" x14ac:dyDescent="0.25">
      <c r="A1417" s="6">
        <v>53057</v>
      </c>
      <c r="B1417" s="10" t="s">
        <v>1116</v>
      </c>
    </row>
    <row r="1418" spans="1:2" ht="15.75" customHeight="1" x14ac:dyDescent="0.25">
      <c r="A1418" s="6">
        <v>53058</v>
      </c>
      <c r="B1418" s="10" t="s">
        <v>1117</v>
      </c>
    </row>
    <row r="1419" spans="1:2" ht="15.75" customHeight="1" x14ac:dyDescent="0.25">
      <c r="A1419" s="6">
        <v>53059</v>
      </c>
      <c r="B1419" s="10" t="s">
        <v>1355</v>
      </c>
    </row>
    <row r="1420" spans="1:2" ht="15.75" customHeight="1" x14ac:dyDescent="0.25">
      <c r="A1420" s="6">
        <v>53060</v>
      </c>
      <c r="B1420" s="10" t="s">
        <v>1356</v>
      </c>
    </row>
    <row r="1421" spans="1:2" ht="15.75" customHeight="1" x14ac:dyDescent="0.25">
      <c r="A1421" s="6">
        <v>53061</v>
      </c>
      <c r="B1421" s="10" t="s">
        <v>1353</v>
      </c>
    </row>
    <row r="1422" spans="1:2" ht="15.75" customHeight="1" x14ac:dyDescent="0.25">
      <c r="A1422" s="6">
        <v>53062</v>
      </c>
      <c r="B1422" s="10" t="s">
        <v>1354</v>
      </c>
    </row>
    <row r="1423" spans="1:2" ht="15.75" customHeight="1" x14ac:dyDescent="0.25">
      <c r="A1423" s="6">
        <v>53063</v>
      </c>
      <c r="B1423" s="10" t="s">
        <v>676</v>
      </c>
    </row>
    <row r="1424" spans="1:2" ht="15.75" customHeight="1" x14ac:dyDescent="0.25">
      <c r="A1424" s="6">
        <v>53064</v>
      </c>
      <c r="B1424" s="10" t="s">
        <v>677</v>
      </c>
    </row>
    <row r="1425" spans="1:2" ht="15.75" customHeight="1" x14ac:dyDescent="0.25">
      <c r="A1425" s="6">
        <v>53065</v>
      </c>
      <c r="B1425" s="10" t="s">
        <v>674</v>
      </c>
    </row>
    <row r="1426" spans="1:2" ht="15.75" customHeight="1" x14ac:dyDescent="0.25">
      <c r="A1426" s="6">
        <v>53066</v>
      </c>
      <c r="B1426" s="10" t="s">
        <v>675</v>
      </c>
    </row>
    <row r="1427" spans="1:2" ht="15.75" customHeight="1" x14ac:dyDescent="0.25">
      <c r="A1427" s="6">
        <v>53067</v>
      </c>
      <c r="B1427" s="10" t="s">
        <v>1057</v>
      </c>
    </row>
    <row r="1428" spans="1:2" ht="15.75" customHeight="1" x14ac:dyDescent="0.25">
      <c r="A1428" s="6">
        <v>53068</v>
      </c>
      <c r="B1428" s="10" t="s">
        <v>1058</v>
      </c>
    </row>
    <row r="1429" spans="1:2" ht="15.75" customHeight="1" x14ac:dyDescent="0.25">
      <c r="A1429" s="6">
        <v>53069</v>
      </c>
      <c r="B1429" s="10" t="s">
        <v>1055</v>
      </c>
    </row>
    <row r="1430" spans="1:2" ht="15.75" customHeight="1" x14ac:dyDescent="0.25">
      <c r="A1430" s="6">
        <v>53070</v>
      </c>
      <c r="B1430" s="10" t="s">
        <v>1056</v>
      </c>
    </row>
    <row r="1431" spans="1:2" ht="15.75" customHeight="1" x14ac:dyDescent="0.25">
      <c r="A1431" s="6">
        <v>53071</v>
      </c>
      <c r="B1431" s="10" t="s">
        <v>1400</v>
      </c>
    </row>
    <row r="1432" spans="1:2" ht="15.75" customHeight="1" x14ac:dyDescent="0.25">
      <c r="A1432" s="6">
        <v>53072</v>
      </c>
      <c r="B1432" s="10" t="s">
        <v>1398</v>
      </c>
    </row>
    <row r="1433" spans="1:2" ht="15.75" customHeight="1" x14ac:dyDescent="0.25">
      <c r="A1433" s="6">
        <v>53073</v>
      </c>
      <c r="B1433" s="10" t="s">
        <v>1401</v>
      </c>
    </row>
    <row r="1434" spans="1:2" ht="15.75" customHeight="1" x14ac:dyDescent="0.25">
      <c r="A1434" s="6">
        <v>53074</v>
      </c>
      <c r="B1434" s="10" t="s">
        <v>1399</v>
      </c>
    </row>
    <row r="1435" spans="1:2" ht="15.75" customHeight="1" x14ac:dyDescent="0.25">
      <c r="A1435" s="6">
        <v>53075</v>
      </c>
      <c r="B1435" s="10" t="s">
        <v>1488</v>
      </c>
    </row>
    <row r="1436" spans="1:2" ht="15.75" customHeight="1" x14ac:dyDescent="0.25">
      <c r="A1436" s="6">
        <v>53076</v>
      </c>
      <c r="B1436" s="10" t="s">
        <v>1489</v>
      </c>
    </row>
    <row r="1437" spans="1:2" ht="15.75" customHeight="1" x14ac:dyDescent="0.25">
      <c r="A1437" s="6">
        <v>53077</v>
      </c>
      <c r="B1437" s="10" t="s">
        <v>1486</v>
      </c>
    </row>
    <row r="1438" spans="1:2" ht="15.75" customHeight="1" x14ac:dyDescent="0.25">
      <c r="A1438" s="6">
        <v>53078</v>
      </c>
      <c r="B1438" s="10" t="s">
        <v>1487</v>
      </c>
    </row>
    <row r="1439" spans="1:2" ht="15.75" customHeight="1" x14ac:dyDescent="0.25">
      <c r="A1439" s="6">
        <v>53079</v>
      </c>
      <c r="B1439" s="10" t="s">
        <v>808</v>
      </c>
    </row>
    <row r="1440" spans="1:2" ht="15.75" customHeight="1" x14ac:dyDescent="0.25">
      <c r="A1440" s="6">
        <v>53080</v>
      </c>
      <c r="B1440" s="10" t="s">
        <v>809</v>
      </c>
    </row>
    <row r="1441" spans="1:2" ht="15.75" customHeight="1" x14ac:dyDescent="0.25">
      <c r="A1441" s="6">
        <v>53081</v>
      </c>
      <c r="B1441" s="10" t="s">
        <v>806</v>
      </c>
    </row>
    <row r="1442" spans="1:2" ht="15.75" customHeight="1" x14ac:dyDescent="0.25">
      <c r="A1442" s="6">
        <v>53082</v>
      </c>
      <c r="B1442" s="10" t="s">
        <v>807</v>
      </c>
    </row>
    <row r="1443" spans="1:2" ht="15.75" customHeight="1" x14ac:dyDescent="0.25">
      <c r="A1443" s="6">
        <v>53083</v>
      </c>
      <c r="B1443" s="10" t="s">
        <v>1070</v>
      </c>
    </row>
    <row r="1444" spans="1:2" ht="15.75" customHeight="1" x14ac:dyDescent="0.25">
      <c r="A1444" s="6">
        <v>53084</v>
      </c>
      <c r="B1444" s="10" t="s">
        <v>1071</v>
      </c>
    </row>
    <row r="1445" spans="1:2" ht="15.75" customHeight="1" x14ac:dyDescent="0.25">
      <c r="A1445" s="6">
        <v>53085</v>
      </c>
      <c r="B1445" s="10" t="s">
        <v>1068</v>
      </c>
    </row>
    <row r="1446" spans="1:2" ht="15.75" customHeight="1" x14ac:dyDescent="0.25">
      <c r="A1446" s="6">
        <v>53086</v>
      </c>
      <c r="B1446" s="10" t="s">
        <v>1069</v>
      </c>
    </row>
    <row r="1447" spans="1:2" ht="15.75" customHeight="1" x14ac:dyDescent="0.25">
      <c r="A1447" s="6">
        <v>53087</v>
      </c>
      <c r="B1447" s="10" t="s">
        <v>1103</v>
      </c>
    </row>
    <row r="1448" spans="1:2" ht="15.75" customHeight="1" x14ac:dyDescent="0.25">
      <c r="A1448" s="6">
        <v>53088</v>
      </c>
      <c r="B1448" s="10" t="s">
        <v>1104</v>
      </c>
    </row>
    <row r="1449" spans="1:2" ht="15.75" customHeight="1" x14ac:dyDescent="0.25">
      <c r="A1449" s="6">
        <v>53089</v>
      </c>
      <c r="B1449" s="10" t="s">
        <v>1101</v>
      </c>
    </row>
    <row r="1450" spans="1:2" ht="15.75" customHeight="1" x14ac:dyDescent="0.25">
      <c r="A1450" s="6">
        <v>53090</v>
      </c>
      <c r="B1450" s="10" t="s">
        <v>1102</v>
      </c>
    </row>
    <row r="1451" spans="1:2" ht="15.75" customHeight="1" x14ac:dyDescent="0.25">
      <c r="A1451" s="6">
        <v>53091</v>
      </c>
      <c r="B1451" s="10" t="s">
        <v>555</v>
      </c>
    </row>
    <row r="1452" spans="1:2" ht="15.75" customHeight="1" x14ac:dyDescent="0.25">
      <c r="A1452" s="6">
        <v>53092</v>
      </c>
      <c r="B1452" s="10" t="s">
        <v>552</v>
      </c>
    </row>
    <row r="1453" spans="1:2" ht="15.75" customHeight="1" x14ac:dyDescent="0.25">
      <c r="A1453" s="6">
        <v>53093</v>
      </c>
      <c r="B1453" s="10" t="s">
        <v>561</v>
      </c>
    </row>
    <row r="1454" spans="1:2" ht="15.75" customHeight="1" x14ac:dyDescent="0.25">
      <c r="A1454" s="6">
        <v>53094</v>
      </c>
      <c r="B1454" s="10" t="s">
        <v>558</v>
      </c>
    </row>
    <row r="1455" spans="1:2" ht="15.75" customHeight="1" x14ac:dyDescent="0.25">
      <c r="A1455" s="6">
        <v>53095</v>
      </c>
      <c r="B1455" s="10" t="s">
        <v>897</v>
      </c>
    </row>
    <row r="1456" spans="1:2" ht="15.75" customHeight="1" x14ac:dyDescent="0.25">
      <c r="A1456" s="6">
        <v>53096</v>
      </c>
      <c r="B1456" s="10" t="s">
        <v>898</v>
      </c>
    </row>
    <row r="1457" spans="1:2" ht="15.75" customHeight="1" x14ac:dyDescent="0.25">
      <c r="A1457" s="6">
        <v>53097</v>
      </c>
      <c r="B1457" s="10" t="s">
        <v>895</v>
      </c>
    </row>
    <row r="1458" spans="1:2" ht="15.75" customHeight="1" x14ac:dyDescent="0.25">
      <c r="A1458" s="6">
        <v>53098</v>
      </c>
      <c r="B1458" s="10" t="s">
        <v>896</v>
      </c>
    </row>
    <row r="1459" spans="1:2" ht="15.75" customHeight="1" x14ac:dyDescent="0.25">
      <c r="A1459" s="6">
        <v>53099</v>
      </c>
      <c r="B1459" s="10" t="s">
        <v>976</v>
      </c>
    </row>
    <row r="1460" spans="1:2" ht="15.75" customHeight="1" x14ac:dyDescent="0.25">
      <c r="A1460" s="6">
        <v>53100</v>
      </c>
      <c r="B1460" s="10" t="s">
        <v>977</v>
      </c>
    </row>
    <row r="1461" spans="1:2" ht="15.75" customHeight="1" x14ac:dyDescent="0.25">
      <c r="A1461" s="6">
        <v>53101</v>
      </c>
      <c r="B1461" s="10" t="s">
        <v>974</v>
      </c>
    </row>
    <row r="1462" spans="1:2" ht="15.75" customHeight="1" x14ac:dyDescent="0.25">
      <c r="A1462" s="6">
        <v>53102</v>
      </c>
      <c r="B1462" s="10" t="s">
        <v>975</v>
      </c>
    </row>
    <row r="1463" spans="1:2" ht="15.75" customHeight="1" x14ac:dyDescent="0.25">
      <c r="A1463" s="6">
        <v>53103</v>
      </c>
      <c r="B1463" s="10" t="s">
        <v>1541</v>
      </c>
    </row>
    <row r="1464" spans="1:2" ht="15.75" customHeight="1" x14ac:dyDescent="0.25">
      <c r="A1464" s="6">
        <v>53104</v>
      </c>
      <c r="B1464" s="10" t="s">
        <v>1542</v>
      </c>
    </row>
    <row r="1465" spans="1:2" ht="15.75" customHeight="1" x14ac:dyDescent="0.25">
      <c r="A1465" s="6">
        <v>53105</v>
      </c>
      <c r="B1465" s="10" t="s">
        <v>1539</v>
      </c>
    </row>
    <row r="1466" spans="1:2" ht="15.75" customHeight="1" x14ac:dyDescent="0.25">
      <c r="A1466" s="6">
        <v>53106</v>
      </c>
      <c r="B1466" s="10" t="s">
        <v>1540</v>
      </c>
    </row>
    <row r="1467" spans="1:2" ht="15.75" customHeight="1" x14ac:dyDescent="0.25">
      <c r="A1467" s="6">
        <v>53107</v>
      </c>
      <c r="B1467" s="10" t="s">
        <v>1659</v>
      </c>
    </row>
    <row r="1468" spans="1:2" ht="15.75" customHeight="1" x14ac:dyDescent="0.25">
      <c r="A1468" s="6">
        <v>53108</v>
      </c>
      <c r="B1468" s="10" t="s">
        <v>1660</v>
      </c>
    </row>
    <row r="1469" spans="1:2" ht="15.75" customHeight="1" x14ac:dyDescent="0.25">
      <c r="A1469" s="6">
        <v>53109</v>
      </c>
      <c r="B1469" s="10" t="s">
        <v>1661</v>
      </c>
    </row>
    <row r="1470" spans="1:2" ht="15.75" customHeight="1" x14ac:dyDescent="0.25">
      <c r="A1470" s="6">
        <v>53110</v>
      </c>
      <c r="B1470" s="10" t="s">
        <v>1662</v>
      </c>
    </row>
    <row r="1471" spans="1:2" ht="15.75" customHeight="1" x14ac:dyDescent="0.25">
      <c r="A1471" s="6">
        <v>53111</v>
      </c>
      <c r="B1471" s="10" t="s">
        <v>1663</v>
      </c>
    </row>
    <row r="1472" spans="1:2" ht="15.75" customHeight="1" x14ac:dyDescent="0.25">
      <c r="A1472" s="6">
        <v>53112</v>
      </c>
      <c r="B1472" s="10" t="s">
        <v>1664</v>
      </c>
    </row>
    <row r="1473" spans="1:2" ht="15.75" customHeight="1" x14ac:dyDescent="0.25">
      <c r="A1473" s="6">
        <v>53113</v>
      </c>
      <c r="B1473" s="10" t="s">
        <v>1665</v>
      </c>
    </row>
    <row r="1474" spans="1:2" ht="15.75" customHeight="1" x14ac:dyDescent="0.25">
      <c r="A1474" s="6">
        <v>53114</v>
      </c>
      <c r="B1474" s="10" t="s">
        <v>1666</v>
      </c>
    </row>
    <row r="1475" spans="1:2" ht="15.75" customHeight="1" x14ac:dyDescent="0.25">
      <c r="A1475" s="6">
        <v>53115</v>
      </c>
      <c r="B1475" s="10" t="s">
        <v>1702</v>
      </c>
    </row>
    <row r="1476" spans="1:2" ht="15.75" customHeight="1" x14ac:dyDescent="0.25">
      <c r="A1476" s="6">
        <v>53116</v>
      </c>
      <c r="B1476" s="10" t="s">
        <v>1703</v>
      </c>
    </row>
    <row r="1477" spans="1:2" ht="15.75" customHeight="1" x14ac:dyDescent="0.25">
      <c r="A1477" s="6">
        <v>53117</v>
      </c>
      <c r="B1477" s="10" t="s">
        <v>1704</v>
      </c>
    </row>
    <row r="1478" spans="1:2" ht="15.75" customHeight="1" x14ac:dyDescent="0.25">
      <c r="A1478" s="6">
        <v>53118</v>
      </c>
      <c r="B1478" s="10" t="s">
        <v>1705</v>
      </c>
    </row>
    <row r="1479" spans="1:2" ht="15.75" customHeight="1" x14ac:dyDescent="0.25">
      <c r="A1479" s="6">
        <v>53119</v>
      </c>
      <c r="B1479" s="10" t="s">
        <v>2013</v>
      </c>
    </row>
    <row r="1480" spans="1:2" ht="15.75" customHeight="1" x14ac:dyDescent="0.25">
      <c r="A1480" s="6">
        <v>54001</v>
      </c>
      <c r="B1480" s="10" t="s">
        <v>1550</v>
      </c>
    </row>
    <row r="1481" spans="1:2" ht="15.75" customHeight="1" x14ac:dyDescent="0.25">
      <c r="A1481" s="6">
        <v>55001</v>
      </c>
      <c r="B1481" s="10" t="s">
        <v>893</v>
      </c>
    </row>
    <row r="1482" spans="1:2" ht="15.75" customHeight="1" x14ac:dyDescent="0.25">
      <c r="A1482" s="6">
        <v>55002</v>
      </c>
      <c r="B1482" s="10" t="s">
        <v>894</v>
      </c>
    </row>
    <row r="1483" spans="1:2" ht="15.75" customHeight="1" x14ac:dyDescent="0.25">
      <c r="A1483" s="6">
        <v>55003</v>
      </c>
      <c r="B1483" s="10" t="s">
        <v>949</v>
      </c>
    </row>
    <row r="1484" spans="1:2" ht="15.75" customHeight="1" x14ac:dyDescent="0.25">
      <c r="A1484" s="6">
        <v>55004</v>
      </c>
      <c r="B1484" s="10" t="s">
        <v>948</v>
      </c>
    </row>
    <row r="1485" spans="1:2" ht="15.75" customHeight="1" x14ac:dyDescent="0.25">
      <c r="A1485" s="6">
        <v>55005</v>
      </c>
      <c r="B1485" s="10" t="s">
        <v>650</v>
      </c>
    </row>
    <row r="1486" spans="1:2" ht="15.75" customHeight="1" x14ac:dyDescent="0.25">
      <c r="A1486" s="6">
        <v>55006</v>
      </c>
      <c r="B1486" s="10" t="s">
        <v>1015</v>
      </c>
    </row>
    <row r="1487" spans="1:2" ht="15.75" customHeight="1" x14ac:dyDescent="0.25">
      <c r="A1487" s="6">
        <v>456001</v>
      </c>
      <c r="B1487" s="10" t="s">
        <v>1667</v>
      </c>
    </row>
    <row r="1488" spans="1:2" ht="15.75" customHeight="1" x14ac:dyDescent="0.25">
      <c r="A1488" s="6">
        <v>456002</v>
      </c>
      <c r="B1488" s="10" t="s">
        <v>1668</v>
      </c>
    </row>
    <row r="1489" spans="1:2" ht="15.75" customHeight="1" x14ac:dyDescent="0.25">
      <c r="A1489" s="6">
        <v>456003</v>
      </c>
      <c r="B1489" s="10" t="s">
        <v>1669</v>
      </c>
    </row>
    <row r="1490" spans="1:2" ht="15.75" customHeight="1" x14ac:dyDescent="0.25">
      <c r="A1490" s="6">
        <v>456004</v>
      </c>
      <c r="B1490" s="10" t="s">
        <v>1670</v>
      </c>
    </row>
    <row r="1491" spans="1:2" ht="15.75" customHeight="1" x14ac:dyDescent="0.25">
      <c r="A1491" s="6">
        <v>456005</v>
      </c>
      <c r="B1491" s="10" t="s">
        <v>1671</v>
      </c>
    </row>
    <row r="1492" spans="1:2" ht="15.75" customHeight="1" x14ac:dyDescent="0.25">
      <c r="A1492" s="6">
        <v>59001</v>
      </c>
      <c r="B1492" s="10" t="s">
        <v>1673</v>
      </c>
    </row>
    <row r="1493" spans="1:2" ht="15.75" customHeight="1" x14ac:dyDescent="0.25">
      <c r="A1493" s="6">
        <v>59002</v>
      </c>
      <c r="B1493" s="10" t="s">
        <v>1738</v>
      </c>
    </row>
    <row r="1494" spans="1:2" ht="15.75" customHeight="1" x14ac:dyDescent="0.25">
      <c r="A1494" s="6">
        <v>59003</v>
      </c>
      <c r="B1494" s="10" t="s">
        <v>1739</v>
      </c>
    </row>
  </sheetData>
  <autoFilter ref="A1:B1494" xr:uid="{00000000-0009-0000-0000-000004000000}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591"/>
  <sheetViews>
    <sheetView workbookViewId="0"/>
  </sheetViews>
  <sheetFormatPr defaultColWidth="14.42578125" defaultRowHeight="15" customHeight="1" x14ac:dyDescent="0.25"/>
  <cols>
    <col min="1" max="1" width="11.42578125" customWidth="1"/>
    <col min="2" max="2" width="83.7109375" customWidth="1"/>
    <col min="3" max="26" width="10.7109375" customWidth="1"/>
  </cols>
  <sheetData>
    <row r="1" spans="1:2" x14ac:dyDescent="0.25">
      <c r="A1" s="6" t="s">
        <v>1614</v>
      </c>
      <c r="B1" s="6" t="s">
        <v>1615</v>
      </c>
    </row>
    <row r="2" spans="1:2" x14ac:dyDescent="0.25">
      <c r="A2" s="6">
        <v>1006</v>
      </c>
      <c r="B2" s="6" t="s">
        <v>1089</v>
      </c>
    </row>
    <row r="3" spans="1:2" x14ac:dyDescent="0.25">
      <c r="A3" s="6">
        <v>1026</v>
      </c>
      <c r="B3" s="6" t="s">
        <v>1241</v>
      </c>
    </row>
    <row r="4" spans="1:2" x14ac:dyDescent="0.25">
      <c r="A4" s="6">
        <v>1028</v>
      </c>
      <c r="B4" s="6" t="s">
        <v>1252</v>
      </c>
    </row>
    <row r="5" spans="1:2" x14ac:dyDescent="0.25">
      <c r="A5" s="6">
        <v>1097</v>
      </c>
      <c r="B5" s="6" t="s">
        <v>1084</v>
      </c>
    </row>
    <row r="6" spans="1:2" x14ac:dyDescent="0.25">
      <c r="A6" s="6">
        <v>1100</v>
      </c>
      <c r="B6" s="6" t="s">
        <v>1311</v>
      </c>
    </row>
    <row r="7" spans="1:2" x14ac:dyDescent="0.25">
      <c r="A7" s="6">
        <v>1101</v>
      </c>
      <c r="B7" s="6" t="s">
        <v>1312</v>
      </c>
    </row>
    <row r="8" spans="1:2" x14ac:dyDescent="0.25">
      <c r="A8" s="6">
        <v>1102</v>
      </c>
      <c r="B8" s="6" t="s">
        <v>1313</v>
      </c>
    </row>
    <row r="9" spans="1:2" x14ac:dyDescent="0.25">
      <c r="A9" s="6">
        <v>1103</v>
      </c>
      <c r="B9" s="6" t="s">
        <v>1326</v>
      </c>
    </row>
    <row r="10" spans="1:2" x14ac:dyDescent="0.25">
      <c r="A10" s="6">
        <v>1108</v>
      </c>
      <c r="B10" s="6" t="s">
        <v>1249</v>
      </c>
    </row>
    <row r="11" spans="1:2" x14ac:dyDescent="0.25">
      <c r="A11" s="6">
        <v>1109</v>
      </c>
      <c r="B11" s="6" t="s">
        <v>1253</v>
      </c>
    </row>
    <row r="12" spans="1:2" x14ac:dyDescent="0.25">
      <c r="A12" s="6">
        <v>1118</v>
      </c>
      <c r="B12" s="6" t="s">
        <v>1337</v>
      </c>
    </row>
    <row r="13" spans="1:2" x14ac:dyDescent="0.25">
      <c r="A13" s="6">
        <v>1119</v>
      </c>
      <c r="B13" s="6" t="s">
        <v>1236</v>
      </c>
    </row>
    <row r="14" spans="1:2" x14ac:dyDescent="0.25">
      <c r="A14" s="6">
        <v>1122</v>
      </c>
      <c r="B14" s="6" t="s">
        <v>1309</v>
      </c>
    </row>
    <row r="15" spans="1:2" x14ac:dyDescent="0.25">
      <c r="A15" s="6">
        <v>1126</v>
      </c>
      <c r="B15" s="6" t="s">
        <v>1341</v>
      </c>
    </row>
    <row r="16" spans="1:2" x14ac:dyDescent="0.25">
      <c r="A16" s="6">
        <v>1127</v>
      </c>
      <c r="B16" s="6" t="s">
        <v>1336</v>
      </c>
    </row>
    <row r="17" spans="1:2" x14ac:dyDescent="0.25">
      <c r="A17" s="6">
        <v>1130</v>
      </c>
      <c r="B17" s="6" t="s">
        <v>752</v>
      </c>
    </row>
    <row r="18" spans="1:2" x14ac:dyDescent="0.25">
      <c r="A18" s="6">
        <v>1131</v>
      </c>
      <c r="B18" s="6" t="s">
        <v>1012</v>
      </c>
    </row>
    <row r="19" spans="1:2" x14ac:dyDescent="0.25">
      <c r="A19" s="6">
        <v>1132</v>
      </c>
      <c r="B19" s="6" t="s">
        <v>1340</v>
      </c>
    </row>
    <row r="20" spans="1:2" x14ac:dyDescent="0.25">
      <c r="A20" s="6">
        <v>1133</v>
      </c>
      <c r="B20" s="6" t="s">
        <v>1335</v>
      </c>
    </row>
    <row r="21" spans="1:2" ht="15.75" customHeight="1" x14ac:dyDescent="0.25">
      <c r="A21" s="6">
        <v>1135</v>
      </c>
      <c r="B21" s="6" t="s">
        <v>1343</v>
      </c>
    </row>
    <row r="22" spans="1:2" ht="15.75" customHeight="1" x14ac:dyDescent="0.25">
      <c r="A22" s="6">
        <v>1139</v>
      </c>
      <c r="B22" s="6" t="s">
        <v>1328</v>
      </c>
    </row>
    <row r="23" spans="1:2" ht="15.75" customHeight="1" x14ac:dyDescent="0.25">
      <c r="A23" s="6">
        <v>1140</v>
      </c>
      <c r="B23" s="6" t="s">
        <v>1330</v>
      </c>
    </row>
    <row r="24" spans="1:2" ht="15.75" customHeight="1" x14ac:dyDescent="0.25">
      <c r="A24" s="6">
        <v>1143</v>
      </c>
      <c r="B24" s="6" t="s">
        <v>1308</v>
      </c>
    </row>
    <row r="25" spans="1:2" ht="15.75" customHeight="1" x14ac:dyDescent="0.25">
      <c r="A25" s="6">
        <v>1148</v>
      </c>
      <c r="B25" s="6" t="s">
        <v>1316</v>
      </c>
    </row>
    <row r="26" spans="1:2" ht="15.75" customHeight="1" x14ac:dyDescent="0.25">
      <c r="A26" s="6">
        <v>1149</v>
      </c>
      <c r="B26" s="6" t="s">
        <v>1317</v>
      </c>
    </row>
    <row r="27" spans="1:2" ht="15.75" customHeight="1" x14ac:dyDescent="0.25">
      <c r="A27" s="6">
        <v>1150</v>
      </c>
      <c r="B27" s="6" t="s">
        <v>1250</v>
      </c>
    </row>
    <row r="28" spans="1:2" ht="15.75" customHeight="1" x14ac:dyDescent="0.25">
      <c r="A28" s="6">
        <v>1152</v>
      </c>
      <c r="B28" s="6" t="s">
        <v>1122</v>
      </c>
    </row>
    <row r="29" spans="1:2" ht="15.75" customHeight="1" x14ac:dyDescent="0.25">
      <c r="A29" s="6">
        <v>1156</v>
      </c>
      <c r="B29" s="6" t="s">
        <v>1251</v>
      </c>
    </row>
    <row r="30" spans="1:2" ht="15.75" customHeight="1" x14ac:dyDescent="0.25">
      <c r="A30" s="6">
        <v>1158</v>
      </c>
      <c r="B30" s="6" t="s">
        <v>1307</v>
      </c>
    </row>
    <row r="31" spans="1:2" ht="15.75" customHeight="1" x14ac:dyDescent="0.25">
      <c r="A31" s="6">
        <v>1162</v>
      </c>
      <c r="B31" s="6" t="s">
        <v>1339</v>
      </c>
    </row>
    <row r="32" spans="1:2" ht="15.75" customHeight="1" x14ac:dyDescent="0.25">
      <c r="A32" s="6">
        <v>1165</v>
      </c>
      <c r="B32" s="6" t="s">
        <v>1131</v>
      </c>
    </row>
    <row r="33" spans="1:2" ht="15.75" customHeight="1" x14ac:dyDescent="0.25">
      <c r="A33" s="6">
        <v>1167</v>
      </c>
      <c r="B33" s="6" t="s">
        <v>1346</v>
      </c>
    </row>
    <row r="34" spans="1:2" ht="15.75" customHeight="1" x14ac:dyDescent="0.25">
      <c r="A34" s="6">
        <v>1172</v>
      </c>
      <c r="B34" s="6" t="s">
        <v>1310</v>
      </c>
    </row>
    <row r="35" spans="1:2" ht="15.75" customHeight="1" x14ac:dyDescent="0.25">
      <c r="A35" s="6">
        <v>1175</v>
      </c>
      <c r="B35" s="6" t="s">
        <v>1143</v>
      </c>
    </row>
    <row r="36" spans="1:2" ht="15.75" customHeight="1" x14ac:dyDescent="0.25">
      <c r="A36" s="6">
        <v>1176</v>
      </c>
      <c r="B36" s="6" t="s">
        <v>1121</v>
      </c>
    </row>
    <row r="37" spans="1:2" ht="15.75" customHeight="1" x14ac:dyDescent="0.25">
      <c r="A37" s="6">
        <v>1178</v>
      </c>
      <c r="B37" s="6" t="s">
        <v>1134</v>
      </c>
    </row>
    <row r="38" spans="1:2" ht="15.75" customHeight="1" x14ac:dyDescent="0.25">
      <c r="A38" s="6">
        <v>1179</v>
      </c>
      <c r="B38" s="6" t="s">
        <v>1344</v>
      </c>
    </row>
    <row r="39" spans="1:2" ht="15.75" customHeight="1" x14ac:dyDescent="0.25">
      <c r="A39" s="6">
        <v>1184</v>
      </c>
      <c r="B39" s="6" t="s">
        <v>1144</v>
      </c>
    </row>
    <row r="40" spans="1:2" ht="15.75" customHeight="1" x14ac:dyDescent="0.25">
      <c r="A40" s="6">
        <v>1185</v>
      </c>
      <c r="B40" s="6" t="s">
        <v>1345</v>
      </c>
    </row>
    <row r="41" spans="1:2" ht="15.75" customHeight="1" x14ac:dyDescent="0.25">
      <c r="A41" s="6">
        <v>1188</v>
      </c>
      <c r="B41" s="6" t="s">
        <v>1332</v>
      </c>
    </row>
    <row r="42" spans="1:2" ht="15.75" customHeight="1" x14ac:dyDescent="0.25">
      <c r="A42" s="6">
        <v>1189</v>
      </c>
      <c r="B42" s="6" t="s">
        <v>1145</v>
      </c>
    </row>
    <row r="43" spans="1:2" ht="15.75" customHeight="1" x14ac:dyDescent="0.25">
      <c r="A43" s="6">
        <v>1192</v>
      </c>
      <c r="B43" s="6" t="s">
        <v>1331</v>
      </c>
    </row>
    <row r="44" spans="1:2" ht="15.75" customHeight="1" x14ac:dyDescent="0.25">
      <c r="A44" s="6">
        <v>1193</v>
      </c>
      <c r="B44" s="6" t="s">
        <v>1616</v>
      </c>
    </row>
    <row r="45" spans="1:2" ht="15.75" customHeight="1" x14ac:dyDescent="0.25">
      <c r="A45" s="6">
        <v>1194</v>
      </c>
      <c r="B45" s="6" t="s">
        <v>1617</v>
      </c>
    </row>
    <row r="46" spans="1:2" ht="15.75" customHeight="1" x14ac:dyDescent="0.25">
      <c r="A46" s="6">
        <v>1195</v>
      </c>
      <c r="B46" s="6" t="s">
        <v>1618</v>
      </c>
    </row>
    <row r="47" spans="1:2" ht="15.75" customHeight="1" x14ac:dyDescent="0.25">
      <c r="A47" s="6">
        <v>1199</v>
      </c>
      <c r="B47" s="6" t="s">
        <v>1622</v>
      </c>
    </row>
    <row r="48" spans="1:2" ht="15.75" customHeight="1" x14ac:dyDescent="0.25">
      <c r="A48" s="6">
        <v>1200</v>
      </c>
      <c r="B48" s="6" t="s">
        <v>1623</v>
      </c>
    </row>
    <row r="49" spans="1:2" ht="15.75" customHeight="1" x14ac:dyDescent="0.25">
      <c r="A49" s="6">
        <v>1201</v>
      </c>
      <c r="B49" s="6" t="s">
        <v>1624</v>
      </c>
    </row>
    <row r="50" spans="1:2" ht="15.75" customHeight="1" x14ac:dyDescent="0.25">
      <c r="A50" s="6">
        <v>1202</v>
      </c>
      <c r="B50" s="6" t="s">
        <v>1674</v>
      </c>
    </row>
    <row r="51" spans="1:2" ht="15.75" customHeight="1" x14ac:dyDescent="0.25">
      <c r="A51" s="6">
        <v>1203</v>
      </c>
      <c r="B51" s="6" t="s">
        <v>1675</v>
      </c>
    </row>
    <row r="52" spans="1:2" ht="15.75" customHeight="1" x14ac:dyDescent="0.25">
      <c r="A52" s="6">
        <v>1204</v>
      </c>
      <c r="B52" s="6" t="s">
        <v>1676</v>
      </c>
    </row>
    <row r="53" spans="1:2" ht="15.75" customHeight="1" x14ac:dyDescent="0.25">
      <c r="A53" s="6">
        <v>1205</v>
      </c>
      <c r="B53" s="6" t="s">
        <v>1677</v>
      </c>
    </row>
    <row r="54" spans="1:2" ht="15.75" customHeight="1" x14ac:dyDescent="0.25">
      <c r="A54" s="6">
        <v>1206</v>
      </c>
      <c r="B54" s="6" t="s">
        <v>1678</v>
      </c>
    </row>
    <row r="55" spans="1:2" ht="15.75" customHeight="1" x14ac:dyDescent="0.25">
      <c r="A55" s="6">
        <v>1207</v>
      </c>
      <c r="B55" s="6" t="s">
        <v>1679</v>
      </c>
    </row>
    <row r="56" spans="1:2" ht="15.75" customHeight="1" x14ac:dyDescent="0.25">
      <c r="A56" s="6">
        <v>1208</v>
      </c>
      <c r="B56" s="6" t="s">
        <v>1836</v>
      </c>
    </row>
    <row r="57" spans="1:2" ht="15.75" customHeight="1" x14ac:dyDescent="0.25">
      <c r="A57" s="6">
        <v>1209</v>
      </c>
      <c r="B57" s="6" t="s">
        <v>1837</v>
      </c>
    </row>
    <row r="58" spans="1:2" ht="15.75" customHeight="1" x14ac:dyDescent="0.25">
      <c r="A58" s="6">
        <v>1210</v>
      </c>
      <c r="B58" s="6" t="s">
        <v>1838</v>
      </c>
    </row>
    <row r="59" spans="1:2" ht="15.75" customHeight="1" x14ac:dyDescent="0.25">
      <c r="A59" s="6">
        <v>1211</v>
      </c>
      <c r="B59" s="6" t="s">
        <v>1839</v>
      </c>
    </row>
    <row r="60" spans="1:2" ht="15.75" customHeight="1" x14ac:dyDescent="0.25">
      <c r="A60" s="6">
        <v>1212</v>
      </c>
      <c r="B60" s="6" t="s">
        <v>1840</v>
      </c>
    </row>
    <row r="61" spans="1:2" ht="15.75" customHeight="1" x14ac:dyDescent="0.25">
      <c r="A61" s="6">
        <v>1213</v>
      </c>
      <c r="B61" s="6" t="s">
        <v>2014</v>
      </c>
    </row>
    <row r="62" spans="1:2" ht="15.75" customHeight="1" x14ac:dyDescent="0.25">
      <c r="A62" s="6">
        <v>1214</v>
      </c>
      <c r="B62" s="6" t="s">
        <v>2015</v>
      </c>
    </row>
    <row r="63" spans="1:2" ht="15.75" customHeight="1" x14ac:dyDescent="0.25">
      <c r="A63" s="6">
        <v>1215</v>
      </c>
      <c r="B63" s="6" t="s">
        <v>2016</v>
      </c>
    </row>
    <row r="64" spans="1:2" ht="15.75" customHeight="1" x14ac:dyDescent="0.25">
      <c r="A64" s="6">
        <v>1216</v>
      </c>
      <c r="B64" s="6" t="s">
        <v>2017</v>
      </c>
    </row>
    <row r="65" spans="1:2" ht="15.75" customHeight="1" x14ac:dyDescent="0.25">
      <c r="A65" s="6">
        <v>1217</v>
      </c>
      <c r="B65" s="6" t="s">
        <v>2018</v>
      </c>
    </row>
    <row r="66" spans="1:2" ht="15.75" customHeight="1" x14ac:dyDescent="0.25">
      <c r="A66" s="6">
        <v>1218</v>
      </c>
      <c r="B66" s="6" t="s">
        <v>2019</v>
      </c>
    </row>
    <row r="67" spans="1:2" ht="15.75" customHeight="1" x14ac:dyDescent="0.25">
      <c r="A67" s="6">
        <v>1219</v>
      </c>
      <c r="B67" s="6" t="s">
        <v>2020</v>
      </c>
    </row>
    <row r="68" spans="1:2" ht="15.75" customHeight="1" x14ac:dyDescent="0.25">
      <c r="A68" s="6">
        <v>1220</v>
      </c>
      <c r="B68" s="6" t="s">
        <v>2021</v>
      </c>
    </row>
    <row r="69" spans="1:2" ht="15.75" customHeight="1" x14ac:dyDescent="0.25">
      <c r="A69" s="6">
        <v>1221</v>
      </c>
      <c r="B69" s="6" t="s">
        <v>2022</v>
      </c>
    </row>
    <row r="70" spans="1:2" ht="15.75" customHeight="1" x14ac:dyDescent="0.25">
      <c r="A70" s="6">
        <v>1222</v>
      </c>
      <c r="B70" s="6" t="s">
        <v>2023</v>
      </c>
    </row>
    <row r="71" spans="1:2" ht="15.75" customHeight="1" x14ac:dyDescent="0.25">
      <c r="A71" s="6">
        <v>1223</v>
      </c>
      <c r="B71" s="6" t="s">
        <v>2024</v>
      </c>
    </row>
    <row r="72" spans="1:2" ht="15.75" customHeight="1" x14ac:dyDescent="0.25">
      <c r="A72" s="6">
        <v>1224</v>
      </c>
      <c r="B72" s="6" t="s">
        <v>2025</v>
      </c>
    </row>
    <row r="73" spans="1:2" ht="15.75" customHeight="1" x14ac:dyDescent="0.25">
      <c r="A73" s="6">
        <v>1225</v>
      </c>
      <c r="B73" s="6" t="s">
        <v>2026</v>
      </c>
    </row>
    <row r="74" spans="1:2" ht="15.75" customHeight="1" x14ac:dyDescent="0.25">
      <c r="A74" s="6">
        <v>1226</v>
      </c>
      <c r="B74" s="6" t="s">
        <v>2027</v>
      </c>
    </row>
    <row r="75" spans="1:2" ht="15.75" customHeight="1" x14ac:dyDescent="0.25">
      <c r="A75" s="6">
        <v>1227</v>
      </c>
      <c r="B75" s="6" t="s">
        <v>2028</v>
      </c>
    </row>
    <row r="76" spans="1:2" ht="15.75" customHeight="1" x14ac:dyDescent="0.25">
      <c r="A76" s="6">
        <v>1228</v>
      </c>
      <c r="B76" s="6" t="s">
        <v>2029</v>
      </c>
    </row>
    <row r="77" spans="1:2" ht="15.75" customHeight="1" x14ac:dyDescent="0.25">
      <c r="A77" s="6">
        <v>1229</v>
      </c>
      <c r="B77" s="6" t="s">
        <v>2030</v>
      </c>
    </row>
    <row r="78" spans="1:2" ht="15.75" customHeight="1" x14ac:dyDescent="0.25">
      <c r="A78" s="6">
        <v>1230</v>
      </c>
      <c r="B78" s="6" t="s">
        <v>2031</v>
      </c>
    </row>
    <row r="79" spans="1:2" ht="15.75" customHeight="1" x14ac:dyDescent="0.25">
      <c r="A79" s="6">
        <v>1231</v>
      </c>
      <c r="B79" s="6" t="s">
        <v>2032</v>
      </c>
    </row>
    <row r="80" spans="1:2" ht="15.75" customHeight="1" x14ac:dyDescent="0.25">
      <c r="A80" s="6">
        <v>1232</v>
      </c>
      <c r="B80" s="6" t="s">
        <v>2033</v>
      </c>
    </row>
    <row r="81" spans="1:2" ht="15.75" customHeight="1" x14ac:dyDescent="0.25">
      <c r="A81" s="6">
        <v>1233</v>
      </c>
      <c r="B81" s="6" t="s">
        <v>2034</v>
      </c>
    </row>
    <row r="82" spans="1:2" ht="15.75" customHeight="1" x14ac:dyDescent="0.25">
      <c r="A82" s="6">
        <v>1234</v>
      </c>
      <c r="B82" s="6" t="s">
        <v>2035</v>
      </c>
    </row>
    <row r="83" spans="1:2" ht="15.75" customHeight="1" x14ac:dyDescent="0.25">
      <c r="A83" s="6">
        <v>1235</v>
      </c>
      <c r="B83" s="6" t="s">
        <v>2036</v>
      </c>
    </row>
    <row r="84" spans="1:2" ht="15.75" customHeight="1" x14ac:dyDescent="0.25">
      <c r="A84" s="6">
        <v>1236</v>
      </c>
      <c r="B84" s="6" t="s">
        <v>2037</v>
      </c>
    </row>
    <row r="85" spans="1:2" ht="15.75" customHeight="1" x14ac:dyDescent="0.25">
      <c r="A85" s="6">
        <v>1237</v>
      </c>
      <c r="B85" s="6" t="s">
        <v>2038</v>
      </c>
    </row>
    <row r="86" spans="1:2" ht="15.75" customHeight="1" x14ac:dyDescent="0.25">
      <c r="A86" s="6">
        <v>208001</v>
      </c>
      <c r="B86" s="6" t="s">
        <v>1461</v>
      </c>
    </row>
    <row r="87" spans="1:2" ht="15.75" customHeight="1" x14ac:dyDescent="0.25">
      <c r="A87" s="6">
        <v>208002</v>
      </c>
      <c r="B87" s="6" t="s">
        <v>695</v>
      </c>
    </row>
    <row r="88" spans="1:2" ht="15.75" customHeight="1" x14ac:dyDescent="0.25">
      <c r="A88" s="6">
        <v>208003</v>
      </c>
      <c r="B88" s="6" t="s">
        <v>622</v>
      </c>
    </row>
    <row r="89" spans="1:2" ht="15.75" customHeight="1" x14ac:dyDescent="0.25">
      <c r="A89" s="6">
        <v>208004</v>
      </c>
      <c r="B89" s="6" t="s">
        <v>1293</v>
      </c>
    </row>
    <row r="90" spans="1:2" ht="15.75" customHeight="1" x14ac:dyDescent="0.25">
      <c r="A90" s="6">
        <v>208005</v>
      </c>
      <c r="B90" s="6" t="s">
        <v>1232</v>
      </c>
    </row>
    <row r="91" spans="1:2" ht="15.75" customHeight="1" x14ac:dyDescent="0.25">
      <c r="A91" s="6">
        <v>208006</v>
      </c>
      <c r="B91" s="6" t="s">
        <v>1039</v>
      </c>
    </row>
    <row r="92" spans="1:2" ht="15.75" customHeight="1" x14ac:dyDescent="0.25">
      <c r="A92" s="6">
        <v>208007</v>
      </c>
      <c r="B92" s="6" t="s">
        <v>1569</v>
      </c>
    </row>
    <row r="93" spans="1:2" ht="15.75" customHeight="1" x14ac:dyDescent="0.25">
      <c r="A93" s="6">
        <v>208008</v>
      </c>
      <c r="B93" s="6" t="s">
        <v>1577</v>
      </c>
    </row>
    <row r="94" spans="1:2" ht="15.75" customHeight="1" x14ac:dyDescent="0.25">
      <c r="A94" s="6">
        <v>208009</v>
      </c>
      <c r="B94" s="6" t="s">
        <v>853</v>
      </c>
    </row>
    <row r="95" spans="1:2" ht="15.75" customHeight="1" x14ac:dyDescent="0.25">
      <c r="A95" s="6">
        <v>208010</v>
      </c>
      <c r="B95" s="6" t="s">
        <v>699</v>
      </c>
    </row>
    <row r="96" spans="1:2" ht="15.75" customHeight="1" x14ac:dyDescent="0.25">
      <c r="A96" s="6">
        <v>208011</v>
      </c>
      <c r="B96" s="6" t="s">
        <v>720</v>
      </c>
    </row>
    <row r="97" spans="1:2" ht="15.75" customHeight="1" x14ac:dyDescent="0.25">
      <c r="A97" s="6">
        <v>208012</v>
      </c>
      <c r="B97" s="6" t="s">
        <v>863</v>
      </c>
    </row>
    <row r="98" spans="1:2" ht="15.75" customHeight="1" x14ac:dyDescent="0.25">
      <c r="A98" s="6">
        <v>208013</v>
      </c>
      <c r="B98" s="6" t="s">
        <v>1022</v>
      </c>
    </row>
    <row r="99" spans="1:2" ht="15.75" customHeight="1" x14ac:dyDescent="0.25">
      <c r="A99" s="6">
        <v>208014</v>
      </c>
      <c r="B99" s="6" t="s">
        <v>1033</v>
      </c>
    </row>
    <row r="100" spans="1:2" ht="15.75" customHeight="1" x14ac:dyDescent="0.25">
      <c r="A100" s="6">
        <v>208015</v>
      </c>
      <c r="B100" s="6" t="s">
        <v>1226</v>
      </c>
    </row>
    <row r="101" spans="1:2" ht="15.75" customHeight="1" x14ac:dyDescent="0.25">
      <c r="A101" s="6">
        <v>208016</v>
      </c>
      <c r="B101" s="6" t="s">
        <v>1295</v>
      </c>
    </row>
    <row r="102" spans="1:2" ht="15.75" customHeight="1" x14ac:dyDescent="0.25">
      <c r="A102" s="6">
        <v>208017</v>
      </c>
      <c r="B102" s="6" t="s">
        <v>1549</v>
      </c>
    </row>
    <row r="103" spans="1:2" ht="15.75" customHeight="1" x14ac:dyDescent="0.25">
      <c r="A103" s="6">
        <v>208018</v>
      </c>
      <c r="B103" s="6" t="s">
        <v>1054</v>
      </c>
    </row>
    <row r="104" spans="1:2" ht="15.75" customHeight="1" x14ac:dyDescent="0.25">
      <c r="A104" s="6">
        <v>208019</v>
      </c>
      <c r="B104" s="6" t="s">
        <v>685</v>
      </c>
    </row>
    <row r="105" spans="1:2" ht="15.75" customHeight="1" x14ac:dyDescent="0.25">
      <c r="A105" s="6">
        <v>208020</v>
      </c>
      <c r="B105" s="6" t="s">
        <v>1460</v>
      </c>
    </row>
    <row r="106" spans="1:2" ht="15.75" customHeight="1" x14ac:dyDescent="0.25">
      <c r="A106" s="6">
        <v>208021</v>
      </c>
      <c r="B106" s="6" t="s">
        <v>1178</v>
      </c>
    </row>
    <row r="107" spans="1:2" ht="15.75" customHeight="1" x14ac:dyDescent="0.25">
      <c r="A107" s="6">
        <v>208022</v>
      </c>
      <c r="B107" s="6" t="s">
        <v>1358</v>
      </c>
    </row>
    <row r="108" spans="1:2" ht="15.75" customHeight="1" x14ac:dyDescent="0.25">
      <c r="A108" s="6">
        <v>208023</v>
      </c>
      <c r="B108" s="6" t="s">
        <v>967</v>
      </c>
    </row>
    <row r="109" spans="1:2" ht="15.75" customHeight="1" x14ac:dyDescent="0.25">
      <c r="A109" s="6">
        <v>208024</v>
      </c>
      <c r="B109" s="6" t="s">
        <v>968</v>
      </c>
    </row>
    <row r="110" spans="1:2" ht="15.75" customHeight="1" x14ac:dyDescent="0.25">
      <c r="A110" s="6">
        <v>208025</v>
      </c>
      <c r="B110" s="6" t="s">
        <v>1545</v>
      </c>
    </row>
    <row r="111" spans="1:2" ht="15.75" customHeight="1" x14ac:dyDescent="0.25">
      <c r="A111" s="6">
        <v>208026</v>
      </c>
      <c r="B111" s="6" t="s">
        <v>1349</v>
      </c>
    </row>
    <row r="112" spans="1:2" ht="15.75" customHeight="1" x14ac:dyDescent="0.25">
      <c r="A112" s="6">
        <v>208027</v>
      </c>
      <c r="B112" s="6" t="s">
        <v>942</v>
      </c>
    </row>
    <row r="113" spans="1:2" ht="15.75" customHeight="1" x14ac:dyDescent="0.25">
      <c r="A113" s="6">
        <v>408028</v>
      </c>
      <c r="B113" s="6" t="s">
        <v>1442</v>
      </c>
    </row>
    <row r="114" spans="1:2" ht="15.75" customHeight="1" x14ac:dyDescent="0.25">
      <c r="A114" s="6">
        <v>408029</v>
      </c>
      <c r="B114" s="6" t="s">
        <v>1256</v>
      </c>
    </row>
    <row r="115" spans="1:2" ht="15.75" customHeight="1" x14ac:dyDescent="0.25">
      <c r="A115" s="6">
        <v>408030</v>
      </c>
      <c r="B115" s="6" t="s">
        <v>1162</v>
      </c>
    </row>
    <row r="116" spans="1:2" ht="15.75" customHeight="1" x14ac:dyDescent="0.25">
      <c r="A116" s="6">
        <v>408031</v>
      </c>
      <c r="B116" s="6" t="s">
        <v>1032</v>
      </c>
    </row>
    <row r="117" spans="1:2" ht="15.75" customHeight="1" x14ac:dyDescent="0.25">
      <c r="A117" s="6">
        <v>408032</v>
      </c>
      <c r="B117" s="6" t="s">
        <v>1023</v>
      </c>
    </row>
    <row r="118" spans="1:2" ht="15.75" customHeight="1" x14ac:dyDescent="0.25">
      <c r="A118" s="6">
        <v>408033</v>
      </c>
      <c r="B118" s="6" t="s">
        <v>1163</v>
      </c>
    </row>
    <row r="119" spans="1:2" ht="15.75" customHeight="1" x14ac:dyDescent="0.25">
      <c r="A119" s="6">
        <v>408034</v>
      </c>
      <c r="B119" s="6" t="s">
        <v>742</v>
      </c>
    </row>
    <row r="120" spans="1:2" ht="15.75" customHeight="1" x14ac:dyDescent="0.25">
      <c r="A120" s="6">
        <v>408035</v>
      </c>
      <c r="B120" s="6" t="s">
        <v>1026</v>
      </c>
    </row>
    <row r="121" spans="1:2" ht="15.75" customHeight="1" x14ac:dyDescent="0.25">
      <c r="A121" s="6">
        <v>408036</v>
      </c>
      <c r="B121" s="6" t="s">
        <v>854</v>
      </c>
    </row>
    <row r="122" spans="1:2" ht="15.75" customHeight="1" x14ac:dyDescent="0.25">
      <c r="A122" s="6">
        <v>408037</v>
      </c>
      <c r="B122" s="6" t="s">
        <v>1095</v>
      </c>
    </row>
    <row r="123" spans="1:2" ht="15.75" customHeight="1" x14ac:dyDescent="0.25">
      <c r="A123" s="6">
        <v>408038</v>
      </c>
      <c r="B123" s="6" t="s">
        <v>1093</v>
      </c>
    </row>
    <row r="124" spans="1:2" ht="15.75" customHeight="1" x14ac:dyDescent="0.25">
      <c r="A124" s="6">
        <v>408039</v>
      </c>
      <c r="B124" s="6" t="s">
        <v>115</v>
      </c>
    </row>
    <row r="125" spans="1:2" ht="15.75" customHeight="1" x14ac:dyDescent="0.25">
      <c r="A125" s="6">
        <v>209020</v>
      </c>
      <c r="B125" s="6" t="s">
        <v>750</v>
      </c>
    </row>
    <row r="126" spans="1:2" ht="15.75" customHeight="1" x14ac:dyDescent="0.25">
      <c r="A126" s="6">
        <v>209021</v>
      </c>
      <c r="B126" s="6" t="s">
        <v>1092</v>
      </c>
    </row>
    <row r="127" spans="1:2" ht="15.75" customHeight="1" x14ac:dyDescent="0.25">
      <c r="A127" s="6">
        <v>209023</v>
      </c>
      <c r="B127" s="6" t="s">
        <v>1544</v>
      </c>
    </row>
    <row r="128" spans="1:2" ht="15.75" customHeight="1" x14ac:dyDescent="0.25">
      <c r="A128" s="6">
        <v>409005</v>
      </c>
      <c r="B128" s="6" t="s">
        <v>1066</v>
      </c>
    </row>
    <row r="129" spans="1:2" ht="15.75" customHeight="1" x14ac:dyDescent="0.25">
      <c r="A129" s="6">
        <v>409006</v>
      </c>
      <c r="B129" s="6" t="s">
        <v>1107</v>
      </c>
    </row>
    <row r="130" spans="1:2" ht="15.75" customHeight="1" x14ac:dyDescent="0.25">
      <c r="A130" s="6">
        <v>409010</v>
      </c>
      <c r="B130" s="6" t="s">
        <v>1094</v>
      </c>
    </row>
    <row r="131" spans="1:2" ht="15.75" customHeight="1" x14ac:dyDescent="0.25">
      <c r="A131" s="6">
        <v>409011</v>
      </c>
      <c r="B131" s="6" t="s">
        <v>1105</v>
      </c>
    </row>
    <row r="132" spans="1:2" ht="15.75" customHeight="1" x14ac:dyDescent="0.25">
      <c r="A132" s="6">
        <v>409012</v>
      </c>
      <c r="B132" s="6" t="s">
        <v>1526</v>
      </c>
    </row>
    <row r="133" spans="1:2" ht="15.75" customHeight="1" x14ac:dyDescent="0.25">
      <c r="A133" s="6">
        <v>409014</v>
      </c>
      <c r="B133" s="6" t="s">
        <v>1378</v>
      </c>
    </row>
    <row r="134" spans="1:2" ht="15.75" customHeight="1" x14ac:dyDescent="0.25">
      <c r="A134" s="6">
        <v>409020</v>
      </c>
      <c r="B134" s="6" t="s">
        <v>997</v>
      </c>
    </row>
    <row r="135" spans="1:2" ht="15.75" customHeight="1" x14ac:dyDescent="0.25">
      <c r="A135" s="6">
        <v>409021</v>
      </c>
      <c r="B135" s="6" t="s">
        <v>1046</v>
      </c>
    </row>
    <row r="136" spans="1:2" ht="15.75" customHeight="1" x14ac:dyDescent="0.25">
      <c r="A136" s="6">
        <v>409023</v>
      </c>
      <c r="B136" s="6" t="s">
        <v>1260</v>
      </c>
    </row>
    <row r="137" spans="1:2" ht="15.75" customHeight="1" x14ac:dyDescent="0.25">
      <c r="A137" s="6">
        <v>409026</v>
      </c>
      <c r="B137" s="6" t="s">
        <v>1441</v>
      </c>
    </row>
    <row r="138" spans="1:2" ht="15.75" customHeight="1" x14ac:dyDescent="0.25">
      <c r="A138" s="6">
        <v>409027</v>
      </c>
      <c r="B138" s="6" t="s">
        <v>1680</v>
      </c>
    </row>
    <row r="139" spans="1:2" ht="15.75" customHeight="1" x14ac:dyDescent="0.25">
      <c r="A139" s="6">
        <v>409028</v>
      </c>
      <c r="B139" s="6" t="s">
        <v>1681</v>
      </c>
    </row>
    <row r="140" spans="1:2" ht="15.75" customHeight="1" x14ac:dyDescent="0.25">
      <c r="A140" s="6">
        <v>409030</v>
      </c>
      <c r="B140" s="6" t="s">
        <v>1682</v>
      </c>
    </row>
    <row r="141" spans="1:2" ht="15.75" customHeight="1" x14ac:dyDescent="0.25">
      <c r="A141" s="6">
        <v>409032</v>
      </c>
      <c r="B141" s="6" t="s">
        <v>1683</v>
      </c>
    </row>
    <row r="142" spans="1:2" ht="15.75" customHeight="1" x14ac:dyDescent="0.25">
      <c r="A142" s="6">
        <v>409034</v>
      </c>
      <c r="B142" s="6" t="s">
        <v>698</v>
      </c>
    </row>
    <row r="143" spans="1:2" ht="15.75" customHeight="1" x14ac:dyDescent="0.25">
      <c r="A143" s="6">
        <v>409035</v>
      </c>
      <c r="B143" s="6" t="s">
        <v>1841</v>
      </c>
    </row>
    <row r="144" spans="1:2" ht="15.75" customHeight="1" x14ac:dyDescent="0.25">
      <c r="A144" s="6">
        <v>409036</v>
      </c>
      <c r="B144" s="6" t="s">
        <v>1842</v>
      </c>
    </row>
    <row r="145" spans="1:2" ht="15.75" customHeight="1" x14ac:dyDescent="0.25">
      <c r="A145" s="6">
        <v>409037</v>
      </c>
      <c r="B145" s="6" t="s">
        <v>1843</v>
      </c>
    </row>
    <row r="146" spans="1:2" ht="15.75" customHeight="1" x14ac:dyDescent="0.25">
      <c r="A146" s="6">
        <v>409038</v>
      </c>
      <c r="B146" s="6" t="s">
        <v>914</v>
      </c>
    </row>
    <row r="147" spans="1:2" ht="15.75" customHeight="1" x14ac:dyDescent="0.25">
      <c r="A147" s="6">
        <v>409039</v>
      </c>
      <c r="B147" s="6" t="s">
        <v>1019</v>
      </c>
    </row>
    <row r="148" spans="1:2" ht="15.75" customHeight="1" x14ac:dyDescent="0.25">
      <c r="A148" s="6">
        <v>409040</v>
      </c>
      <c r="B148" s="6" t="s">
        <v>1844</v>
      </c>
    </row>
    <row r="149" spans="1:2" ht="15.75" customHeight="1" x14ac:dyDescent="0.25">
      <c r="A149" s="6">
        <v>409041</v>
      </c>
      <c r="B149" s="6" t="s">
        <v>1040</v>
      </c>
    </row>
    <row r="150" spans="1:2" ht="15.75" customHeight="1" x14ac:dyDescent="0.25">
      <c r="A150" s="6">
        <v>409042</v>
      </c>
      <c r="B150" s="6" t="s">
        <v>1845</v>
      </c>
    </row>
    <row r="151" spans="1:2" ht="15.75" customHeight="1" x14ac:dyDescent="0.25">
      <c r="A151" s="6">
        <v>409043</v>
      </c>
      <c r="B151" s="6" t="s">
        <v>1157</v>
      </c>
    </row>
    <row r="152" spans="1:2" ht="15.75" customHeight="1" x14ac:dyDescent="0.25">
      <c r="A152" s="6">
        <v>409044</v>
      </c>
      <c r="B152" s="6" t="s">
        <v>1613</v>
      </c>
    </row>
    <row r="153" spans="1:2" ht="15.75" customHeight="1" x14ac:dyDescent="0.25">
      <c r="A153" s="6">
        <v>220001</v>
      </c>
      <c r="B153" s="6" t="s">
        <v>753</v>
      </c>
    </row>
    <row r="154" spans="1:2" ht="15.75" customHeight="1" x14ac:dyDescent="0.25">
      <c r="A154" s="6">
        <v>220002</v>
      </c>
      <c r="B154" s="6" t="s">
        <v>810</v>
      </c>
    </row>
    <row r="155" spans="1:2" ht="15.75" customHeight="1" x14ac:dyDescent="0.25">
      <c r="A155" s="6">
        <v>220003</v>
      </c>
      <c r="B155" s="6" t="s">
        <v>115</v>
      </c>
    </row>
    <row r="156" spans="1:2" ht="15.75" customHeight="1" x14ac:dyDescent="0.25">
      <c r="A156" s="6">
        <v>220004</v>
      </c>
      <c r="B156" s="6" t="s">
        <v>909</v>
      </c>
    </row>
    <row r="157" spans="1:2" ht="15.75" customHeight="1" x14ac:dyDescent="0.25">
      <c r="A157" s="6">
        <v>220005</v>
      </c>
      <c r="B157" s="6" t="s">
        <v>941</v>
      </c>
    </row>
    <row r="158" spans="1:2" ht="15.75" customHeight="1" x14ac:dyDescent="0.25">
      <c r="A158" s="6">
        <v>220006</v>
      </c>
      <c r="B158" s="6" t="s">
        <v>996</v>
      </c>
    </row>
    <row r="159" spans="1:2" ht="15.75" customHeight="1" x14ac:dyDescent="0.25">
      <c r="A159" s="6">
        <v>220007</v>
      </c>
      <c r="B159" s="6" t="s">
        <v>998</v>
      </c>
    </row>
    <row r="160" spans="1:2" ht="15.75" customHeight="1" x14ac:dyDescent="0.25">
      <c r="A160" s="6">
        <v>220008</v>
      </c>
      <c r="B160" s="6" t="s">
        <v>624</v>
      </c>
    </row>
    <row r="161" spans="1:2" ht="15.75" customHeight="1" x14ac:dyDescent="0.25">
      <c r="A161" s="6">
        <v>220009</v>
      </c>
      <c r="B161" s="6" t="s">
        <v>1040</v>
      </c>
    </row>
    <row r="162" spans="1:2" ht="15.75" customHeight="1" x14ac:dyDescent="0.25">
      <c r="A162" s="6">
        <v>220010</v>
      </c>
      <c r="B162" s="6" t="s">
        <v>1067</v>
      </c>
    </row>
    <row r="163" spans="1:2" ht="15.75" customHeight="1" x14ac:dyDescent="0.25">
      <c r="A163" s="6">
        <v>220011</v>
      </c>
      <c r="B163" s="6" t="s">
        <v>1065</v>
      </c>
    </row>
    <row r="164" spans="1:2" ht="15.75" customHeight="1" x14ac:dyDescent="0.25">
      <c r="A164" s="6">
        <v>220012</v>
      </c>
      <c r="B164" s="6" t="s">
        <v>1099</v>
      </c>
    </row>
    <row r="165" spans="1:2" ht="15.75" customHeight="1" x14ac:dyDescent="0.25">
      <c r="A165" s="6">
        <v>220013</v>
      </c>
      <c r="B165" s="6" t="s">
        <v>1255</v>
      </c>
    </row>
    <row r="166" spans="1:2" ht="15.75" customHeight="1" x14ac:dyDescent="0.25">
      <c r="A166" s="6">
        <v>220014</v>
      </c>
      <c r="B166" s="6" t="s">
        <v>1351</v>
      </c>
    </row>
    <row r="167" spans="1:2" ht="15.75" customHeight="1" x14ac:dyDescent="0.25">
      <c r="A167" s="6">
        <v>220015</v>
      </c>
      <c r="B167" s="6" t="s">
        <v>1369</v>
      </c>
    </row>
    <row r="168" spans="1:2" ht="15.75" customHeight="1" x14ac:dyDescent="0.25">
      <c r="A168" s="6">
        <v>220016</v>
      </c>
      <c r="B168" s="6" t="s">
        <v>1380</v>
      </c>
    </row>
    <row r="169" spans="1:2" ht="15.75" customHeight="1" x14ac:dyDescent="0.25">
      <c r="A169" s="6">
        <v>220017</v>
      </c>
      <c r="B169" s="6" t="s">
        <v>1397</v>
      </c>
    </row>
    <row r="170" spans="1:2" ht="15.75" customHeight="1" x14ac:dyDescent="0.25">
      <c r="A170" s="6">
        <v>220018</v>
      </c>
      <c r="B170" s="6" t="s">
        <v>1402</v>
      </c>
    </row>
    <row r="171" spans="1:2" ht="15.75" customHeight="1" x14ac:dyDescent="0.25">
      <c r="A171" s="6">
        <v>220019</v>
      </c>
      <c r="B171" s="6" t="s">
        <v>1403</v>
      </c>
    </row>
    <row r="172" spans="1:2" ht="15.75" customHeight="1" x14ac:dyDescent="0.25">
      <c r="A172" s="6">
        <v>220020</v>
      </c>
      <c r="B172" s="6" t="s">
        <v>1413</v>
      </c>
    </row>
    <row r="173" spans="1:2" ht="15.75" customHeight="1" x14ac:dyDescent="0.25">
      <c r="A173" s="6">
        <v>220021</v>
      </c>
      <c r="B173" s="6" t="s">
        <v>1414</v>
      </c>
    </row>
    <row r="174" spans="1:2" ht="15.75" customHeight="1" x14ac:dyDescent="0.25">
      <c r="A174" s="6">
        <v>220022</v>
      </c>
      <c r="B174" s="6" t="s">
        <v>1440</v>
      </c>
    </row>
    <row r="175" spans="1:2" ht="15.75" customHeight="1" x14ac:dyDescent="0.25">
      <c r="A175" s="6">
        <v>220023</v>
      </c>
      <c r="B175" s="6" t="s">
        <v>1459</v>
      </c>
    </row>
    <row r="176" spans="1:2" ht="15.75" customHeight="1" x14ac:dyDescent="0.25">
      <c r="A176" s="6">
        <v>220024</v>
      </c>
      <c r="B176" s="6" t="s">
        <v>1458</v>
      </c>
    </row>
    <row r="177" spans="1:2" ht="15.75" customHeight="1" x14ac:dyDescent="0.25">
      <c r="A177" s="6">
        <v>220025</v>
      </c>
      <c r="B177" s="6" t="s">
        <v>1457</v>
      </c>
    </row>
    <row r="178" spans="1:2" ht="15.75" customHeight="1" x14ac:dyDescent="0.25">
      <c r="A178" s="6">
        <v>220026</v>
      </c>
      <c r="B178" s="6" t="s">
        <v>1554</v>
      </c>
    </row>
    <row r="179" spans="1:2" ht="15.75" customHeight="1" x14ac:dyDescent="0.25">
      <c r="A179" s="6">
        <v>220027</v>
      </c>
      <c r="B179" s="6" t="s">
        <v>1575</v>
      </c>
    </row>
    <row r="180" spans="1:2" ht="15.75" customHeight="1" x14ac:dyDescent="0.25">
      <c r="A180" s="6">
        <v>220028</v>
      </c>
      <c r="B180" s="6" t="s">
        <v>1576</v>
      </c>
    </row>
    <row r="181" spans="1:2" ht="15.75" customHeight="1" x14ac:dyDescent="0.25">
      <c r="A181" s="6">
        <v>220029</v>
      </c>
      <c r="B181" s="6" t="s">
        <v>1230</v>
      </c>
    </row>
    <row r="182" spans="1:2" ht="15.75" customHeight="1" x14ac:dyDescent="0.25">
      <c r="A182" s="6">
        <v>220030</v>
      </c>
      <c r="B182" s="6" t="s">
        <v>902</v>
      </c>
    </row>
    <row r="183" spans="1:2" ht="15.75" customHeight="1" x14ac:dyDescent="0.25">
      <c r="A183" s="6">
        <v>220031</v>
      </c>
      <c r="B183" s="6" t="s">
        <v>1381</v>
      </c>
    </row>
    <row r="184" spans="1:2" ht="15.75" customHeight="1" x14ac:dyDescent="0.25">
      <c r="A184" s="6">
        <v>220032</v>
      </c>
      <c r="B184" s="6" t="s">
        <v>1021</v>
      </c>
    </row>
    <row r="185" spans="1:2" ht="15.75" customHeight="1" x14ac:dyDescent="0.25">
      <c r="A185" s="6">
        <v>220033</v>
      </c>
      <c r="B185" s="6" t="s">
        <v>719</v>
      </c>
    </row>
    <row r="186" spans="1:2" ht="15.75" customHeight="1" x14ac:dyDescent="0.25">
      <c r="A186" s="6">
        <v>220034</v>
      </c>
      <c r="B186" s="6" t="s">
        <v>1555</v>
      </c>
    </row>
    <row r="187" spans="1:2" ht="15.75" customHeight="1" x14ac:dyDescent="0.25">
      <c r="A187" s="6">
        <v>220035</v>
      </c>
      <c r="B187" s="6" t="s">
        <v>962</v>
      </c>
    </row>
    <row r="188" spans="1:2" ht="15.75" customHeight="1" x14ac:dyDescent="0.25">
      <c r="A188" s="6">
        <v>220036</v>
      </c>
      <c r="B188" s="6" t="s">
        <v>1538</v>
      </c>
    </row>
    <row r="189" spans="1:2" ht="15.75" customHeight="1" x14ac:dyDescent="0.25">
      <c r="A189" s="6">
        <v>220037</v>
      </c>
      <c r="B189" s="6" t="s">
        <v>1447</v>
      </c>
    </row>
    <row r="190" spans="1:2" ht="15.75" customHeight="1" x14ac:dyDescent="0.25">
      <c r="A190" s="6">
        <v>220038</v>
      </c>
      <c r="B190" s="6" t="s">
        <v>1096</v>
      </c>
    </row>
    <row r="191" spans="1:2" ht="15.75" customHeight="1" x14ac:dyDescent="0.25">
      <c r="A191" s="6">
        <v>220039</v>
      </c>
      <c r="B191" s="6" t="s">
        <v>422</v>
      </c>
    </row>
    <row r="192" spans="1:2" ht="15.75" customHeight="1" x14ac:dyDescent="0.25">
      <c r="A192" s="6">
        <v>32005</v>
      </c>
      <c r="B192" s="6" t="s">
        <v>708</v>
      </c>
    </row>
    <row r="193" spans="1:2" ht="15.75" customHeight="1" x14ac:dyDescent="0.25">
      <c r="A193" s="6">
        <v>32011</v>
      </c>
      <c r="B193" s="6" t="s">
        <v>1182</v>
      </c>
    </row>
    <row r="194" spans="1:2" ht="15.75" customHeight="1" x14ac:dyDescent="0.25">
      <c r="A194" s="6">
        <v>32017</v>
      </c>
      <c r="B194" s="6" t="s">
        <v>1187</v>
      </c>
    </row>
    <row r="195" spans="1:2" ht="15.75" customHeight="1" x14ac:dyDescent="0.25">
      <c r="A195" s="6">
        <v>32018</v>
      </c>
      <c r="B195" s="6" t="s">
        <v>1186</v>
      </c>
    </row>
    <row r="196" spans="1:2" ht="15.75" customHeight="1" x14ac:dyDescent="0.25">
      <c r="A196" s="6">
        <v>32024</v>
      </c>
      <c r="B196" s="6" t="s">
        <v>721</v>
      </c>
    </row>
    <row r="197" spans="1:2" ht="15.75" customHeight="1" x14ac:dyDescent="0.25">
      <c r="A197" s="6">
        <v>32026</v>
      </c>
      <c r="B197" s="6" t="s">
        <v>980</v>
      </c>
    </row>
    <row r="198" spans="1:2" ht="15.75" customHeight="1" x14ac:dyDescent="0.25">
      <c r="A198" s="6">
        <v>32030</v>
      </c>
      <c r="B198" s="6" t="s">
        <v>729</v>
      </c>
    </row>
    <row r="199" spans="1:2" ht="15.75" customHeight="1" x14ac:dyDescent="0.25">
      <c r="A199" s="6">
        <v>32118</v>
      </c>
      <c r="B199" s="6" t="s">
        <v>726</v>
      </c>
    </row>
    <row r="200" spans="1:2" ht="15.75" customHeight="1" x14ac:dyDescent="0.25">
      <c r="A200" s="6">
        <v>32131</v>
      </c>
      <c r="B200" s="6" t="s">
        <v>1197</v>
      </c>
    </row>
    <row r="201" spans="1:2" ht="15.75" customHeight="1" x14ac:dyDescent="0.25">
      <c r="A201" s="6">
        <v>32132</v>
      </c>
      <c r="B201" s="6" t="s">
        <v>1198</v>
      </c>
    </row>
    <row r="202" spans="1:2" ht="15.75" customHeight="1" x14ac:dyDescent="0.25">
      <c r="A202" s="6">
        <v>32133</v>
      </c>
      <c r="B202" s="6" t="s">
        <v>1195</v>
      </c>
    </row>
    <row r="203" spans="1:2" ht="15.75" customHeight="1" x14ac:dyDescent="0.25">
      <c r="A203" s="6">
        <v>32147</v>
      </c>
      <c r="B203" s="6" t="s">
        <v>727</v>
      </c>
    </row>
    <row r="204" spans="1:2" ht="15.75" customHeight="1" x14ac:dyDescent="0.25">
      <c r="A204" s="6">
        <v>32148</v>
      </c>
      <c r="B204" s="6" t="s">
        <v>730</v>
      </c>
    </row>
    <row r="205" spans="1:2" ht="15.75" customHeight="1" x14ac:dyDescent="0.25">
      <c r="A205" s="6">
        <v>32169</v>
      </c>
      <c r="B205" s="6" t="s">
        <v>1206</v>
      </c>
    </row>
    <row r="206" spans="1:2" ht="15.75" customHeight="1" x14ac:dyDescent="0.25">
      <c r="A206" s="6">
        <v>32177</v>
      </c>
      <c r="B206" s="6" t="s">
        <v>731</v>
      </c>
    </row>
    <row r="207" spans="1:2" ht="15.75" customHeight="1" x14ac:dyDescent="0.25">
      <c r="A207" s="6">
        <v>32180</v>
      </c>
      <c r="B207" s="6" t="s">
        <v>892</v>
      </c>
    </row>
    <row r="208" spans="1:2" ht="15.75" customHeight="1" x14ac:dyDescent="0.25">
      <c r="A208" s="6">
        <v>32181</v>
      </c>
      <c r="B208" s="6" t="s">
        <v>883</v>
      </c>
    </row>
    <row r="209" spans="1:2" ht="15.75" customHeight="1" x14ac:dyDescent="0.25">
      <c r="A209" s="6">
        <v>32190</v>
      </c>
      <c r="B209" s="6" t="s">
        <v>728</v>
      </c>
    </row>
    <row r="210" spans="1:2" ht="15.75" customHeight="1" x14ac:dyDescent="0.25">
      <c r="A210" s="6">
        <v>32191</v>
      </c>
      <c r="B210" s="6" t="s">
        <v>1192</v>
      </c>
    </row>
    <row r="211" spans="1:2" ht="15.75" customHeight="1" x14ac:dyDescent="0.25">
      <c r="A211" s="6">
        <v>32192</v>
      </c>
      <c r="B211" s="6" t="s">
        <v>1191</v>
      </c>
    </row>
    <row r="212" spans="1:2" ht="15.75" customHeight="1" x14ac:dyDescent="0.25">
      <c r="A212" s="6">
        <v>32197</v>
      </c>
      <c r="B212" s="6" t="s">
        <v>486</v>
      </c>
    </row>
    <row r="213" spans="1:2" ht="15.75" customHeight="1" x14ac:dyDescent="0.25">
      <c r="A213" s="6">
        <v>32201</v>
      </c>
      <c r="B213" s="6" t="s">
        <v>1208</v>
      </c>
    </row>
    <row r="214" spans="1:2" ht="15.75" customHeight="1" x14ac:dyDescent="0.25">
      <c r="A214" s="6">
        <v>32202</v>
      </c>
      <c r="B214" s="6" t="s">
        <v>1199</v>
      </c>
    </row>
    <row r="215" spans="1:2" ht="15.75" customHeight="1" x14ac:dyDescent="0.25">
      <c r="A215" s="6">
        <v>32204</v>
      </c>
      <c r="B215" s="6" t="s">
        <v>735</v>
      </c>
    </row>
    <row r="216" spans="1:2" ht="15.75" customHeight="1" x14ac:dyDescent="0.25">
      <c r="A216" s="6">
        <v>32205</v>
      </c>
      <c r="B216" s="6" t="s">
        <v>723</v>
      </c>
    </row>
    <row r="217" spans="1:2" ht="15.75" customHeight="1" x14ac:dyDescent="0.25">
      <c r="A217" s="6">
        <v>32206</v>
      </c>
      <c r="B217" s="6" t="s">
        <v>1184</v>
      </c>
    </row>
    <row r="218" spans="1:2" ht="15.75" customHeight="1" x14ac:dyDescent="0.25">
      <c r="A218" s="6">
        <v>32207</v>
      </c>
      <c r="B218" s="6" t="s">
        <v>1179</v>
      </c>
    </row>
    <row r="219" spans="1:2" ht="15.75" customHeight="1" x14ac:dyDescent="0.25">
      <c r="A219" s="6">
        <v>32208</v>
      </c>
      <c r="B219" s="6" t="s">
        <v>889</v>
      </c>
    </row>
    <row r="220" spans="1:2" ht="15.75" customHeight="1" x14ac:dyDescent="0.25">
      <c r="A220" s="6">
        <v>32209</v>
      </c>
      <c r="B220" s="6" t="s">
        <v>879</v>
      </c>
    </row>
    <row r="221" spans="1:2" ht="15.75" customHeight="1" x14ac:dyDescent="0.25">
      <c r="A221" s="6">
        <v>32210</v>
      </c>
      <c r="B221" s="6" t="s">
        <v>884</v>
      </c>
    </row>
    <row r="222" spans="1:2" ht="15.75" customHeight="1" x14ac:dyDescent="0.25">
      <c r="A222" s="6">
        <v>32211</v>
      </c>
      <c r="B222" s="6" t="s">
        <v>722</v>
      </c>
    </row>
    <row r="223" spans="1:2" ht="15.75" customHeight="1" x14ac:dyDescent="0.25">
      <c r="A223" s="6">
        <v>32212</v>
      </c>
      <c r="B223" s="6" t="s">
        <v>913</v>
      </c>
    </row>
    <row r="224" spans="1:2" ht="15.75" customHeight="1" x14ac:dyDescent="0.25">
      <c r="A224" s="6">
        <v>32213</v>
      </c>
      <c r="B224" s="6" t="s">
        <v>1435</v>
      </c>
    </row>
    <row r="225" spans="1:2" ht="15.75" customHeight="1" x14ac:dyDescent="0.25">
      <c r="A225" s="6">
        <v>32215</v>
      </c>
      <c r="B225" s="6" t="s">
        <v>1209</v>
      </c>
    </row>
    <row r="226" spans="1:2" ht="15.75" customHeight="1" x14ac:dyDescent="0.25">
      <c r="A226" s="6">
        <v>32218</v>
      </c>
      <c r="B226" s="6" t="s">
        <v>1201</v>
      </c>
    </row>
    <row r="227" spans="1:2" ht="15.75" customHeight="1" x14ac:dyDescent="0.25">
      <c r="A227" s="6">
        <v>32219</v>
      </c>
      <c r="B227" s="6" t="s">
        <v>1203</v>
      </c>
    </row>
    <row r="228" spans="1:2" ht="15.75" customHeight="1" x14ac:dyDescent="0.25">
      <c r="A228" s="6">
        <v>32220</v>
      </c>
      <c r="B228" s="6" t="s">
        <v>1190</v>
      </c>
    </row>
    <row r="229" spans="1:2" ht="15.75" customHeight="1" x14ac:dyDescent="0.25">
      <c r="A229" s="6">
        <v>32221</v>
      </c>
      <c r="B229" s="6" t="s">
        <v>1625</v>
      </c>
    </row>
    <row r="230" spans="1:2" ht="15.75" customHeight="1" x14ac:dyDescent="0.25">
      <c r="A230" s="6">
        <v>32222</v>
      </c>
      <c r="B230" s="6" t="s">
        <v>1626</v>
      </c>
    </row>
    <row r="231" spans="1:2" ht="15.75" customHeight="1" x14ac:dyDescent="0.25">
      <c r="A231" s="6">
        <v>32223</v>
      </c>
      <c r="B231" s="6" t="s">
        <v>1627</v>
      </c>
    </row>
    <row r="232" spans="1:2" ht="15.75" customHeight="1" x14ac:dyDescent="0.25">
      <c r="A232" s="6">
        <v>32224</v>
      </c>
      <c r="B232" s="6" t="s">
        <v>1628</v>
      </c>
    </row>
    <row r="233" spans="1:2" ht="15.75" customHeight="1" x14ac:dyDescent="0.25">
      <c r="A233" s="6">
        <v>32225</v>
      </c>
      <c r="B233" s="6" t="s">
        <v>489</v>
      </c>
    </row>
    <row r="234" spans="1:2" ht="15.75" customHeight="1" x14ac:dyDescent="0.25">
      <c r="A234" s="6">
        <v>32226</v>
      </c>
      <c r="B234" s="6" t="s">
        <v>1629</v>
      </c>
    </row>
    <row r="235" spans="1:2" ht="15.75" customHeight="1" x14ac:dyDescent="0.25">
      <c r="A235" s="6">
        <v>32227</v>
      </c>
      <c r="B235" s="6" t="s">
        <v>1630</v>
      </c>
    </row>
    <row r="236" spans="1:2" ht="15.75" customHeight="1" x14ac:dyDescent="0.25">
      <c r="A236" s="6">
        <v>32228</v>
      </c>
      <c r="B236" s="6" t="s">
        <v>1631</v>
      </c>
    </row>
    <row r="237" spans="1:2" ht="15.75" customHeight="1" x14ac:dyDescent="0.25">
      <c r="A237" s="6">
        <v>32229</v>
      </c>
      <c r="B237" s="6" t="s">
        <v>1632</v>
      </c>
    </row>
    <row r="238" spans="1:2" ht="15.75" customHeight="1" x14ac:dyDescent="0.25">
      <c r="A238" s="6">
        <v>32233</v>
      </c>
      <c r="B238" s="6" t="s">
        <v>1636</v>
      </c>
    </row>
    <row r="239" spans="1:2" ht="15.75" customHeight="1" x14ac:dyDescent="0.25">
      <c r="A239" s="6">
        <v>32234</v>
      </c>
      <c r="B239" s="6" t="s">
        <v>1637</v>
      </c>
    </row>
    <row r="240" spans="1:2" ht="15.75" customHeight="1" x14ac:dyDescent="0.25">
      <c r="A240" s="6">
        <v>32235</v>
      </c>
      <c r="B240" s="6" t="s">
        <v>1684</v>
      </c>
    </row>
    <row r="241" spans="1:2" ht="15.75" customHeight="1" x14ac:dyDescent="0.25">
      <c r="A241" s="6">
        <v>32236</v>
      </c>
      <c r="B241" s="6" t="s">
        <v>1685</v>
      </c>
    </row>
    <row r="242" spans="1:2" ht="15.75" customHeight="1" x14ac:dyDescent="0.25">
      <c r="A242" s="6">
        <v>32237</v>
      </c>
      <c r="B242" s="6" t="s">
        <v>1846</v>
      </c>
    </row>
    <row r="243" spans="1:2" ht="15.75" customHeight="1" x14ac:dyDescent="0.25">
      <c r="A243" s="6">
        <v>32238</v>
      </c>
      <c r="B243" s="6" t="s">
        <v>1847</v>
      </c>
    </row>
    <row r="244" spans="1:2" ht="15.75" customHeight="1" x14ac:dyDescent="0.25">
      <c r="A244" s="6">
        <v>32239</v>
      </c>
      <c r="B244" s="6" t="s">
        <v>1848</v>
      </c>
    </row>
    <row r="245" spans="1:2" ht="15.75" customHeight="1" x14ac:dyDescent="0.25">
      <c r="A245" s="6">
        <v>32240</v>
      </c>
      <c r="B245" s="6" t="s">
        <v>1849</v>
      </c>
    </row>
    <row r="246" spans="1:2" ht="15.75" customHeight="1" x14ac:dyDescent="0.25">
      <c r="A246" s="6">
        <v>32241</v>
      </c>
      <c r="B246" s="6" t="s">
        <v>1850</v>
      </c>
    </row>
    <row r="247" spans="1:2" ht="15.75" customHeight="1" x14ac:dyDescent="0.25">
      <c r="A247" s="6">
        <v>32242</v>
      </c>
      <c r="B247" s="6" t="s">
        <v>1851</v>
      </c>
    </row>
    <row r="248" spans="1:2" ht="15.75" customHeight="1" x14ac:dyDescent="0.25">
      <c r="A248" s="6">
        <v>32243</v>
      </c>
      <c r="B248" s="6" t="s">
        <v>1852</v>
      </c>
    </row>
    <row r="249" spans="1:2" ht="15.75" customHeight="1" x14ac:dyDescent="0.25">
      <c r="A249" s="6">
        <v>32244</v>
      </c>
      <c r="B249" s="6" t="s">
        <v>1853</v>
      </c>
    </row>
    <row r="250" spans="1:2" ht="15.75" customHeight="1" x14ac:dyDescent="0.25">
      <c r="A250" s="6">
        <v>32245</v>
      </c>
      <c r="B250" s="6" t="s">
        <v>1854</v>
      </c>
    </row>
    <row r="251" spans="1:2" ht="15.75" customHeight="1" x14ac:dyDescent="0.25">
      <c r="A251" s="6">
        <v>32246</v>
      </c>
      <c r="B251" s="6" t="s">
        <v>1855</v>
      </c>
    </row>
    <row r="252" spans="1:2" ht="15.75" customHeight="1" x14ac:dyDescent="0.25">
      <c r="A252" s="6">
        <v>32247</v>
      </c>
      <c r="B252" s="6" t="s">
        <v>1856</v>
      </c>
    </row>
    <row r="253" spans="1:2" ht="15.75" customHeight="1" x14ac:dyDescent="0.25">
      <c r="A253" s="6">
        <v>32248</v>
      </c>
      <c r="B253" s="6" t="s">
        <v>1857</v>
      </c>
    </row>
    <row r="254" spans="1:2" ht="15.75" customHeight="1" x14ac:dyDescent="0.25">
      <c r="A254" s="6">
        <v>32249</v>
      </c>
      <c r="B254" s="6" t="s">
        <v>1858</v>
      </c>
    </row>
    <row r="255" spans="1:2" ht="15.75" customHeight="1" x14ac:dyDescent="0.25">
      <c r="A255" s="6">
        <v>32250</v>
      </c>
      <c r="B255" s="6" t="s">
        <v>1859</v>
      </c>
    </row>
    <row r="256" spans="1:2" ht="15.75" customHeight="1" x14ac:dyDescent="0.25">
      <c r="A256" s="6">
        <v>32251</v>
      </c>
      <c r="B256" s="6" t="s">
        <v>1860</v>
      </c>
    </row>
    <row r="257" spans="1:2" ht="15.75" customHeight="1" x14ac:dyDescent="0.25">
      <c r="A257" s="6">
        <v>32252</v>
      </c>
      <c r="B257" s="6" t="s">
        <v>1861</v>
      </c>
    </row>
    <row r="258" spans="1:2" ht="15.75" customHeight="1" x14ac:dyDescent="0.25">
      <c r="A258" s="6">
        <v>32253</v>
      </c>
      <c r="B258" s="6" t="s">
        <v>2039</v>
      </c>
    </row>
    <row r="259" spans="1:2" ht="15.75" customHeight="1" x14ac:dyDescent="0.25">
      <c r="A259" s="6">
        <v>32254</v>
      </c>
      <c r="B259" s="6" t="s">
        <v>2040</v>
      </c>
    </row>
    <row r="260" spans="1:2" ht="15.75" customHeight="1" x14ac:dyDescent="0.25">
      <c r="A260" s="6">
        <v>32255</v>
      </c>
      <c r="B260" s="6" t="s">
        <v>2041</v>
      </c>
    </row>
    <row r="261" spans="1:2" ht="15.75" customHeight="1" x14ac:dyDescent="0.25">
      <c r="A261" s="6">
        <v>32256</v>
      </c>
      <c r="B261" s="6" t="s">
        <v>2042</v>
      </c>
    </row>
    <row r="262" spans="1:2" ht="15.75" customHeight="1" x14ac:dyDescent="0.25">
      <c r="A262" s="6">
        <v>32257</v>
      </c>
      <c r="B262" s="6" t="s">
        <v>2043</v>
      </c>
    </row>
    <row r="263" spans="1:2" ht="15.75" customHeight="1" x14ac:dyDescent="0.25">
      <c r="A263" s="6">
        <v>32258</v>
      </c>
      <c r="B263" s="6" t="s">
        <v>2044</v>
      </c>
    </row>
    <row r="264" spans="1:2" ht="15.75" customHeight="1" x14ac:dyDescent="0.25">
      <c r="A264" s="6">
        <v>32259</v>
      </c>
      <c r="B264" s="6" t="s">
        <v>2045</v>
      </c>
    </row>
    <row r="265" spans="1:2" ht="15.75" customHeight="1" x14ac:dyDescent="0.25">
      <c r="A265" s="6">
        <v>32260</v>
      </c>
      <c r="B265" s="6" t="s">
        <v>2046</v>
      </c>
    </row>
    <row r="266" spans="1:2" ht="15.75" customHeight="1" x14ac:dyDescent="0.25">
      <c r="A266" s="6">
        <v>32261</v>
      </c>
      <c r="B266" s="6" t="s">
        <v>2047</v>
      </c>
    </row>
    <row r="267" spans="1:2" ht="15.75" customHeight="1" x14ac:dyDescent="0.25">
      <c r="A267" s="6">
        <v>32262</v>
      </c>
      <c r="B267" s="6" t="s">
        <v>2048</v>
      </c>
    </row>
    <row r="268" spans="1:2" ht="15.75" customHeight="1" x14ac:dyDescent="0.25">
      <c r="A268" s="6">
        <v>32263</v>
      </c>
      <c r="B268" s="6" t="s">
        <v>2049</v>
      </c>
    </row>
    <row r="269" spans="1:2" ht="15.75" customHeight="1" x14ac:dyDescent="0.25">
      <c r="A269" s="6">
        <v>32264</v>
      </c>
      <c r="B269" s="6" t="s">
        <v>2050</v>
      </c>
    </row>
    <row r="270" spans="1:2" ht="15.75" customHeight="1" x14ac:dyDescent="0.25">
      <c r="A270" s="6">
        <v>32265</v>
      </c>
      <c r="B270" s="6" t="s">
        <v>2051</v>
      </c>
    </row>
    <row r="271" spans="1:2" ht="15.75" customHeight="1" x14ac:dyDescent="0.25">
      <c r="A271" s="6">
        <v>32266</v>
      </c>
      <c r="B271" s="6" t="s">
        <v>2052</v>
      </c>
    </row>
    <row r="272" spans="1:2" ht="15.75" customHeight="1" x14ac:dyDescent="0.25">
      <c r="A272" s="6">
        <v>32267</v>
      </c>
      <c r="B272" s="6" t="s">
        <v>2053</v>
      </c>
    </row>
    <row r="273" spans="1:2" ht="15.75" customHeight="1" x14ac:dyDescent="0.25">
      <c r="A273" s="6">
        <v>32268</v>
      </c>
      <c r="B273" s="6" t="s">
        <v>2054</v>
      </c>
    </row>
    <row r="274" spans="1:2" ht="15.75" customHeight="1" x14ac:dyDescent="0.25">
      <c r="A274" s="6">
        <v>132009</v>
      </c>
      <c r="B274" s="6" t="s">
        <v>1644</v>
      </c>
    </row>
    <row r="275" spans="1:2" ht="15.75" customHeight="1" x14ac:dyDescent="0.25">
      <c r="A275" s="6">
        <v>132023</v>
      </c>
      <c r="B275" s="6" t="s">
        <v>981</v>
      </c>
    </row>
    <row r="276" spans="1:2" ht="15.75" customHeight="1" x14ac:dyDescent="0.25">
      <c r="A276" s="6">
        <v>332001</v>
      </c>
      <c r="B276" s="6" t="s">
        <v>1686</v>
      </c>
    </row>
    <row r="277" spans="1:2" ht="15.75" customHeight="1" x14ac:dyDescent="0.25">
      <c r="A277" s="6">
        <v>332002</v>
      </c>
      <c r="B277" s="6" t="s">
        <v>1687</v>
      </c>
    </row>
    <row r="278" spans="1:2" ht="15.75" customHeight="1" x14ac:dyDescent="0.25">
      <c r="A278" s="6">
        <v>332003</v>
      </c>
      <c r="B278" s="6" t="s">
        <v>1688</v>
      </c>
    </row>
    <row r="279" spans="1:2" ht="15.75" customHeight="1" x14ac:dyDescent="0.25">
      <c r="A279" s="6">
        <v>332004</v>
      </c>
      <c r="B279" s="6" t="s">
        <v>1689</v>
      </c>
    </row>
    <row r="280" spans="1:2" ht="15.75" customHeight="1" x14ac:dyDescent="0.25">
      <c r="A280" s="6">
        <v>332005</v>
      </c>
      <c r="B280" s="6" t="s">
        <v>1690</v>
      </c>
    </row>
    <row r="281" spans="1:2" ht="15.75" customHeight="1" x14ac:dyDescent="0.25">
      <c r="A281" s="6">
        <v>332006</v>
      </c>
      <c r="B281" s="6" t="s">
        <v>1691</v>
      </c>
    </row>
    <row r="282" spans="1:2" ht="15.75" customHeight="1" x14ac:dyDescent="0.25">
      <c r="A282" s="6">
        <v>332007</v>
      </c>
      <c r="B282" s="6" t="s">
        <v>1862</v>
      </c>
    </row>
    <row r="283" spans="1:2" ht="15.75" customHeight="1" x14ac:dyDescent="0.25">
      <c r="A283" s="6">
        <v>332008</v>
      </c>
      <c r="B283" s="6" t="s">
        <v>1863</v>
      </c>
    </row>
    <row r="284" spans="1:2" ht="15.75" customHeight="1" x14ac:dyDescent="0.25">
      <c r="A284" s="6">
        <v>332009</v>
      </c>
      <c r="B284" s="6" t="s">
        <v>1864</v>
      </c>
    </row>
    <row r="285" spans="1:2" ht="15.75" customHeight="1" x14ac:dyDescent="0.25">
      <c r="A285" s="6">
        <v>235003</v>
      </c>
      <c r="B285" s="6" t="s">
        <v>818</v>
      </c>
    </row>
    <row r="286" spans="1:2" ht="15.75" customHeight="1" x14ac:dyDescent="0.25">
      <c r="A286" s="6">
        <v>235004</v>
      </c>
      <c r="B286" s="6" t="s">
        <v>812</v>
      </c>
    </row>
    <row r="287" spans="1:2" ht="15.75" customHeight="1" x14ac:dyDescent="0.25">
      <c r="A287" s="6">
        <v>235005</v>
      </c>
      <c r="B287" s="6" t="s">
        <v>811</v>
      </c>
    </row>
    <row r="288" spans="1:2" ht="15.75" customHeight="1" x14ac:dyDescent="0.25">
      <c r="A288" s="6">
        <v>235011</v>
      </c>
      <c r="B288" s="6" t="s">
        <v>749</v>
      </c>
    </row>
    <row r="289" spans="1:2" ht="15.75" customHeight="1" x14ac:dyDescent="0.25">
      <c r="A289" s="6">
        <v>235012</v>
      </c>
      <c r="B289" s="6" t="s">
        <v>747</v>
      </c>
    </row>
    <row r="290" spans="1:2" ht="15.75" customHeight="1" x14ac:dyDescent="0.25">
      <c r="A290" s="6">
        <v>235013</v>
      </c>
      <c r="B290" s="6" t="s">
        <v>748</v>
      </c>
    </row>
    <row r="291" spans="1:2" ht="15.75" customHeight="1" x14ac:dyDescent="0.25">
      <c r="A291" s="6">
        <v>235014</v>
      </c>
      <c r="B291" s="6" t="s">
        <v>1646</v>
      </c>
    </row>
    <row r="292" spans="1:2" ht="15.75" customHeight="1" x14ac:dyDescent="0.25">
      <c r="A292" s="6">
        <v>235015</v>
      </c>
      <c r="B292" s="6" t="s">
        <v>1647</v>
      </c>
    </row>
    <row r="293" spans="1:2" ht="15.75" customHeight="1" x14ac:dyDescent="0.25">
      <c r="A293" s="6">
        <v>235016</v>
      </c>
      <c r="B293" s="6" t="s">
        <v>1648</v>
      </c>
    </row>
    <row r="294" spans="1:2" ht="15.75" customHeight="1" x14ac:dyDescent="0.25">
      <c r="A294" s="6">
        <v>235017</v>
      </c>
      <c r="B294" s="6" t="s">
        <v>1649</v>
      </c>
    </row>
    <row r="295" spans="1:2" ht="15.75" customHeight="1" x14ac:dyDescent="0.25">
      <c r="A295" s="6">
        <v>43001</v>
      </c>
      <c r="B295" s="6" t="s">
        <v>1600</v>
      </c>
    </row>
    <row r="296" spans="1:2" ht="15.75" customHeight="1" x14ac:dyDescent="0.25">
      <c r="A296" s="6">
        <v>43002</v>
      </c>
      <c r="B296" s="6" t="s">
        <v>1603</v>
      </c>
    </row>
    <row r="297" spans="1:2" ht="15.75" customHeight="1" x14ac:dyDescent="0.25">
      <c r="A297" s="6">
        <v>43003</v>
      </c>
      <c r="B297" s="6" t="s">
        <v>1601</v>
      </c>
    </row>
    <row r="298" spans="1:2" ht="15.75" customHeight="1" x14ac:dyDescent="0.25">
      <c r="A298" s="6">
        <v>43004</v>
      </c>
      <c r="B298" s="6" t="s">
        <v>1604</v>
      </c>
    </row>
    <row r="299" spans="1:2" ht="15.75" customHeight="1" x14ac:dyDescent="0.25">
      <c r="A299" s="6">
        <v>43005</v>
      </c>
      <c r="B299" s="6" t="s">
        <v>1607</v>
      </c>
    </row>
    <row r="300" spans="1:2" ht="15.75" customHeight="1" x14ac:dyDescent="0.25">
      <c r="A300" s="6">
        <v>43006</v>
      </c>
      <c r="B300" s="6" t="s">
        <v>1606</v>
      </c>
    </row>
    <row r="301" spans="1:2" ht="15.75" customHeight="1" x14ac:dyDescent="0.25">
      <c r="A301" s="6">
        <v>43008</v>
      </c>
      <c r="B301" s="6" t="s">
        <v>844</v>
      </c>
    </row>
    <row r="302" spans="1:2" ht="15.75" customHeight="1" x14ac:dyDescent="0.25">
      <c r="A302" s="6">
        <v>43009</v>
      </c>
      <c r="B302" s="6" t="s">
        <v>843</v>
      </c>
    </row>
    <row r="303" spans="1:2" ht="15.75" customHeight="1" x14ac:dyDescent="0.25">
      <c r="A303" s="6">
        <v>43015</v>
      </c>
      <c r="B303" s="6" t="s">
        <v>1654</v>
      </c>
    </row>
    <row r="304" spans="1:2" ht="15.75" customHeight="1" x14ac:dyDescent="0.25">
      <c r="A304" s="6">
        <v>43016</v>
      </c>
      <c r="B304" s="6" t="s">
        <v>1655</v>
      </c>
    </row>
    <row r="305" spans="1:2" ht="15.75" customHeight="1" x14ac:dyDescent="0.25">
      <c r="A305" s="6">
        <v>43017</v>
      </c>
      <c r="B305" s="6" t="s">
        <v>1656</v>
      </c>
    </row>
    <row r="306" spans="1:2" ht="15.75" customHeight="1" x14ac:dyDescent="0.25">
      <c r="A306" s="6">
        <v>43018</v>
      </c>
      <c r="B306" s="6" t="s">
        <v>1657</v>
      </c>
    </row>
    <row r="307" spans="1:2" ht="15.75" customHeight="1" x14ac:dyDescent="0.25">
      <c r="A307" s="6">
        <v>43019</v>
      </c>
      <c r="B307" s="6" t="s">
        <v>1658</v>
      </c>
    </row>
    <row r="308" spans="1:2" ht="15.75" customHeight="1" x14ac:dyDescent="0.25">
      <c r="A308" s="6">
        <v>43020</v>
      </c>
      <c r="B308" s="6" t="s">
        <v>1692</v>
      </c>
    </row>
    <row r="309" spans="1:2" ht="15.75" customHeight="1" x14ac:dyDescent="0.25">
      <c r="A309" s="6">
        <v>43021</v>
      </c>
      <c r="B309" s="6" t="s">
        <v>1693</v>
      </c>
    </row>
    <row r="310" spans="1:2" ht="15.75" customHeight="1" x14ac:dyDescent="0.25">
      <c r="A310" s="6">
        <v>43022</v>
      </c>
      <c r="B310" s="6" t="s">
        <v>1694</v>
      </c>
    </row>
    <row r="311" spans="1:2" ht="15.75" customHeight="1" x14ac:dyDescent="0.25">
      <c r="A311" s="6">
        <v>43023</v>
      </c>
      <c r="B311" s="6" t="s">
        <v>1695</v>
      </c>
    </row>
    <row r="312" spans="1:2" ht="15.75" customHeight="1" x14ac:dyDescent="0.25">
      <c r="A312" s="6">
        <v>43024</v>
      </c>
      <c r="B312" s="6" t="s">
        <v>1865</v>
      </c>
    </row>
    <row r="313" spans="1:2" ht="15.75" customHeight="1" x14ac:dyDescent="0.25">
      <c r="A313" s="6">
        <v>43025</v>
      </c>
      <c r="B313" s="6" t="s">
        <v>1866</v>
      </c>
    </row>
    <row r="314" spans="1:2" ht="15.75" customHeight="1" x14ac:dyDescent="0.25">
      <c r="A314" s="6">
        <v>43026</v>
      </c>
      <c r="B314" s="6" t="s">
        <v>1867</v>
      </c>
    </row>
    <row r="315" spans="1:2" ht="15.75" customHeight="1" x14ac:dyDescent="0.25">
      <c r="A315" s="6">
        <v>43027</v>
      </c>
      <c r="B315" s="6" t="s">
        <v>1868</v>
      </c>
    </row>
    <row r="316" spans="1:2" ht="15.75" customHeight="1" x14ac:dyDescent="0.25">
      <c r="A316" s="6">
        <v>43028</v>
      </c>
      <c r="B316" s="6" t="s">
        <v>2055</v>
      </c>
    </row>
    <row r="317" spans="1:2" ht="15.75" customHeight="1" x14ac:dyDescent="0.25">
      <c r="A317" s="6">
        <v>43029</v>
      </c>
      <c r="B317" s="6" t="s">
        <v>2056</v>
      </c>
    </row>
    <row r="318" spans="1:2" ht="15.75" customHeight="1" x14ac:dyDescent="0.25">
      <c r="A318" s="6">
        <v>43030</v>
      </c>
      <c r="B318" s="6" t="s">
        <v>2057</v>
      </c>
    </row>
    <row r="319" spans="1:2" ht="15.75" customHeight="1" x14ac:dyDescent="0.25">
      <c r="A319" s="6">
        <v>44001</v>
      </c>
      <c r="B319" s="6" t="s">
        <v>1158</v>
      </c>
    </row>
    <row r="320" spans="1:2" ht="15.75" customHeight="1" x14ac:dyDescent="0.25">
      <c r="A320" s="6">
        <v>44002</v>
      </c>
      <c r="B320" s="6" t="s">
        <v>1161</v>
      </c>
    </row>
    <row r="321" spans="1:2" ht="15.75" customHeight="1" x14ac:dyDescent="0.25">
      <c r="A321" s="6">
        <v>44003</v>
      </c>
      <c r="B321" s="6" t="s">
        <v>1160</v>
      </c>
    </row>
    <row r="322" spans="1:2" ht="15.75" customHeight="1" x14ac:dyDescent="0.25">
      <c r="A322" s="6">
        <v>44004</v>
      </c>
      <c r="B322" s="6" t="s">
        <v>1159</v>
      </c>
    </row>
    <row r="323" spans="1:2" ht="15.75" customHeight="1" x14ac:dyDescent="0.25">
      <c r="A323" s="6">
        <v>44005</v>
      </c>
      <c r="B323" s="6" t="s">
        <v>1279</v>
      </c>
    </row>
    <row r="324" spans="1:2" ht="15.75" customHeight="1" x14ac:dyDescent="0.25">
      <c r="A324" s="6">
        <v>446005</v>
      </c>
      <c r="B324" s="6" t="s">
        <v>663</v>
      </c>
    </row>
    <row r="325" spans="1:2" ht="15.75" customHeight="1" x14ac:dyDescent="0.25">
      <c r="A325" s="6">
        <v>446006</v>
      </c>
      <c r="B325" s="6" t="s">
        <v>651</v>
      </c>
    </row>
    <row r="326" spans="1:2" ht="15.75" customHeight="1" x14ac:dyDescent="0.25">
      <c r="A326" s="6">
        <v>446007</v>
      </c>
      <c r="B326" s="6" t="s">
        <v>660</v>
      </c>
    </row>
    <row r="327" spans="1:2" ht="15.75" customHeight="1" x14ac:dyDescent="0.25">
      <c r="A327" s="6">
        <v>446008</v>
      </c>
      <c r="B327" s="6" t="s">
        <v>652</v>
      </c>
    </row>
    <row r="328" spans="1:2" ht="15.75" customHeight="1" x14ac:dyDescent="0.25">
      <c r="A328" s="6">
        <v>446009</v>
      </c>
      <c r="B328" s="6" t="s">
        <v>653</v>
      </c>
    </row>
    <row r="329" spans="1:2" ht="15.75" customHeight="1" x14ac:dyDescent="0.25">
      <c r="A329" s="6">
        <v>446010</v>
      </c>
      <c r="B329" s="6" t="s">
        <v>657</v>
      </c>
    </row>
    <row r="330" spans="1:2" ht="15.75" customHeight="1" x14ac:dyDescent="0.25">
      <c r="A330" s="6">
        <v>446011</v>
      </c>
      <c r="B330" s="6" t="s">
        <v>655</v>
      </c>
    </row>
    <row r="331" spans="1:2" ht="15.75" customHeight="1" x14ac:dyDescent="0.25">
      <c r="A331" s="6">
        <v>446012</v>
      </c>
      <c r="B331" s="6" t="s">
        <v>654</v>
      </c>
    </row>
    <row r="332" spans="1:2" ht="15.75" customHeight="1" x14ac:dyDescent="0.25">
      <c r="A332" s="6">
        <v>446013</v>
      </c>
      <c r="B332" s="6" t="s">
        <v>662</v>
      </c>
    </row>
    <row r="333" spans="1:2" ht="15.75" customHeight="1" x14ac:dyDescent="0.25">
      <c r="A333" s="6">
        <v>446014</v>
      </c>
      <c r="B333" s="6" t="s">
        <v>661</v>
      </c>
    </row>
    <row r="334" spans="1:2" ht="15.75" customHeight="1" x14ac:dyDescent="0.25">
      <c r="A334" s="6">
        <v>446015</v>
      </c>
      <c r="B334" s="6" t="s">
        <v>659</v>
      </c>
    </row>
    <row r="335" spans="1:2" ht="15.75" customHeight="1" x14ac:dyDescent="0.25">
      <c r="A335" s="6">
        <v>446016</v>
      </c>
      <c r="B335" s="6" t="s">
        <v>656</v>
      </c>
    </row>
    <row r="336" spans="1:2" ht="15.75" customHeight="1" x14ac:dyDescent="0.25">
      <c r="A336" s="6">
        <v>446017</v>
      </c>
      <c r="B336" s="6" t="s">
        <v>658</v>
      </c>
    </row>
    <row r="337" spans="1:2" ht="15.75" customHeight="1" x14ac:dyDescent="0.25">
      <c r="A337" s="6">
        <v>446018</v>
      </c>
      <c r="B337" s="6" t="s">
        <v>664</v>
      </c>
    </row>
    <row r="338" spans="1:2" ht="15.75" customHeight="1" x14ac:dyDescent="0.25">
      <c r="A338" s="6">
        <v>446019</v>
      </c>
      <c r="B338" s="6" t="s">
        <v>665</v>
      </c>
    </row>
    <row r="339" spans="1:2" ht="15.75" customHeight="1" x14ac:dyDescent="0.25">
      <c r="A339" s="6">
        <v>47001</v>
      </c>
      <c r="B339" s="6" t="s">
        <v>1503</v>
      </c>
    </row>
    <row r="340" spans="1:2" ht="15.75" customHeight="1" x14ac:dyDescent="0.25">
      <c r="A340" s="6">
        <v>47002</v>
      </c>
      <c r="B340" s="6" t="s">
        <v>1501</v>
      </c>
    </row>
    <row r="341" spans="1:2" ht="15.75" customHeight="1" x14ac:dyDescent="0.25">
      <c r="A341" s="6">
        <v>47003</v>
      </c>
      <c r="B341" s="6" t="s">
        <v>1505</v>
      </c>
    </row>
    <row r="342" spans="1:2" ht="15.75" customHeight="1" x14ac:dyDescent="0.25">
      <c r="A342" s="6">
        <v>47004</v>
      </c>
      <c r="B342" s="6" t="s">
        <v>1472</v>
      </c>
    </row>
    <row r="343" spans="1:2" ht="15.75" customHeight="1" x14ac:dyDescent="0.25">
      <c r="A343" s="6">
        <v>47005</v>
      </c>
      <c r="B343" s="6" t="s">
        <v>1470</v>
      </c>
    </row>
    <row r="344" spans="1:2" ht="15.75" customHeight="1" x14ac:dyDescent="0.25">
      <c r="A344" s="6">
        <v>47006</v>
      </c>
      <c r="B344" s="6" t="s">
        <v>1474</v>
      </c>
    </row>
    <row r="345" spans="1:2" ht="15.75" customHeight="1" x14ac:dyDescent="0.25">
      <c r="A345" s="6">
        <v>47007</v>
      </c>
      <c r="B345" s="6" t="s">
        <v>1502</v>
      </c>
    </row>
    <row r="346" spans="1:2" ht="15.75" customHeight="1" x14ac:dyDescent="0.25">
      <c r="A346" s="6">
        <v>47008</v>
      </c>
      <c r="B346" s="6" t="s">
        <v>1500</v>
      </c>
    </row>
    <row r="347" spans="1:2" ht="15.75" customHeight="1" x14ac:dyDescent="0.25">
      <c r="A347" s="6">
        <v>47009</v>
      </c>
      <c r="B347" s="6" t="s">
        <v>1504</v>
      </c>
    </row>
    <row r="348" spans="1:2" ht="15.75" customHeight="1" x14ac:dyDescent="0.25">
      <c r="A348" s="6">
        <v>47010</v>
      </c>
      <c r="B348" s="6" t="s">
        <v>1471</v>
      </c>
    </row>
    <row r="349" spans="1:2" ht="15.75" customHeight="1" x14ac:dyDescent="0.25">
      <c r="A349" s="6">
        <v>47011</v>
      </c>
      <c r="B349" s="6" t="s">
        <v>1469</v>
      </c>
    </row>
    <row r="350" spans="1:2" ht="15.75" customHeight="1" x14ac:dyDescent="0.25">
      <c r="A350" s="6">
        <v>47012</v>
      </c>
      <c r="B350" s="6" t="s">
        <v>1473</v>
      </c>
    </row>
    <row r="351" spans="1:2" ht="15.75" customHeight="1" x14ac:dyDescent="0.25">
      <c r="A351" s="6">
        <v>47013</v>
      </c>
      <c r="B351" s="6" t="s">
        <v>860</v>
      </c>
    </row>
    <row r="352" spans="1:2" ht="15.75" customHeight="1" x14ac:dyDescent="0.25">
      <c r="A352" s="6">
        <v>47014</v>
      </c>
      <c r="B352" s="6" t="s">
        <v>858</v>
      </c>
    </row>
    <row r="353" spans="1:2" ht="15.75" customHeight="1" x14ac:dyDescent="0.25">
      <c r="A353" s="6">
        <v>47015</v>
      </c>
      <c r="B353" s="6" t="s">
        <v>862</v>
      </c>
    </row>
    <row r="354" spans="1:2" ht="15.75" customHeight="1" x14ac:dyDescent="0.25">
      <c r="A354" s="6">
        <v>47016</v>
      </c>
      <c r="B354" s="6" t="s">
        <v>859</v>
      </c>
    </row>
    <row r="355" spans="1:2" ht="15.75" customHeight="1" x14ac:dyDescent="0.25">
      <c r="A355" s="6">
        <v>47017</v>
      </c>
      <c r="B355" s="6" t="s">
        <v>857</v>
      </c>
    </row>
    <row r="356" spans="1:2" ht="15.75" customHeight="1" x14ac:dyDescent="0.25">
      <c r="A356" s="6">
        <v>47018</v>
      </c>
      <c r="B356" s="6" t="s">
        <v>861</v>
      </c>
    </row>
    <row r="357" spans="1:2" ht="15.75" customHeight="1" x14ac:dyDescent="0.25">
      <c r="A357" s="6">
        <v>47019</v>
      </c>
      <c r="B357" s="6" t="s">
        <v>1696</v>
      </c>
    </row>
    <row r="358" spans="1:2" ht="15.75" customHeight="1" x14ac:dyDescent="0.25">
      <c r="A358" s="6">
        <v>47020</v>
      </c>
      <c r="B358" s="6" t="s">
        <v>1697</v>
      </c>
    </row>
    <row r="359" spans="1:2" ht="15.75" customHeight="1" x14ac:dyDescent="0.25">
      <c r="A359" s="6">
        <v>47021</v>
      </c>
      <c r="B359" s="6" t="s">
        <v>1698</v>
      </c>
    </row>
    <row r="360" spans="1:2" ht="15.75" customHeight="1" x14ac:dyDescent="0.25">
      <c r="A360" s="6">
        <v>47022</v>
      </c>
      <c r="B360" s="6" t="s">
        <v>1699</v>
      </c>
    </row>
    <row r="361" spans="1:2" ht="15.75" customHeight="1" x14ac:dyDescent="0.25">
      <c r="A361" s="6">
        <v>47023</v>
      </c>
      <c r="B361" s="6" t="s">
        <v>1700</v>
      </c>
    </row>
    <row r="362" spans="1:2" ht="15.75" customHeight="1" x14ac:dyDescent="0.25">
      <c r="A362" s="6">
        <v>47024</v>
      </c>
      <c r="B362" s="6" t="s">
        <v>1701</v>
      </c>
    </row>
    <row r="363" spans="1:2" ht="15.75" customHeight="1" x14ac:dyDescent="0.25">
      <c r="A363" s="6">
        <v>47025</v>
      </c>
      <c r="B363" s="6" t="s">
        <v>1869</v>
      </c>
    </row>
    <row r="364" spans="1:2" ht="15.75" customHeight="1" x14ac:dyDescent="0.25">
      <c r="A364" s="6">
        <v>57001</v>
      </c>
      <c r="B364" s="6" t="s">
        <v>1672</v>
      </c>
    </row>
    <row r="365" spans="1:2" ht="15.75" customHeight="1" x14ac:dyDescent="0.25">
      <c r="A365" s="6">
        <v>57002</v>
      </c>
      <c r="B365" s="6" t="s">
        <v>1673</v>
      </c>
    </row>
    <row r="366" spans="1:2" ht="15.75" customHeight="1" x14ac:dyDescent="0.25">
      <c r="A366" s="6">
        <v>58001</v>
      </c>
      <c r="B366" s="6" t="s">
        <v>1706</v>
      </c>
    </row>
    <row r="367" spans="1:2" ht="15.75" customHeight="1" x14ac:dyDescent="0.25">
      <c r="A367" s="6">
        <v>58002</v>
      </c>
      <c r="B367" s="6" t="s">
        <v>1707</v>
      </c>
    </row>
    <row r="368" spans="1:2" ht="15.75" customHeight="1" x14ac:dyDescent="0.25">
      <c r="A368" s="6">
        <v>58003</v>
      </c>
      <c r="B368" s="6" t="s">
        <v>1708</v>
      </c>
    </row>
    <row r="369" spans="1:2" ht="15.75" customHeight="1" x14ac:dyDescent="0.25">
      <c r="A369" s="6">
        <v>58004</v>
      </c>
      <c r="B369" s="6" t="s">
        <v>1709</v>
      </c>
    </row>
    <row r="370" spans="1:2" ht="15.75" customHeight="1" x14ac:dyDescent="0.25">
      <c r="A370" s="6">
        <v>58005</v>
      </c>
      <c r="B370" s="6" t="s">
        <v>1710</v>
      </c>
    </row>
    <row r="371" spans="1:2" ht="15.75" customHeight="1" x14ac:dyDescent="0.25">
      <c r="A371" s="6">
        <v>58006</v>
      </c>
      <c r="B371" s="6" t="s">
        <v>1711</v>
      </c>
    </row>
    <row r="372" spans="1:2" ht="15.75" customHeight="1" x14ac:dyDescent="0.25">
      <c r="A372" s="6">
        <v>58007</v>
      </c>
      <c r="B372" s="6" t="s">
        <v>1712</v>
      </c>
    </row>
    <row r="373" spans="1:2" ht="15.75" customHeight="1" x14ac:dyDescent="0.25">
      <c r="A373" s="6">
        <v>58008</v>
      </c>
      <c r="B373" s="6" t="s">
        <v>1713</v>
      </c>
    </row>
    <row r="374" spans="1:2" ht="15.75" customHeight="1" x14ac:dyDescent="0.25">
      <c r="A374" s="6">
        <v>58009</v>
      </c>
      <c r="B374" s="6" t="s">
        <v>1714</v>
      </c>
    </row>
    <row r="375" spans="1:2" ht="15.75" customHeight="1" x14ac:dyDescent="0.25">
      <c r="A375" s="6">
        <v>58010</v>
      </c>
      <c r="B375" s="6" t="s">
        <v>1715</v>
      </c>
    </row>
    <row r="376" spans="1:2" ht="15.75" customHeight="1" x14ac:dyDescent="0.25">
      <c r="A376" s="6">
        <v>58011</v>
      </c>
      <c r="B376" s="6" t="s">
        <v>1716</v>
      </c>
    </row>
    <row r="377" spans="1:2" ht="15.75" customHeight="1" x14ac:dyDescent="0.25">
      <c r="A377" s="6">
        <v>58012</v>
      </c>
      <c r="B377" s="6" t="s">
        <v>1717</v>
      </c>
    </row>
    <row r="378" spans="1:2" ht="15.75" customHeight="1" x14ac:dyDescent="0.25">
      <c r="A378" s="6">
        <v>58013</v>
      </c>
      <c r="B378" s="6" t="s">
        <v>1718</v>
      </c>
    </row>
    <row r="379" spans="1:2" ht="15.75" customHeight="1" x14ac:dyDescent="0.25">
      <c r="A379" s="6">
        <v>58014</v>
      </c>
      <c r="B379" s="6" t="s">
        <v>1719</v>
      </c>
    </row>
    <row r="380" spans="1:2" ht="15.75" customHeight="1" x14ac:dyDescent="0.25">
      <c r="A380" s="6">
        <v>58015</v>
      </c>
      <c r="B380" s="6" t="s">
        <v>1720</v>
      </c>
    </row>
    <row r="381" spans="1:2" ht="15.75" customHeight="1" x14ac:dyDescent="0.25">
      <c r="A381" s="6">
        <v>58016</v>
      </c>
      <c r="B381" s="6" t="s">
        <v>1721</v>
      </c>
    </row>
    <row r="382" spans="1:2" ht="15.75" customHeight="1" x14ac:dyDescent="0.25">
      <c r="A382" s="6">
        <v>58017</v>
      </c>
      <c r="B382" s="6" t="s">
        <v>1722</v>
      </c>
    </row>
    <row r="383" spans="1:2" ht="15.75" customHeight="1" x14ac:dyDescent="0.25">
      <c r="A383" s="6">
        <v>58018</v>
      </c>
      <c r="B383" s="6" t="s">
        <v>1723</v>
      </c>
    </row>
    <row r="384" spans="1:2" ht="15.75" customHeight="1" x14ac:dyDescent="0.25">
      <c r="A384" s="6">
        <v>58019</v>
      </c>
      <c r="B384" s="6" t="s">
        <v>1724</v>
      </c>
    </row>
    <row r="385" spans="1:2" ht="15.75" customHeight="1" x14ac:dyDescent="0.25">
      <c r="A385" s="6">
        <v>58020</v>
      </c>
      <c r="B385" s="6" t="s">
        <v>1725</v>
      </c>
    </row>
    <row r="386" spans="1:2" ht="15.75" customHeight="1" x14ac:dyDescent="0.25">
      <c r="A386" s="6">
        <v>58021</v>
      </c>
      <c r="B386" s="6" t="s">
        <v>1726</v>
      </c>
    </row>
    <row r="387" spans="1:2" ht="15.75" customHeight="1" x14ac:dyDescent="0.25">
      <c r="A387" s="6">
        <v>58022</v>
      </c>
      <c r="B387" s="6" t="s">
        <v>1727</v>
      </c>
    </row>
    <row r="388" spans="1:2" ht="15.75" customHeight="1" x14ac:dyDescent="0.25">
      <c r="A388" s="6">
        <v>58023</v>
      </c>
      <c r="B388" s="6" t="s">
        <v>1728</v>
      </c>
    </row>
    <row r="389" spans="1:2" ht="15.75" customHeight="1" x14ac:dyDescent="0.25">
      <c r="A389" s="6">
        <v>58024</v>
      </c>
      <c r="B389" s="6" t="s">
        <v>1729</v>
      </c>
    </row>
    <row r="390" spans="1:2" ht="15.75" customHeight="1" x14ac:dyDescent="0.25">
      <c r="A390" s="6">
        <v>58025</v>
      </c>
      <c r="B390" s="6" t="s">
        <v>1730</v>
      </c>
    </row>
    <row r="391" spans="1:2" ht="15.75" customHeight="1" x14ac:dyDescent="0.25">
      <c r="A391" s="6">
        <v>58026</v>
      </c>
      <c r="B391" s="6" t="s">
        <v>1731</v>
      </c>
    </row>
    <row r="392" spans="1:2" ht="15.75" customHeight="1" x14ac:dyDescent="0.25">
      <c r="A392" s="6">
        <v>58027</v>
      </c>
      <c r="B392" s="6" t="s">
        <v>1732</v>
      </c>
    </row>
    <row r="393" spans="1:2" ht="15.75" customHeight="1" x14ac:dyDescent="0.25">
      <c r="A393" s="6">
        <v>58028</v>
      </c>
      <c r="B393" s="6" t="s">
        <v>1733</v>
      </c>
    </row>
    <row r="394" spans="1:2" ht="15.75" customHeight="1" x14ac:dyDescent="0.25">
      <c r="A394" s="6">
        <v>58029</v>
      </c>
      <c r="B394" s="6" t="s">
        <v>1734</v>
      </c>
    </row>
    <row r="395" spans="1:2" ht="15.75" customHeight="1" x14ac:dyDescent="0.25">
      <c r="A395" s="6">
        <v>58030</v>
      </c>
      <c r="B395" s="6" t="s">
        <v>1735</v>
      </c>
    </row>
    <row r="396" spans="1:2" ht="15.75" customHeight="1" x14ac:dyDescent="0.25">
      <c r="A396" s="6">
        <v>58031</v>
      </c>
      <c r="B396" s="6" t="s">
        <v>1736</v>
      </c>
    </row>
    <row r="397" spans="1:2" ht="15.75" customHeight="1" x14ac:dyDescent="0.25">
      <c r="A397" s="6">
        <v>58032</v>
      </c>
      <c r="B397" s="6" t="s">
        <v>1737</v>
      </c>
    </row>
    <row r="398" spans="1:2" ht="15.75" customHeight="1" x14ac:dyDescent="0.25">
      <c r="A398" s="6">
        <v>460001</v>
      </c>
      <c r="B398" s="6" t="s">
        <v>1740</v>
      </c>
    </row>
    <row r="399" spans="1:2" ht="15.75" customHeight="1" x14ac:dyDescent="0.25">
      <c r="A399" s="6">
        <v>460002</v>
      </c>
      <c r="B399" s="6" t="s">
        <v>1741</v>
      </c>
    </row>
    <row r="400" spans="1:2" ht="15.75" customHeight="1" x14ac:dyDescent="0.25">
      <c r="A400" s="6">
        <v>460003</v>
      </c>
      <c r="B400" s="6" t="s">
        <v>1742</v>
      </c>
    </row>
    <row r="401" spans="1:2" ht="15.75" customHeight="1" x14ac:dyDescent="0.25">
      <c r="A401" s="6">
        <v>460004</v>
      </c>
      <c r="B401" s="6" t="s">
        <v>1743</v>
      </c>
    </row>
    <row r="402" spans="1:2" ht="15.75" customHeight="1" x14ac:dyDescent="0.25">
      <c r="A402" s="6">
        <v>460005</v>
      </c>
      <c r="B402" s="6" t="s">
        <v>1744</v>
      </c>
    </row>
    <row r="403" spans="1:2" ht="15.75" customHeight="1" x14ac:dyDescent="0.25">
      <c r="A403" s="6">
        <v>460006</v>
      </c>
      <c r="B403" s="6" t="s">
        <v>1745</v>
      </c>
    </row>
    <row r="404" spans="1:2" ht="15.75" customHeight="1" x14ac:dyDescent="0.25">
      <c r="A404" s="6">
        <v>460007</v>
      </c>
      <c r="B404" s="6" t="s">
        <v>1746</v>
      </c>
    </row>
    <row r="405" spans="1:2" ht="15.75" customHeight="1" x14ac:dyDescent="0.25">
      <c r="A405" s="6">
        <v>460008</v>
      </c>
      <c r="B405" s="6" t="s">
        <v>1747</v>
      </c>
    </row>
    <row r="406" spans="1:2" ht="15.75" customHeight="1" x14ac:dyDescent="0.25">
      <c r="A406" s="6">
        <v>460009</v>
      </c>
      <c r="B406" s="6" t="s">
        <v>1748</v>
      </c>
    </row>
    <row r="407" spans="1:2" ht="15.75" customHeight="1" x14ac:dyDescent="0.25">
      <c r="A407" s="6">
        <v>460010</v>
      </c>
      <c r="B407" s="6" t="s">
        <v>1749</v>
      </c>
    </row>
    <row r="408" spans="1:2" ht="15.75" customHeight="1" x14ac:dyDescent="0.25">
      <c r="A408" s="6">
        <v>460011</v>
      </c>
      <c r="B408" s="6" t="s">
        <v>1750</v>
      </c>
    </row>
    <row r="409" spans="1:2" ht="15.75" customHeight="1" x14ac:dyDescent="0.25">
      <c r="A409" s="6">
        <v>460012</v>
      </c>
      <c r="B409" s="6" t="s">
        <v>1751</v>
      </c>
    </row>
    <row r="410" spans="1:2" ht="15.75" customHeight="1" x14ac:dyDescent="0.25">
      <c r="A410" s="6">
        <v>460013</v>
      </c>
      <c r="B410" s="6" t="s">
        <v>1752</v>
      </c>
    </row>
    <row r="411" spans="1:2" ht="15.75" customHeight="1" x14ac:dyDescent="0.25">
      <c r="A411" s="6">
        <v>460014</v>
      </c>
      <c r="B411" s="6" t="s">
        <v>1753</v>
      </c>
    </row>
    <row r="412" spans="1:2" ht="15.75" customHeight="1" x14ac:dyDescent="0.25">
      <c r="A412" s="6">
        <v>460015</v>
      </c>
      <c r="B412" s="6" t="s">
        <v>1754</v>
      </c>
    </row>
    <row r="413" spans="1:2" ht="15.75" customHeight="1" x14ac:dyDescent="0.25">
      <c r="A413" s="6">
        <v>460016</v>
      </c>
      <c r="B413" s="6" t="s">
        <v>1755</v>
      </c>
    </row>
    <row r="414" spans="1:2" ht="15.75" customHeight="1" x14ac:dyDescent="0.25">
      <c r="A414" s="6">
        <v>460017</v>
      </c>
      <c r="B414" s="6" t="s">
        <v>1756</v>
      </c>
    </row>
    <row r="415" spans="1:2" ht="15.75" customHeight="1" x14ac:dyDescent="0.25">
      <c r="A415" s="6">
        <v>460018</v>
      </c>
      <c r="B415" s="6" t="s">
        <v>1757</v>
      </c>
    </row>
    <row r="416" spans="1:2" ht="15.75" customHeight="1" x14ac:dyDescent="0.25">
      <c r="A416" s="6">
        <v>460019</v>
      </c>
      <c r="B416" s="6" t="s">
        <v>1758</v>
      </c>
    </row>
    <row r="417" spans="1:2" ht="15.75" customHeight="1" x14ac:dyDescent="0.25">
      <c r="A417" s="6">
        <v>460020</v>
      </c>
      <c r="B417" s="6" t="s">
        <v>1759</v>
      </c>
    </row>
    <row r="418" spans="1:2" ht="15.75" customHeight="1" x14ac:dyDescent="0.25">
      <c r="A418" s="6">
        <v>460021</v>
      </c>
      <c r="B418" s="6" t="s">
        <v>1760</v>
      </c>
    </row>
    <row r="419" spans="1:2" ht="15.75" customHeight="1" x14ac:dyDescent="0.25">
      <c r="A419" s="6">
        <v>460022</v>
      </c>
      <c r="B419" s="6" t="s">
        <v>1761</v>
      </c>
    </row>
    <row r="420" spans="1:2" ht="15.75" customHeight="1" x14ac:dyDescent="0.25">
      <c r="A420" s="6">
        <v>460023</v>
      </c>
      <c r="B420" s="6" t="s">
        <v>1762</v>
      </c>
    </row>
    <row r="421" spans="1:2" ht="15.75" customHeight="1" x14ac:dyDescent="0.25">
      <c r="A421" s="6">
        <v>460024</v>
      </c>
      <c r="B421" s="6" t="s">
        <v>1763</v>
      </c>
    </row>
    <row r="422" spans="1:2" ht="15.75" customHeight="1" x14ac:dyDescent="0.25">
      <c r="A422" s="6">
        <v>460025</v>
      </c>
      <c r="B422" s="6" t="s">
        <v>1764</v>
      </c>
    </row>
    <row r="423" spans="1:2" ht="15.75" customHeight="1" x14ac:dyDescent="0.25">
      <c r="A423" s="6">
        <v>460026</v>
      </c>
      <c r="B423" s="6" t="s">
        <v>1765</v>
      </c>
    </row>
    <row r="424" spans="1:2" ht="15.75" customHeight="1" x14ac:dyDescent="0.25">
      <c r="A424" s="6">
        <v>460027</v>
      </c>
      <c r="B424" s="6" t="s">
        <v>1766</v>
      </c>
    </row>
    <row r="425" spans="1:2" ht="15.75" customHeight="1" x14ac:dyDescent="0.25">
      <c r="A425" s="6">
        <v>460028</v>
      </c>
      <c r="B425" s="6" t="s">
        <v>1767</v>
      </c>
    </row>
    <row r="426" spans="1:2" ht="15.75" customHeight="1" x14ac:dyDescent="0.25">
      <c r="A426" s="6">
        <v>460029</v>
      </c>
      <c r="B426" s="6" t="s">
        <v>1768</v>
      </c>
    </row>
    <row r="427" spans="1:2" ht="15.75" customHeight="1" x14ac:dyDescent="0.25">
      <c r="A427" s="6">
        <v>460030</v>
      </c>
      <c r="B427" s="6" t="s">
        <v>1769</v>
      </c>
    </row>
    <row r="428" spans="1:2" ht="15.75" customHeight="1" x14ac:dyDescent="0.25">
      <c r="A428" s="6">
        <v>460031</v>
      </c>
      <c r="B428" s="6" t="s">
        <v>1770</v>
      </c>
    </row>
    <row r="429" spans="1:2" ht="15.75" customHeight="1" x14ac:dyDescent="0.25">
      <c r="A429" s="6">
        <v>460032</v>
      </c>
      <c r="B429" s="6" t="s">
        <v>1771</v>
      </c>
    </row>
    <row r="430" spans="1:2" ht="15.75" customHeight="1" x14ac:dyDescent="0.25">
      <c r="A430" s="6">
        <v>460033</v>
      </c>
      <c r="B430" s="6" t="s">
        <v>1772</v>
      </c>
    </row>
    <row r="431" spans="1:2" ht="15.75" customHeight="1" x14ac:dyDescent="0.25">
      <c r="A431" s="6">
        <v>460034</v>
      </c>
      <c r="B431" s="6" t="s">
        <v>1773</v>
      </c>
    </row>
    <row r="432" spans="1:2" ht="15.75" customHeight="1" x14ac:dyDescent="0.25">
      <c r="A432" s="6">
        <v>460035</v>
      </c>
      <c r="B432" s="6" t="s">
        <v>1774</v>
      </c>
    </row>
    <row r="433" spans="1:2" ht="15.75" customHeight="1" x14ac:dyDescent="0.25">
      <c r="A433" s="6">
        <v>460036</v>
      </c>
      <c r="B433" s="6" t="s">
        <v>1775</v>
      </c>
    </row>
    <row r="434" spans="1:2" ht="15.75" customHeight="1" x14ac:dyDescent="0.25">
      <c r="A434" s="6">
        <v>460037</v>
      </c>
      <c r="B434" s="6" t="s">
        <v>1776</v>
      </c>
    </row>
    <row r="435" spans="1:2" ht="15.75" customHeight="1" x14ac:dyDescent="0.25">
      <c r="A435" s="6">
        <v>460038</v>
      </c>
      <c r="B435" s="6" t="s">
        <v>1777</v>
      </c>
    </row>
    <row r="436" spans="1:2" ht="15.75" customHeight="1" x14ac:dyDescent="0.25">
      <c r="A436" s="6">
        <v>460039</v>
      </c>
      <c r="B436" s="6" t="s">
        <v>1778</v>
      </c>
    </row>
    <row r="437" spans="1:2" ht="15.75" customHeight="1" x14ac:dyDescent="0.25">
      <c r="A437" s="6">
        <v>460040</v>
      </c>
      <c r="B437" s="6" t="s">
        <v>1779</v>
      </c>
    </row>
    <row r="438" spans="1:2" ht="15.75" customHeight="1" x14ac:dyDescent="0.25">
      <c r="A438" s="6">
        <v>460041</v>
      </c>
      <c r="B438" s="6" t="s">
        <v>1780</v>
      </c>
    </row>
    <row r="439" spans="1:2" ht="15.75" customHeight="1" x14ac:dyDescent="0.25">
      <c r="A439" s="6">
        <v>460042</v>
      </c>
      <c r="B439" s="6" t="s">
        <v>1781</v>
      </c>
    </row>
    <row r="440" spans="1:2" ht="15.75" customHeight="1" x14ac:dyDescent="0.25">
      <c r="A440" s="6">
        <v>460043</v>
      </c>
      <c r="B440" s="6" t="s">
        <v>1782</v>
      </c>
    </row>
    <row r="441" spans="1:2" ht="15.75" customHeight="1" x14ac:dyDescent="0.25">
      <c r="A441" s="6">
        <v>460044</v>
      </c>
      <c r="B441" s="6" t="s">
        <v>1783</v>
      </c>
    </row>
    <row r="442" spans="1:2" ht="15.75" customHeight="1" x14ac:dyDescent="0.25">
      <c r="A442" s="6">
        <v>460045</v>
      </c>
      <c r="B442" s="6" t="s">
        <v>1784</v>
      </c>
    </row>
    <row r="443" spans="1:2" ht="15.75" customHeight="1" x14ac:dyDescent="0.25">
      <c r="A443" s="6">
        <v>460046</v>
      </c>
      <c r="B443" s="6" t="s">
        <v>1785</v>
      </c>
    </row>
    <row r="444" spans="1:2" ht="15.75" customHeight="1" x14ac:dyDescent="0.25">
      <c r="A444" s="6">
        <v>460047</v>
      </c>
      <c r="B444" s="6" t="s">
        <v>1786</v>
      </c>
    </row>
    <row r="445" spans="1:2" ht="15.75" customHeight="1" x14ac:dyDescent="0.25">
      <c r="A445" s="6">
        <v>460048</v>
      </c>
      <c r="B445" s="6" t="s">
        <v>1787</v>
      </c>
    </row>
    <row r="446" spans="1:2" ht="15.75" customHeight="1" x14ac:dyDescent="0.25">
      <c r="A446" s="6">
        <v>460049</v>
      </c>
      <c r="B446" s="6" t="s">
        <v>1788</v>
      </c>
    </row>
    <row r="447" spans="1:2" ht="15.75" customHeight="1" x14ac:dyDescent="0.25">
      <c r="A447" s="6">
        <v>460050</v>
      </c>
      <c r="B447" s="6" t="s">
        <v>1789</v>
      </c>
    </row>
    <row r="448" spans="1:2" ht="15.75" customHeight="1" x14ac:dyDescent="0.25">
      <c r="A448" s="6">
        <v>460051</v>
      </c>
      <c r="B448" s="6" t="s">
        <v>1790</v>
      </c>
    </row>
    <row r="449" spans="1:2" ht="15.75" customHeight="1" x14ac:dyDescent="0.25">
      <c r="A449" s="6">
        <v>460052</v>
      </c>
      <c r="B449" s="6" t="s">
        <v>1791</v>
      </c>
    </row>
    <row r="450" spans="1:2" ht="15.75" customHeight="1" x14ac:dyDescent="0.25">
      <c r="A450" s="6">
        <v>460053</v>
      </c>
      <c r="B450" s="6" t="s">
        <v>1792</v>
      </c>
    </row>
    <row r="451" spans="1:2" ht="15.75" customHeight="1" x14ac:dyDescent="0.25">
      <c r="A451" s="6">
        <v>460054</v>
      </c>
      <c r="B451" s="6" t="s">
        <v>1793</v>
      </c>
    </row>
    <row r="452" spans="1:2" ht="15.75" customHeight="1" x14ac:dyDescent="0.25">
      <c r="A452" s="6">
        <v>460055</v>
      </c>
      <c r="B452" s="6" t="s">
        <v>1794</v>
      </c>
    </row>
    <row r="453" spans="1:2" ht="15.75" customHeight="1" x14ac:dyDescent="0.25">
      <c r="A453" s="6">
        <v>460056</v>
      </c>
      <c r="B453" s="6" t="s">
        <v>1795</v>
      </c>
    </row>
    <row r="454" spans="1:2" ht="15.75" customHeight="1" x14ac:dyDescent="0.25">
      <c r="A454" s="6">
        <v>460057</v>
      </c>
      <c r="B454" s="6" t="s">
        <v>1796</v>
      </c>
    </row>
    <row r="455" spans="1:2" ht="15.75" customHeight="1" x14ac:dyDescent="0.25">
      <c r="A455" s="6">
        <v>460058</v>
      </c>
      <c r="B455" s="6" t="s">
        <v>1797</v>
      </c>
    </row>
    <row r="456" spans="1:2" ht="15.75" customHeight="1" x14ac:dyDescent="0.25">
      <c r="A456" s="6">
        <v>460059</v>
      </c>
      <c r="B456" s="6" t="s">
        <v>1798</v>
      </c>
    </row>
    <row r="457" spans="1:2" ht="15.75" customHeight="1" x14ac:dyDescent="0.25">
      <c r="A457" s="6">
        <v>460060</v>
      </c>
      <c r="B457" s="6" t="s">
        <v>1799</v>
      </c>
    </row>
    <row r="458" spans="1:2" ht="15.75" customHeight="1" x14ac:dyDescent="0.25">
      <c r="A458" s="6">
        <v>460061</v>
      </c>
      <c r="B458" s="6" t="s">
        <v>1800</v>
      </c>
    </row>
    <row r="459" spans="1:2" ht="15.75" customHeight="1" x14ac:dyDescent="0.25">
      <c r="A459" s="6">
        <v>460062</v>
      </c>
      <c r="B459" s="6" t="s">
        <v>1801</v>
      </c>
    </row>
    <row r="460" spans="1:2" ht="15.75" customHeight="1" x14ac:dyDescent="0.25">
      <c r="A460" s="6">
        <v>460063</v>
      </c>
      <c r="B460" s="6" t="s">
        <v>1802</v>
      </c>
    </row>
    <row r="461" spans="1:2" ht="15.75" customHeight="1" x14ac:dyDescent="0.25">
      <c r="A461" s="6">
        <v>460064</v>
      </c>
      <c r="B461" s="6" t="s">
        <v>1803</v>
      </c>
    </row>
    <row r="462" spans="1:2" ht="15.75" customHeight="1" x14ac:dyDescent="0.25">
      <c r="A462" s="6">
        <v>460065</v>
      </c>
      <c r="B462" s="6" t="s">
        <v>1804</v>
      </c>
    </row>
    <row r="463" spans="1:2" ht="15.75" customHeight="1" x14ac:dyDescent="0.25">
      <c r="A463" s="6">
        <v>460066</v>
      </c>
      <c r="B463" s="6" t="s">
        <v>1870</v>
      </c>
    </row>
    <row r="464" spans="1:2" ht="15.75" customHeight="1" x14ac:dyDescent="0.25">
      <c r="A464" s="6">
        <v>460067</v>
      </c>
      <c r="B464" s="6" t="s">
        <v>1871</v>
      </c>
    </row>
    <row r="465" spans="1:2" ht="15.75" customHeight="1" x14ac:dyDescent="0.25">
      <c r="A465" s="6">
        <v>460068</v>
      </c>
      <c r="B465" s="6" t="s">
        <v>1872</v>
      </c>
    </row>
    <row r="466" spans="1:2" ht="15.75" customHeight="1" x14ac:dyDescent="0.25">
      <c r="A466" s="6">
        <v>460069</v>
      </c>
      <c r="B466" s="6" t="s">
        <v>1873</v>
      </c>
    </row>
    <row r="467" spans="1:2" ht="15.75" customHeight="1" x14ac:dyDescent="0.25">
      <c r="A467" s="6">
        <v>460070</v>
      </c>
      <c r="B467" s="6" t="s">
        <v>1874</v>
      </c>
    </row>
    <row r="468" spans="1:2" ht="15.75" customHeight="1" x14ac:dyDescent="0.25">
      <c r="A468" s="6">
        <v>460071</v>
      </c>
      <c r="B468" s="6" t="s">
        <v>1875</v>
      </c>
    </row>
    <row r="469" spans="1:2" ht="15.75" customHeight="1" x14ac:dyDescent="0.25">
      <c r="A469" s="6">
        <v>460072</v>
      </c>
      <c r="B469" s="6" t="s">
        <v>1876</v>
      </c>
    </row>
    <row r="470" spans="1:2" ht="15.75" customHeight="1" x14ac:dyDescent="0.25">
      <c r="A470" s="6">
        <v>460073</v>
      </c>
      <c r="B470" s="6" t="s">
        <v>1877</v>
      </c>
    </row>
    <row r="471" spans="1:2" ht="15.75" customHeight="1" x14ac:dyDescent="0.25">
      <c r="A471" s="6">
        <v>460074</v>
      </c>
      <c r="B471" s="6" t="s">
        <v>1878</v>
      </c>
    </row>
    <row r="472" spans="1:2" ht="15.75" customHeight="1" x14ac:dyDescent="0.25">
      <c r="A472" s="6">
        <v>460075</v>
      </c>
      <c r="B472" s="6" t="s">
        <v>1879</v>
      </c>
    </row>
    <row r="473" spans="1:2" ht="15.75" customHeight="1" x14ac:dyDescent="0.25">
      <c r="A473" s="6">
        <v>460076</v>
      </c>
      <c r="B473" s="6" t="s">
        <v>1880</v>
      </c>
    </row>
    <row r="474" spans="1:2" ht="15.75" customHeight="1" x14ac:dyDescent="0.25">
      <c r="A474" s="6">
        <v>460077</v>
      </c>
      <c r="B474" s="6" t="s">
        <v>1881</v>
      </c>
    </row>
    <row r="475" spans="1:2" ht="15.75" customHeight="1" x14ac:dyDescent="0.25">
      <c r="A475" s="6">
        <v>460078</v>
      </c>
      <c r="B475" s="6" t="s">
        <v>1882</v>
      </c>
    </row>
    <row r="476" spans="1:2" ht="15.75" customHeight="1" x14ac:dyDescent="0.25">
      <c r="A476" s="6">
        <v>460079</v>
      </c>
      <c r="B476" s="6" t="s">
        <v>1883</v>
      </c>
    </row>
    <row r="477" spans="1:2" ht="15.75" customHeight="1" x14ac:dyDescent="0.25">
      <c r="A477" s="6">
        <v>460080</v>
      </c>
      <c r="B477" s="6" t="s">
        <v>1884</v>
      </c>
    </row>
    <row r="478" spans="1:2" ht="15.75" customHeight="1" x14ac:dyDescent="0.25">
      <c r="A478" s="6">
        <v>460081</v>
      </c>
      <c r="B478" s="6" t="s">
        <v>1885</v>
      </c>
    </row>
    <row r="479" spans="1:2" ht="15.75" customHeight="1" x14ac:dyDescent="0.25">
      <c r="A479" s="6">
        <v>460082</v>
      </c>
      <c r="B479" s="6" t="s">
        <v>1886</v>
      </c>
    </row>
    <row r="480" spans="1:2" ht="15.75" customHeight="1" x14ac:dyDescent="0.25">
      <c r="A480" s="6">
        <v>460083</v>
      </c>
      <c r="B480" s="6" t="s">
        <v>1887</v>
      </c>
    </row>
    <row r="481" spans="1:2" ht="15.75" customHeight="1" x14ac:dyDescent="0.25">
      <c r="A481" s="6">
        <v>460084</v>
      </c>
      <c r="B481" s="6" t="s">
        <v>1888</v>
      </c>
    </row>
    <row r="482" spans="1:2" ht="15.75" customHeight="1" x14ac:dyDescent="0.25">
      <c r="A482" s="6">
        <v>460085</v>
      </c>
      <c r="B482" s="6" t="s">
        <v>1889</v>
      </c>
    </row>
    <row r="483" spans="1:2" ht="15.75" customHeight="1" x14ac:dyDescent="0.25">
      <c r="A483" s="6">
        <v>460086</v>
      </c>
      <c r="B483" s="6" t="s">
        <v>1890</v>
      </c>
    </row>
    <row r="484" spans="1:2" ht="15.75" customHeight="1" x14ac:dyDescent="0.25">
      <c r="A484" s="6">
        <v>460087</v>
      </c>
      <c r="B484" s="6" t="s">
        <v>1891</v>
      </c>
    </row>
    <row r="485" spans="1:2" ht="15.75" customHeight="1" x14ac:dyDescent="0.25">
      <c r="A485" s="6">
        <v>460088</v>
      </c>
      <c r="B485" s="6" t="s">
        <v>1892</v>
      </c>
    </row>
    <row r="486" spans="1:2" ht="15.75" customHeight="1" x14ac:dyDescent="0.25">
      <c r="A486" s="6">
        <v>460089</v>
      </c>
      <c r="B486" s="6" t="s">
        <v>1893</v>
      </c>
    </row>
    <row r="487" spans="1:2" ht="15.75" customHeight="1" x14ac:dyDescent="0.25">
      <c r="A487" s="6">
        <v>460090</v>
      </c>
      <c r="B487" s="6" t="s">
        <v>1894</v>
      </c>
    </row>
    <row r="488" spans="1:2" ht="15.75" customHeight="1" x14ac:dyDescent="0.25">
      <c r="A488" s="6">
        <v>61001</v>
      </c>
      <c r="B488" s="6" t="s">
        <v>544</v>
      </c>
    </row>
    <row r="489" spans="1:2" ht="15.75" customHeight="1" x14ac:dyDescent="0.25">
      <c r="A489" s="6">
        <v>61002</v>
      </c>
      <c r="B489" s="6" t="s">
        <v>1805</v>
      </c>
    </row>
    <row r="490" spans="1:2" ht="15.75" customHeight="1" x14ac:dyDescent="0.25">
      <c r="A490" s="6">
        <v>61003</v>
      </c>
      <c r="B490" s="6" t="s">
        <v>1806</v>
      </c>
    </row>
    <row r="491" spans="1:2" ht="15.75" customHeight="1" x14ac:dyDescent="0.25">
      <c r="A491" s="6">
        <v>61004</v>
      </c>
      <c r="B491" s="6" t="s">
        <v>1807</v>
      </c>
    </row>
    <row r="492" spans="1:2" ht="15.75" customHeight="1" x14ac:dyDescent="0.25">
      <c r="A492" s="6">
        <v>61005</v>
      </c>
      <c r="B492" s="6" t="s">
        <v>1808</v>
      </c>
    </row>
    <row r="493" spans="1:2" ht="15.75" customHeight="1" x14ac:dyDescent="0.25">
      <c r="A493" s="6">
        <v>61006</v>
      </c>
      <c r="B493" s="6" t="s">
        <v>1809</v>
      </c>
    </row>
    <row r="494" spans="1:2" ht="15.75" customHeight="1" x14ac:dyDescent="0.25">
      <c r="A494" s="6">
        <v>61007</v>
      </c>
      <c r="B494" s="6" t="s">
        <v>1810</v>
      </c>
    </row>
    <row r="495" spans="1:2" ht="15.75" customHeight="1" x14ac:dyDescent="0.25">
      <c r="A495" s="6">
        <v>61008</v>
      </c>
      <c r="B495" s="6" t="s">
        <v>1811</v>
      </c>
    </row>
    <row r="496" spans="1:2" ht="15.75" customHeight="1" x14ac:dyDescent="0.25">
      <c r="A496" s="6">
        <v>61009</v>
      </c>
      <c r="B496" s="6" t="s">
        <v>1812</v>
      </c>
    </row>
    <row r="497" spans="1:2" ht="15.75" customHeight="1" x14ac:dyDescent="0.25">
      <c r="A497" s="6">
        <v>61010</v>
      </c>
      <c r="B497" s="6" t="s">
        <v>1813</v>
      </c>
    </row>
    <row r="498" spans="1:2" ht="15.75" customHeight="1" x14ac:dyDescent="0.25">
      <c r="A498" s="6">
        <v>61011</v>
      </c>
      <c r="B498" s="6" t="s">
        <v>1814</v>
      </c>
    </row>
    <row r="499" spans="1:2" ht="15.75" customHeight="1" x14ac:dyDescent="0.25">
      <c r="A499" s="6">
        <v>61012</v>
      </c>
      <c r="B499" s="6" t="s">
        <v>1815</v>
      </c>
    </row>
    <row r="500" spans="1:2" ht="15.75" customHeight="1" x14ac:dyDescent="0.25">
      <c r="A500" s="6">
        <v>61013</v>
      </c>
      <c r="B500" s="6" t="s">
        <v>1816</v>
      </c>
    </row>
    <row r="501" spans="1:2" ht="15.75" customHeight="1" x14ac:dyDescent="0.25">
      <c r="A501" s="6">
        <v>61014</v>
      </c>
      <c r="B501" s="6" t="s">
        <v>1817</v>
      </c>
    </row>
    <row r="502" spans="1:2" ht="15.75" customHeight="1" x14ac:dyDescent="0.25">
      <c r="A502" s="6">
        <v>61015</v>
      </c>
      <c r="B502" s="6" t="s">
        <v>1818</v>
      </c>
    </row>
    <row r="503" spans="1:2" ht="15.75" customHeight="1" x14ac:dyDescent="0.25">
      <c r="A503" s="6">
        <v>262001</v>
      </c>
      <c r="B503" s="6" t="s">
        <v>1834</v>
      </c>
    </row>
    <row r="504" spans="1:2" ht="15.75" customHeight="1" x14ac:dyDescent="0.25">
      <c r="A504" s="6">
        <v>262002</v>
      </c>
      <c r="B504" s="6" t="s">
        <v>1835</v>
      </c>
    </row>
    <row r="505" spans="1:2" ht="15.75" customHeight="1" x14ac:dyDescent="0.25">
      <c r="A505" s="6">
        <v>262003</v>
      </c>
      <c r="B505" s="6" t="s">
        <v>1831</v>
      </c>
    </row>
    <row r="506" spans="1:2" ht="15.75" customHeight="1" x14ac:dyDescent="0.25">
      <c r="A506" s="6">
        <v>462001</v>
      </c>
      <c r="B506" s="6" t="s">
        <v>697</v>
      </c>
    </row>
    <row r="507" spans="1:2" ht="15.75" customHeight="1" x14ac:dyDescent="0.25">
      <c r="A507" s="6">
        <v>462002</v>
      </c>
      <c r="B507" s="6" t="s">
        <v>1819</v>
      </c>
    </row>
    <row r="508" spans="1:2" ht="15.75" customHeight="1" x14ac:dyDescent="0.25">
      <c r="A508" s="6">
        <v>462003</v>
      </c>
      <c r="B508" s="6" t="s">
        <v>1820</v>
      </c>
    </row>
    <row r="509" spans="1:2" ht="15.75" customHeight="1" x14ac:dyDescent="0.25">
      <c r="A509" s="6">
        <v>462004</v>
      </c>
      <c r="B509" s="6" t="s">
        <v>1821</v>
      </c>
    </row>
    <row r="510" spans="1:2" ht="15.75" customHeight="1" x14ac:dyDescent="0.25">
      <c r="A510" s="6">
        <v>462005</v>
      </c>
      <c r="B510" s="6" t="s">
        <v>1822</v>
      </c>
    </row>
    <row r="511" spans="1:2" ht="15.75" customHeight="1" x14ac:dyDescent="0.25">
      <c r="A511" s="6">
        <v>462006</v>
      </c>
      <c r="B511" s="6" t="s">
        <v>1823</v>
      </c>
    </row>
    <row r="512" spans="1:2" ht="15.75" customHeight="1" x14ac:dyDescent="0.25">
      <c r="A512" s="6">
        <v>462007</v>
      </c>
      <c r="B512" s="6" t="s">
        <v>1824</v>
      </c>
    </row>
    <row r="513" spans="1:2" ht="15.75" customHeight="1" x14ac:dyDescent="0.25">
      <c r="A513" s="6">
        <v>462008</v>
      </c>
      <c r="B513" s="6" t="s">
        <v>1825</v>
      </c>
    </row>
    <row r="514" spans="1:2" ht="15.75" customHeight="1" x14ac:dyDescent="0.25">
      <c r="A514" s="6">
        <v>462009</v>
      </c>
      <c r="B514" s="6" t="s">
        <v>1826</v>
      </c>
    </row>
    <row r="515" spans="1:2" ht="15.75" customHeight="1" x14ac:dyDescent="0.25">
      <c r="A515" s="6">
        <v>462010</v>
      </c>
      <c r="B515" s="6" t="s">
        <v>1827</v>
      </c>
    </row>
    <row r="516" spans="1:2" ht="15.75" customHeight="1" x14ac:dyDescent="0.25">
      <c r="A516" s="6">
        <v>462011</v>
      </c>
      <c r="B516" s="6" t="s">
        <v>1828</v>
      </c>
    </row>
    <row r="517" spans="1:2" ht="15.75" customHeight="1" x14ac:dyDescent="0.25">
      <c r="A517" s="6">
        <v>462012</v>
      </c>
      <c r="B517" s="6" t="s">
        <v>1829</v>
      </c>
    </row>
    <row r="518" spans="1:2" ht="15.75" customHeight="1" x14ac:dyDescent="0.25">
      <c r="A518" s="6">
        <v>462013</v>
      </c>
      <c r="B518" s="6" t="s">
        <v>1830</v>
      </c>
    </row>
    <row r="519" spans="1:2" ht="15.75" customHeight="1" x14ac:dyDescent="0.25">
      <c r="A519" s="6">
        <v>462014</v>
      </c>
      <c r="B519" s="6" t="s">
        <v>1831</v>
      </c>
    </row>
    <row r="520" spans="1:2" ht="15.75" customHeight="1" x14ac:dyDescent="0.25">
      <c r="A520" s="6">
        <v>462015</v>
      </c>
      <c r="B520" s="6" t="s">
        <v>1832</v>
      </c>
    </row>
    <row r="521" spans="1:2" ht="15.75" customHeight="1" x14ac:dyDescent="0.25">
      <c r="A521" s="6">
        <v>462016</v>
      </c>
      <c r="B521" s="6" t="s">
        <v>1833</v>
      </c>
    </row>
    <row r="522" spans="1:2" ht="15.75" customHeight="1" x14ac:dyDescent="0.25">
      <c r="A522" s="6">
        <v>63001</v>
      </c>
      <c r="B522" s="6" t="s">
        <v>1895</v>
      </c>
    </row>
    <row r="523" spans="1:2" ht="15.75" customHeight="1" x14ac:dyDescent="0.25">
      <c r="A523" s="6">
        <v>63002</v>
      </c>
      <c r="B523" s="6" t="s">
        <v>1896</v>
      </c>
    </row>
    <row r="524" spans="1:2" ht="15.75" customHeight="1" x14ac:dyDescent="0.25">
      <c r="A524" s="6">
        <v>63003</v>
      </c>
      <c r="B524" s="6" t="s">
        <v>1897</v>
      </c>
    </row>
    <row r="525" spans="1:2" ht="15.75" customHeight="1" x14ac:dyDescent="0.25">
      <c r="A525" s="6">
        <v>63004</v>
      </c>
      <c r="B525" s="6" t="s">
        <v>1898</v>
      </c>
    </row>
    <row r="526" spans="1:2" ht="15.75" customHeight="1" x14ac:dyDescent="0.25">
      <c r="A526" s="6">
        <v>63005</v>
      </c>
      <c r="B526" s="6" t="s">
        <v>1899</v>
      </c>
    </row>
    <row r="527" spans="1:2" ht="15.75" customHeight="1" x14ac:dyDescent="0.25">
      <c r="A527" s="6">
        <v>63006</v>
      </c>
      <c r="B527" s="6" t="s">
        <v>1900</v>
      </c>
    </row>
    <row r="528" spans="1:2" ht="15.75" customHeight="1" x14ac:dyDescent="0.25">
      <c r="A528" s="6">
        <v>63007</v>
      </c>
      <c r="B528" s="6" t="s">
        <v>1502</v>
      </c>
    </row>
    <row r="529" spans="1:2" ht="15.75" customHeight="1" x14ac:dyDescent="0.25">
      <c r="A529" s="6">
        <v>63008</v>
      </c>
      <c r="B529" s="6" t="s">
        <v>1500</v>
      </c>
    </row>
    <row r="530" spans="1:2" ht="15.75" customHeight="1" x14ac:dyDescent="0.25">
      <c r="A530" s="6">
        <v>63009</v>
      </c>
      <c r="B530" s="6" t="s">
        <v>1504</v>
      </c>
    </row>
    <row r="531" spans="1:2" ht="15.75" customHeight="1" x14ac:dyDescent="0.25">
      <c r="A531" s="6">
        <v>63010</v>
      </c>
      <c r="B531" s="6" t="s">
        <v>1471</v>
      </c>
    </row>
    <row r="532" spans="1:2" ht="15.75" customHeight="1" x14ac:dyDescent="0.25">
      <c r="A532" s="6">
        <v>63011</v>
      </c>
      <c r="B532" s="6" t="s">
        <v>1469</v>
      </c>
    </row>
    <row r="533" spans="1:2" ht="15.75" customHeight="1" x14ac:dyDescent="0.25">
      <c r="A533" s="6">
        <v>63012</v>
      </c>
      <c r="B533" s="6" t="s">
        <v>1473</v>
      </c>
    </row>
    <row r="534" spans="1:2" ht="15.75" customHeight="1" x14ac:dyDescent="0.25">
      <c r="A534" s="6">
        <v>63013</v>
      </c>
      <c r="B534" s="6" t="s">
        <v>860</v>
      </c>
    </row>
    <row r="535" spans="1:2" ht="15.75" customHeight="1" x14ac:dyDescent="0.25">
      <c r="A535" s="6">
        <v>63014</v>
      </c>
      <c r="B535" s="6" t="s">
        <v>858</v>
      </c>
    </row>
    <row r="536" spans="1:2" ht="15.75" customHeight="1" x14ac:dyDescent="0.25">
      <c r="A536" s="6">
        <v>63015</v>
      </c>
      <c r="B536" s="6" t="s">
        <v>862</v>
      </c>
    </row>
    <row r="537" spans="1:2" ht="15.75" customHeight="1" x14ac:dyDescent="0.25">
      <c r="A537" s="6">
        <v>63016</v>
      </c>
      <c r="B537" s="6" t="s">
        <v>859</v>
      </c>
    </row>
    <row r="538" spans="1:2" ht="15.75" customHeight="1" x14ac:dyDescent="0.25">
      <c r="A538" s="6">
        <v>63017</v>
      </c>
      <c r="B538" s="6" t="s">
        <v>857</v>
      </c>
    </row>
    <row r="539" spans="1:2" ht="15.75" customHeight="1" x14ac:dyDescent="0.25">
      <c r="A539" s="6">
        <v>63018</v>
      </c>
      <c r="B539" s="6" t="s">
        <v>861</v>
      </c>
    </row>
    <row r="540" spans="1:2" ht="15.75" customHeight="1" x14ac:dyDescent="0.25">
      <c r="A540" s="6">
        <v>63019</v>
      </c>
      <c r="B540" s="6" t="s">
        <v>1901</v>
      </c>
    </row>
    <row r="541" spans="1:2" ht="15.75" customHeight="1" x14ac:dyDescent="0.25">
      <c r="A541" s="6">
        <v>63020</v>
      </c>
      <c r="B541" s="6" t="s">
        <v>1902</v>
      </c>
    </row>
    <row r="542" spans="1:2" ht="15.75" customHeight="1" x14ac:dyDescent="0.25">
      <c r="A542" s="6">
        <v>63021</v>
      </c>
      <c r="B542" s="6" t="s">
        <v>1903</v>
      </c>
    </row>
    <row r="543" spans="1:2" ht="15.75" customHeight="1" x14ac:dyDescent="0.25">
      <c r="A543" s="6">
        <v>63022</v>
      </c>
      <c r="B543" s="6" t="s">
        <v>1904</v>
      </c>
    </row>
    <row r="544" spans="1:2" ht="15.75" customHeight="1" x14ac:dyDescent="0.25">
      <c r="A544" s="6">
        <v>63023</v>
      </c>
      <c r="B544" s="6" t="s">
        <v>1905</v>
      </c>
    </row>
    <row r="545" spans="1:2" ht="15.75" customHeight="1" x14ac:dyDescent="0.25">
      <c r="A545" s="6">
        <v>63024</v>
      </c>
      <c r="B545" s="6" t="s">
        <v>1906</v>
      </c>
    </row>
    <row r="546" spans="1:2" ht="15.75" customHeight="1" x14ac:dyDescent="0.25">
      <c r="A546" s="6">
        <v>63025</v>
      </c>
      <c r="B546" s="6" t="s">
        <v>1869</v>
      </c>
    </row>
    <row r="547" spans="1:2" ht="15.75" customHeight="1" x14ac:dyDescent="0.25">
      <c r="A547" s="6">
        <v>264001</v>
      </c>
      <c r="B547" s="6" t="s">
        <v>1907</v>
      </c>
    </row>
    <row r="548" spans="1:2" ht="15.75" customHeight="1" x14ac:dyDescent="0.25">
      <c r="A548" s="6">
        <v>264002</v>
      </c>
      <c r="B548" s="6" t="s">
        <v>1908</v>
      </c>
    </row>
    <row r="549" spans="1:2" ht="15.75" customHeight="1" x14ac:dyDescent="0.25">
      <c r="A549" s="6">
        <v>264003</v>
      </c>
      <c r="B549" s="6" t="s">
        <v>1909</v>
      </c>
    </row>
    <row r="550" spans="1:2" ht="15.75" customHeight="1" x14ac:dyDescent="0.25">
      <c r="A550" s="6">
        <v>264004</v>
      </c>
      <c r="B550" s="6" t="s">
        <v>1910</v>
      </c>
    </row>
    <row r="551" spans="1:2" ht="15.75" customHeight="1" x14ac:dyDescent="0.25">
      <c r="A551" s="6">
        <v>264005</v>
      </c>
      <c r="B551" s="6" t="s">
        <v>1911</v>
      </c>
    </row>
    <row r="552" spans="1:2" ht="15.75" customHeight="1" x14ac:dyDescent="0.25">
      <c r="A552" s="6">
        <v>264006</v>
      </c>
      <c r="B552" s="6" t="s">
        <v>1912</v>
      </c>
    </row>
    <row r="553" spans="1:2" ht="15.75" customHeight="1" x14ac:dyDescent="0.25">
      <c r="A553" s="6">
        <v>264007</v>
      </c>
      <c r="B553" s="6" t="s">
        <v>1910</v>
      </c>
    </row>
    <row r="554" spans="1:2" ht="15.75" customHeight="1" x14ac:dyDescent="0.25">
      <c r="A554" s="6">
        <v>264008</v>
      </c>
      <c r="B554" s="6" t="s">
        <v>1913</v>
      </c>
    </row>
    <row r="555" spans="1:2" ht="15.75" customHeight="1" x14ac:dyDescent="0.25">
      <c r="A555" s="6">
        <v>264009</v>
      </c>
      <c r="B555" s="6" t="s">
        <v>1914</v>
      </c>
    </row>
    <row r="556" spans="1:2" ht="15.75" customHeight="1" x14ac:dyDescent="0.25">
      <c r="A556" s="6">
        <v>264010</v>
      </c>
      <c r="B556" s="6" t="s">
        <v>1915</v>
      </c>
    </row>
    <row r="557" spans="1:2" ht="15.75" customHeight="1" x14ac:dyDescent="0.25">
      <c r="A557" s="6">
        <v>264011</v>
      </c>
      <c r="B557" s="6" t="s">
        <v>1916</v>
      </c>
    </row>
    <row r="558" spans="1:2" ht="15.75" customHeight="1" x14ac:dyDescent="0.25">
      <c r="A558" s="6">
        <v>264012</v>
      </c>
      <c r="B558" s="6" t="s">
        <v>1917</v>
      </c>
    </row>
    <row r="559" spans="1:2" ht="15.75" customHeight="1" x14ac:dyDescent="0.25">
      <c r="A559" s="6">
        <v>264013</v>
      </c>
      <c r="B559" s="6" t="s">
        <v>1918</v>
      </c>
    </row>
    <row r="560" spans="1:2" ht="15.75" customHeight="1" x14ac:dyDescent="0.25">
      <c r="A560" s="6">
        <v>264014</v>
      </c>
      <c r="B560" s="6" t="s">
        <v>1919</v>
      </c>
    </row>
    <row r="561" spans="1:2" ht="15.75" customHeight="1" x14ac:dyDescent="0.25">
      <c r="A561" s="6">
        <v>264015</v>
      </c>
      <c r="B561" s="6" t="s">
        <v>1920</v>
      </c>
    </row>
    <row r="562" spans="1:2" ht="15.75" customHeight="1" x14ac:dyDescent="0.25">
      <c r="A562" s="6">
        <v>264016</v>
      </c>
      <c r="B562" s="6" t="s">
        <v>1921</v>
      </c>
    </row>
    <row r="563" spans="1:2" ht="15.75" customHeight="1" x14ac:dyDescent="0.25">
      <c r="A563" s="6">
        <v>264017</v>
      </c>
      <c r="B563" s="6" t="s">
        <v>1922</v>
      </c>
    </row>
    <row r="564" spans="1:2" ht="15.75" customHeight="1" x14ac:dyDescent="0.25">
      <c r="A564" s="6">
        <v>264018</v>
      </c>
      <c r="B564" s="6" t="s">
        <v>1923</v>
      </c>
    </row>
    <row r="565" spans="1:2" ht="15.75" customHeight="1" x14ac:dyDescent="0.25">
      <c r="A565" s="6">
        <v>264019</v>
      </c>
      <c r="B565" s="6" t="s">
        <v>1924</v>
      </c>
    </row>
    <row r="566" spans="1:2" ht="15.75" customHeight="1" x14ac:dyDescent="0.25">
      <c r="A566" s="6">
        <v>264020</v>
      </c>
      <c r="B566" s="6" t="s">
        <v>1925</v>
      </c>
    </row>
    <row r="567" spans="1:2" ht="15.75" customHeight="1" x14ac:dyDescent="0.25">
      <c r="A567" s="6">
        <v>264021</v>
      </c>
      <c r="B567" s="6" t="s">
        <v>1926</v>
      </c>
    </row>
    <row r="568" spans="1:2" ht="15.75" customHeight="1" x14ac:dyDescent="0.25">
      <c r="A568" s="6">
        <v>264022</v>
      </c>
      <c r="B568" s="6" t="s">
        <v>1927</v>
      </c>
    </row>
    <row r="569" spans="1:2" ht="15.75" customHeight="1" x14ac:dyDescent="0.25">
      <c r="A569" s="6">
        <v>264023</v>
      </c>
      <c r="B569" s="6" t="s">
        <v>1928</v>
      </c>
    </row>
    <row r="570" spans="1:2" ht="15.75" customHeight="1" x14ac:dyDescent="0.25">
      <c r="A570" s="6">
        <v>264024</v>
      </c>
      <c r="B570" s="6" t="s">
        <v>1929</v>
      </c>
    </row>
    <row r="571" spans="1:2" ht="15.75" customHeight="1" x14ac:dyDescent="0.25">
      <c r="A571" s="6">
        <v>264025</v>
      </c>
      <c r="B571" s="6" t="s">
        <v>1930</v>
      </c>
    </row>
    <row r="572" spans="1:2" ht="15.75" customHeight="1" x14ac:dyDescent="0.25">
      <c r="A572" s="6">
        <v>264026</v>
      </c>
      <c r="B572" s="6" t="s">
        <v>1931</v>
      </c>
    </row>
    <row r="573" spans="1:2" ht="15.75" customHeight="1" x14ac:dyDescent="0.25">
      <c r="A573" s="6">
        <v>264027</v>
      </c>
      <c r="B573" s="6" t="s">
        <v>1932</v>
      </c>
    </row>
    <row r="574" spans="1:2" ht="15.75" customHeight="1" x14ac:dyDescent="0.25">
      <c r="A574" s="6">
        <v>264028</v>
      </c>
      <c r="B574" s="6" t="s">
        <v>1933</v>
      </c>
    </row>
    <row r="575" spans="1:2" ht="15.75" customHeight="1" x14ac:dyDescent="0.25">
      <c r="A575" s="6">
        <v>264029</v>
      </c>
      <c r="B575" s="6" t="s">
        <v>1934</v>
      </c>
    </row>
    <row r="576" spans="1:2" ht="15.75" customHeight="1" x14ac:dyDescent="0.25">
      <c r="A576" s="6">
        <v>264030</v>
      </c>
      <c r="B576" s="6" t="s">
        <v>1935</v>
      </c>
    </row>
    <row r="577" spans="1:2" ht="15.75" customHeight="1" x14ac:dyDescent="0.25">
      <c r="A577" s="6">
        <v>264031</v>
      </c>
      <c r="B577" s="6" t="s">
        <v>1936</v>
      </c>
    </row>
    <row r="578" spans="1:2" ht="15.75" customHeight="1" x14ac:dyDescent="0.25">
      <c r="A578" s="6">
        <v>264032</v>
      </c>
      <c r="B578" s="6" t="s">
        <v>1937</v>
      </c>
    </row>
    <row r="579" spans="1:2" ht="15.75" customHeight="1" x14ac:dyDescent="0.25">
      <c r="A579" s="6">
        <v>264033</v>
      </c>
      <c r="B579" s="6" t="s">
        <v>1938</v>
      </c>
    </row>
    <row r="580" spans="1:2" ht="15.75" customHeight="1" x14ac:dyDescent="0.25">
      <c r="A580" s="6">
        <v>264034</v>
      </c>
      <c r="B580" s="6" t="s">
        <v>1939</v>
      </c>
    </row>
    <row r="581" spans="1:2" ht="15.75" customHeight="1" x14ac:dyDescent="0.25">
      <c r="A581" s="6">
        <v>264035</v>
      </c>
      <c r="B581" s="6" t="s">
        <v>1940</v>
      </c>
    </row>
    <row r="582" spans="1:2" ht="15.75" customHeight="1" x14ac:dyDescent="0.25">
      <c r="A582" s="6">
        <v>264036</v>
      </c>
      <c r="B582" s="6" t="s">
        <v>1941</v>
      </c>
    </row>
    <row r="583" spans="1:2" ht="15.75" customHeight="1" x14ac:dyDescent="0.25">
      <c r="A583" s="6">
        <v>264037</v>
      </c>
      <c r="B583" s="6" t="s">
        <v>1942</v>
      </c>
    </row>
    <row r="584" spans="1:2" ht="15.75" customHeight="1" x14ac:dyDescent="0.25">
      <c r="A584" s="6">
        <v>264038</v>
      </c>
      <c r="B584" s="6" t="s">
        <v>1943</v>
      </c>
    </row>
    <row r="585" spans="1:2" ht="15.75" customHeight="1" x14ac:dyDescent="0.25">
      <c r="A585" s="6">
        <v>264039</v>
      </c>
      <c r="B585" s="6" t="s">
        <v>1944</v>
      </c>
    </row>
    <row r="586" spans="1:2" ht="15.75" customHeight="1" x14ac:dyDescent="0.25">
      <c r="A586" s="6">
        <v>264040</v>
      </c>
      <c r="B586" s="6" t="s">
        <v>1945</v>
      </c>
    </row>
    <row r="587" spans="1:2" ht="15.75" customHeight="1" x14ac:dyDescent="0.25">
      <c r="A587" s="6">
        <v>264041</v>
      </c>
      <c r="B587" s="6" t="s">
        <v>1946</v>
      </c>
    </row>
    <row r="588" spans="1:2" ht="15.75" customHeight="1" x14ac:dyDescent="0.25">
      <c r="A588" s="6">
        <v>264042</v>
      </c>
      <c r="B588" s="6" t="s">
        <v>1947</v>
      </c>
    </row>
    <row r="589" spans="1:2" ht="15.75" customHeight="1" x14ac:dyDescent="0.25">
      <c r="A589" s="6">
        <v>264043</v>
      </c>
      <c r="B589" s="6" t="s">
        <v>1948</v>
      </c>
    </row>
    <row r="590" spans="1:2" ht="15.75" customHeight="1" x14ac:dyDescent="0.25">
      <c r="A590" s="6">
        <v>264044</v>
      </c>
      <c r="B590" s="6" t="s">
        <v>1949</v>
      </c>
    </row>
    <row r="591" spans="1:2" ht="15.75" customHeight="1" x14ac:dyDescent="0.25">
      <c r="A591" s="6">
        <v>264045</v>
      </c>
      <c r="B591" s="6" t="s">
        <v>1950</v>
      </c>
    </row>
    <row r="592" spans="1:2" ht="15.75" customHeight="1" x14ac:dyDescent="0.25">
      <c r="A592" s="6">
        <v>264046</v>
      </c>
      <c r="B592" s="6" t="s">
        <v>1951</v>
      </c>
    </row>
    <row r="593" spans="1:2" ht="15.75" customHeight="1" x14ac:dyDescent="0.25">
      <c r="A593" s="6">
        <v>264047</v>
      </c>
      <c r="B593" s="6" t="s">
        <v>1952</v>
      </c>
    </row>
    <row r="594" spans="1:2" ht="15.75" customHeight="1" x14ac:dyDescent="0.25">
      <c r="A594" s="6">
        <v>264048</v>
      </c>
      <c r="B594" s="6" t="s">
        <v>1953</v>
      </c>
    </row>
    <row r="595" spans="1:2" ht="15.75" customHeight="1" x14ac:dyDescent="0.25">
      <c r="A595" s="6">
        <v>264049</v>
      </c>
      <c r="B595" s="6" t="s">
        <v>1954</v>
      </c>
    </row>
    <row r="596" spans="1:2" ht="15.75" customHeight="1" x14ac:dyDescent="0.25">
      <c r="A596" s="6">
        <v>264050</v>
      </c>
      <c r="B596" s="6" t="s">
        <v>1955</v>
      </c>
    </row>
    <row r="597" spans="1:2" ht="15.75" customHeight="1" x14ac:dyDescent="0.25">
      <c r="A597" s="6">
        <v>264051</v>
      </c>
      <c r="B597" s="6" t="s">
        <v>1956</v>
      </c>
    </row>
    <row r="598" spans="1:2" ht="15.75" customHeight="1" x14ac:dyDescent="0.25">
      <c r="A598" s="6">
        <v>265001</v>
      </c>
      <c r="B598" s="6" t="s">
        <v>1957</v>
      </c>
    </row>
    <row r="599" spans="1:2" ht="15.75" customHeight="1" x14ac:dyDescent="0.25">
      <c r="A599" s="6">
        <v>265002</v>
      </c>
      <c r="B599" s="6" t="s">
        <v>1958</v>
      </c>
    </row>
    <row r="600" spans="1:2" ht="15.75" customHeight="1" x14ac:dyDescent="0.25">
      <c r="A600" s="6">
        <v>265003</v>
      </c>
      <c r="B600" s="6" t="s">
        <v>1959</v>
      </c>
    </row>
    <row r="601" spans="1:2" ht="15.75" customHeight="1" x14ac:dyDescent="0.25">
      <c r="A601" s="6">
        <v>265004</v>
      </c>
      <c r="B601" s="6" t="s">
        <v>1960</v>
      </c>
    </row>
    <row r="602" spans="1:2" ht="15.75" customHeight="1" x14ac:dyDescent="0.25">
      <c r="A602" s="6">
        <v>265005</v>
      </c>
      <c r="B602" s="6" t="s">
        <v>1961</v>
      </c>
    </row>
    <row r="603" spans="1:2" ht="15.75" customHeight="1" x14ac:dyDescent="0.25">
      <c r="A603" s="6">
        <v>265006</v>
      </c>
      <c r="B603" s="6" t="s">
        <v>1962</v>
      </c>
    </row>
    <row r="604" spans="1:2" ht="15.75" customHeight="1" x14ac:dyDescent="0.25">
      <c r="A604" s="6">
        <v>265007</v>
      </c>
      <c r="B604" s="6" t="s">
        <v>1963</v>
      </c>
    </row>
    <row r="605" spans="1:2" ht="15.75" customHeight="1" x14ac:dyDescent="0.25">
      <c r="A605" s="6">
        <v>265008</v>
      </c>
      <c r="B605" s="6" t="s">
        <v>1964</v>
      </c>
    </row>
    <row r="606" spans="1:2" ht="15.75" customHeight="1" x14ac:dyDescent="0.25">
      <c r="A606" s="6">
        <v>265009</v>
      </c>
      <c r="B606" s="6" t="s">
        <v>1965</v>
      </c>
    </row>
    <row r="607" spans="1:2" ht="15.75" customHeight="1" x14ac:dyDescent="0.25">
      <c r="A607" s="6">
        <v>265010</v>
      </c>
      <c r="B607" s="6" t="s">
        <v>1966</v>
      </c>
    </row>
    <row r="608" spans="1:2" ht="15.75" customHeight="1" x14ac:dyDescent="0.25">
      <c r="A608" s="6">
        <v>265011</v>
      </c>
      <c r="B608" s="6" t="s">
        <v>1967</v>
      </c>
    </row>
    <row r="609" spans="1:2" ht="15.75" customHeight="1" x14ac:dyDescent="0.25">
      <c r="A609" s="6">
        <v>265012</v>
      </c>
      <c r="B609" s="6" t="s">
        <v>1968</v>
      </c>
    </row>
    <row r="610" spans="1:2" ht="15.75" customHeight="1" x14ac:dyDescent="0.25">
      <c r="A610" s="6">
        <v>265013</v>
      </c>
      <c r="B610" s="6" t="s">
        <v>1969</v>
      </c>
    </row>
    <row r="611" spans="1:2" ht="15.75" customHeight="1" x14ac:dyDescent="0.25">
      <c r="A611" s="6">
        <v>265014</v>
      </c>
      <c r="B611" s="6" t="s">
        <v>1970</v>
      </c>
    </row>
    <row r="612" spans="1:2" ht="15.75" customHeight="1" x14ac:dyDescent="0.25">
      <c r="A612" s="6">
        <v>265015</v>
      </c>
      <c r="B612" s="6" t="s">
        <v>1971</v>
      </c>
    </row>
    <row r="613" spans="1:2" ht="15.75" customHeight="1" x14ac:dyDescent="0.25">
      <c r="A613" s="6">
        <v>265016</v>
      </c>
      <c r="B613" s="6" t="s">
        <v>1972</v>
      </c>
    </row>
    <row r="614" spans="1:2" ht="15.75" customHeight="1" x14ac:dyDescent="0.25">
      <c r="A614" s="6">
        <v>265017</v>
      </c>
      <c r="B614" s="6" t="s">
        <v>1973</v>
      </c>
    </row>
    <row r="615" spans="1:2" ht="15.75" customHeight="1" x14ac:dyDescent="0.25">
      <c r="A615" s="6">
        <v>265018</v>
      </c>
      <c r="B615" s="6" t="s">
        <v>1974</v>
      </c>
    </row>
    <row r="616" spans="1:2" ht="15.75" customHeight="1" x14ac:dyDescent="0.25">
      <c r="A616" s="6">
        <v>265019</v>
      </c>
      <c r="B616" s="6" t="s">
        <v>1975</v>
      </c>
    </row>
    <row r="617" spans="1:2" ht="15.75" customHeight="1" x14ac:dyDescent="0.25">
      <c r="A617" s="6">
        <v>265020</v>
      </c>
      <c r="B617" s="6" t="s">
        <v>1976</v>
      </c>
    </row>
    <row r="618" spans="1:2" ht="15.75" customHeight="1" x14ac:dyDescent="0.25">
      <c r="A618" s="6">
        <v>265021</v>
      </c>
      <c r="B618" s="6" t="s">
        <v>1977</v>
      </c>
    </row>
    <row r="619" spans="1:2" ht="15.75" customHeight="1" x14ac:dyDescent="0.25">
      <c r="A619" s="6">
        <v>265022</v>
      </c>
      <c r="B619" s="6" t="s">
        <v>1978</v>
      </c>
    </row>
    <row r="620" spans="1:2" ht="15.75" customHeight="1" x14ac:dyDescent="0.25">
      <c r="A620" s="6">
        <v>265023</v>
      </c>
      <c r="B620" s="6" t="s">
        <v>1979</v>
      </c>
    </row>
    <row r="621" spans="1:2" ht="15.75" customHeight="1" x14ac:dyDescent="0.25">
      <c r="A621" s="6">
        <v>265024</v>
      </c>
      <c r="B621" s="6" t="s">
        <v>1980</v>
      </c>
    </row>
    <row r="622" spans="1:2" ht="15.75" customHeight="1" x14ac:dyDescent="0.25">
      <c r="A622" s="6">
        <v>265025</v>
      </c>
      <c r="B622" s="6" t="s">
        <v>1981</v>
      </c>
    </row>
    <row r="623" spans="1:2" ht="15.75" customHeight="1" x14ac:dyDescent="0.25">
      <c r="A623" s="6">
        <v>265026</v>
      </c>
      <c r="B623" s="6" t="s">
        <v>1982</v>
      </c>
    </row>
    <row r="624" spans="1:2" ht="15.75" customHeight="1" x14ac:dyDescent="0.25">
      <c r="A624" s="6">
        <v>265027</v>
      </c>
      <c r="B624" s="6" t="s">
        <v>1983</v>
      </c>
    </row>
    <row r="625" spans="1:2" ht="15.75" customHeight="1" x14ac:dyDescent="0.25">
      <c r="A625" s="6">
        <v>265028</v>
      </c>
      <c r="B625" s="6" t="s">
        <v>1984</v>
      </c>
    </row>
    <row r="626" spans="1:2" ht="15.75" customHeight="1" x14ac:dyDescent="0.25">
      <c r="A626" s="6">
        <v>265029</v>
      </c>
      <c r="B626" s="6" t="s">
        <v>1985</v>
      </c>
    </row>
    <row r="627" spans="1:2" ht="15.75" customHeight="1" x14ac:dyDescent="0.25">
      <c r="A627" s="6">
        <v>265030</v>
      </c>
      <c r="B627" s="6" t="s">
        <v>1986</v>
      </c>
    </row>
    <row r="628" spans="1:2" ht="15.75" customHeight="1" x14ac:dyDescent="0.25">
      <c r="A628" s="6">
        <v>265031</v>
      </c>
      <c r="B628" s="6" t="s">
        <v>1987</v>
      </c>
    </row>
    <row r="629" spans="1:2" ht="15.75" customHeight="1" x14ac:dyDescent="0.25">
      <c r="A629" s="6">
        <v>265032</v>
      </c>
      <c r="B629" s="6" t="s">
        <v>1988</v>
      </c>
    </row>
    <row r="630" spans="1:2" ht="15.75" customHeight="1" x14ac:dyDescent="0.25">
      <c r="A630" s="6">
        <v>265033</v>
      </c>
      <c r="B630" s="6" t="s">
        <v>1989</v>
      </c>
    </row>
    <row r="631" spans="1:2" ht="15.75" customHeight="1" x14ac:dyDescent="0.25">
      <c r="A631" s="6">
        <v>265034</v>
      </c>
      <c r="B631" s="6" t="s">
        <v>1990</v>
      </c>
    </row>
    <row r="632" spans="1:2" ht="15.75" customHeight="1" x14ac:dyDescent="0.25">
      <c r="A632" s="6">
        <v>265035</v>
      </c>
      <c r="B632" s="6" t="s">
        <v>1991</v>
      </c>
    </row>
    <row r="633" spans="1:2" ht="15.75" customHeight="1" x14ac:dyDescent="0.25">
      <c r="A633" s="6">
        <v>265036</v>
      </c>
      <c r="B633" s="6" t="s">
        <v>1992</v>
      </c>
    </row>
    <row r="634" spans="1:2" ht="15.75" customHeight="1" x14ac:dyDescent="0.25">
      <c r="A634" s="6">
        <v>265037</v>
      </c>
      <c r="B634" s="6" t="s">
        <v>1993</v>
      </c>
    </row>
    <row r="635" spans="1:2" ht="15.75" customHeight="1" x14ac:dyDescent="0.25">
      <c r="A635" s="6">
        <v>265038</v>
      </c>
      <c r="B635" s="6" t="s">
        <v>1994</v>
      </c>
    </row>
    <row r="636" spans="1:2" ht="15.75" customHeight="1" x14ac:dyDescent="0.25">
      <c r="A636" s="6">
        <v>265039</v>
      </c>
      <c r="B636" s="6" t="s">
        <v>1995</v>
      </c>
    </row>
    <row r="637" spans="1:2" ht="15.75" customHeight="1" x14ac:dyDescent="0.25">
      <c r="A637" s="6">
        <v>265040</v>
      </c>
      <c r="B637" s="6" t="s">
        <v>1996</v>
      </c>
    </row>
    <row r="638" spans="1:2" ht="15.75" customHeight="1" x14ac:dyDescent="0.25">
      <c r="A638" s="6">
        <v>265041</v>
      </c>
      <c r="B638" s="6" t="s">
        <v>1997</v>
      </c>
    </row>
    <row r="639" spans="1:2" ht="15.75" customHeight="1" x14ac:dyDescent="0.25">
      <c r="A639" s="6">
        <v>265042</v>
      </c>
      <c r="B639" s="6" t="s">
        <v>1998</v>
      </c>
    </row>
    <row r="640" spans="1:2" ht="15.75" customHeight="1" x14ac:dyDescent="0.25">
      <c r="A640" s="6">
        <v>265043</v>
      </c>
      <c r="B640" s="6" t="s">
        <v>1999</v>
      </c>
    </row>
    <row r="641" spans="1:2" ht="15.75" customHeight="1" x14ac:dyDescent="0.25">
      <c r="A641" s="6">
        <v>265044</v>
      </c>
      <c r="B641" s="6" t="s">
        <v>2000</v>
      </c>
    </row>
    <row r="642" spans="1:2" ht="15.75" customHeight="1" x14ac:dyDescent="0.25">
      <c r="A642" s="6">
        <v>265045</v>
      </c>
      <c r="B642" s="6" t="s">
        <v>2001</v>
      </c>
    </row>
    <row r="643" spans="1:2" ht="15.75" customHeight="1" x14ac:dyDescent="0.25">
      <c r="A643" s="6">
        <v>265046</v>
      </c>
      <c r="B643" s="6" t="s">
        <v>2002</v>
      </c>
    </row>
    <row r="644" spans="1:2" ht="15.75" customHeight="1" x14ac:dyDescent="0.25">
      <c r="A644" s="6">
        <v>265047</v>
      </c>
      <c r="B644" s="6" t="s">
        <v>2003</v>
      </c>
    </row>
    <row r="645" spans="1:2" ht="15.75" customHeight="1" x14ac:dyDescent="0.25">
      <c r="A645" s="6">
        <v>265048</v>
      </c>
      <c r="B645" s="6" t="s">
        <v>2004</v>
      </c>
    </row>
    <row r="646" spans="1:2" ht="15.75" customHeight="1" x14ac:dyDescent="0.25">
      <c r="A646" s="6">
        <v>265049</v>
      </c>
      <c r="B646" s="6" t="s">
        <v>2005</v>
      </c>
    </row>
    <row r="647" spans="1:2" ht="15.75" customHeight="1" x14ac:dyDescent="0.25">
      <c r="A647" s="6">
        <v>66001</v>
      </c>
      <c r="B647" s="6" t="s">
        <v>1659</v>
      </c>
    </row>
    <row r="648" spans="1:2" ht="15.75" customHeight="1" x14ac:dyDescent="0.25">
      <c r="A648" s="6">
        <v>66002</v>
      </c>
      <c r="B648" s="6" t="s">
        <v>1661</v>
      </c>
    </row>
    <row r="649" spans="1:2" ht="15.75" customHeight="1" x14ac:dyDescent="0.25">
      <c r="A649" s="6">
        <v>66003</v>
      </c>
      <c r="B649" s="6" t="s">
        <v>1660</v>
      </c>
    </row>
    <row r="650" spans="1:2" ht="15.75" customHeight="1" x14ac:dyDescent="0.25">
      <c r="A650" s="6">
        <v>66004</v>
      </c>
      <c r="B650" s="6" t="s">
        <v>1662</v>
      </c>
    </row>
    <row r="651" spans="1:2" ht="15.75" customHeight="1" x14ac:dyDescent="0.25">
      <c r="A651" s="6">
        <v>66005</v>
      </c>
      <c r="B651" s="6" t="s">
        <v>2006</v>
      </c>
    </row>
    <row r="652" spans="1:2" ht="15.75" customHeight="1" x14ac:dyDescent="0.25">
      <c r="A652" s="6">
        <v>66006</v>
      </c>
      <c r="B652" s="6" t="s">
        <v>2007</v>
      </c>
    </row>
    <row r="653" spans="1:2" ht="15.75" customHeight="1" x14ac:dyDescent="0.25">
      <c r="A653" s="6">
        <v>66007</v>
      </c>
      <c r="B653" s="6" t="s">
        <v>2008</v>
      </c>
    </row>
    <row r="654" spans="1:2" ht="15.75" customHeight="1" x14ac:dyDescent="0.25">
      <c r="A654" s="6">
        <v>66008</v>
      </c>
      <c r="B654" s="6" t="s">
        <v>2009</v>
      </c>
    </row>
    <row r="655" spans="1:2" ht="15.75" customHeight="1" x14ac:dyDescent="0.25">
      <c r="A655" s="6">
        <v>66009</v>
      </c>
      <c r="B655" s="6" t="s">
        <v>2010</v>
      </c>
    </row>
    <row r="656" spans="1:2" ht="15.75" customHeight="1" x14ac:dyDescent="0.25">
      <c r="A656" s="6">
        <v>66010</v>
      </c>
      <c r="B656" s="6" t="s">
        <v>1540</v>
      </c>
    </row>
    <row r="657" spans="1:2" ht="15.75" customHeight="1" x14ac:dyDescent="0.25">
      <c r="A657" s="6">
        <v>66011</v>
      </c>
      <c r="B657" s="6" t="s">
        <v>1355</v>
      </c>
    </row>
    <row r="658" spans="1:2" ht="15.75" customHeight="1" x14ac:dyDescent="0.25">
      <c r="A658" s="6">
        <v>66012</v>
      </c>
      <c r="B658" s="6" t="s">
        <v>2011</v>
      </c>
    </row>
    <row r="659" spans="1:2" ht="15.75" customHeight="1" x14ac:dyDescent="0.25">
      <c r="A659" s="6">
        <v>66013</v>
      </c>
      <c r="B659" s="6" t="s">
        <v>2058</v>
      </c>
    </row>
    <row r="660" spans="1:2" ht="15.75" customHeight="1" x14ac:dyDescent="0.25">
      <c r="A660" s="6">
        <v>66014</v>
      </c>
      <c r="B660" s="6" t="s">
        <v>2059</v>
      </c>
    </row>
    <row r="661" spans="1:2" ht="15.75" customHeight="1" x14ac:dyDescent="0.25">
      <c r="A661" s="6">
        <v>66015</v>
      </c>
      <c r="B661" s="6" t="s">
        <v>2060</v>
      </c>
    </row>
    <row r="662" spans="1:2" ht="15.75" customHeight="1" x14ac:dyDescent="0.25">
      <c r="A662" s="6">
        <v>66016</v>
      </c>
      <c r="B662" s="6" t="s">
        <v>2061</v>
      </c>
    </row>
    <row r="663" spans="1:2" ht="15.75" customHeight="1" x14ac:dyDescent="0.25">
      <c r="A663" s="6">
        <v>66017</v>
      </c>
      <c r="B663" s="6" t="s">
        <v>2062</v>
      </c>
    </row>
    <row r="664" spans="1:2" ht="15.75" customHeight="1" x14ac:dyDescent="0.25">
      <c r="A664" s="6">
        <v>67001</v>
      </c>
      <c r="B664" s="6" t="s">
        <v>1659</v>
      </c>
    </row>
    <row r="665" spans="1:2" ht="15.75" customHeight="1" x14ac:dyDescent="0.25">
      <c r="A665" s="6">
        <v>67002</v>
      </c>
      <c r="B665" s="6" t="s">
        <v>1661</v>
      </c>
    </row>
    <row r="666" spans="1:2" ht="15.75" customHeight="1" x14ac:dyDescent="0.25">
      <c r="A666" s="6">
        <v>67003</v>
      </c>
      <c r="B666" s="6" t="s">
        <v>1660</v>
      </c>
    </row>
    <row r="667" spans="1:2" ht="15.75" customHeight="1" x14ac:dyDescent="0.25">
      <c r="A667" s="6">
        <v>67004</v>
      </c>
      <c r="B667" s="6" t="s">
        <v>1662</v>
      </c>
    </row>
    <row r="668" spans="1:2" ht="15.75" customHeight="1" x14ac:dyDescent="0.25">
      <c r="A668" s="6">
        <v>67005</v>
      </c>
      <c r="B668" s="6" t="s">
        <v>2006</v>
      </c>
    </row>
    <row r="669" spans="1:2" ht="15.75" customHeight="1" x14ac:dyDescent="0.25">
      <c r="A669" s="6">
        <v>67006</v>
      </c>
      <c r="B669" s="6" t="s">
        <v>2007</v>
      </c>
    </row>
    <row r="670" spans="1:2" ht="15.75" customHeight="1" x14ac:dyDescent="0.25">
      <c r="A670" s="6">
        <v>67007</v>
      </c>
      <c r="B670" s="6" t="s">
        <v>2008</v>
      </c>
    </row>
    <row r="671" spans="1:2" ht="15.75" customHeight="1" x14ac:dyDescent="0.25">
      <c r="A671" s="6">
        <v>67008</v>
      </c>
      <c r="B671" s="6" t="s">
        <v>2009</v>
      </c>
    </row>
    <row r="672" spans="1:2" ht="15.75" customHeight="1" x14ac:dyDescent="0.25">
      <c r="A672" s="6">
        <v>67009</v>
      </c>
      <c r="B672" s="6" t="s">
        <v>2010</v>
      </c>
    </row>
    <row r="673" spans="1:2" ht="15.75" customHeight="1" x14ac:dyDescent="0.25">
      <c r="A673" s="6">
        <v>67010</v>
      </c>
      <c r="B673" s="6" t="s">
        <v>1540</v>
      </c>
    </row>
    <row r="674" spans="1:2" ht="15.75" customHeight="1" x14ac:dyDescent="0.25">
      <c r="A674" s="6">
        <v>67011</v>
      </c>
      <c r="B674" s="6" t="s">
        <v>1355</v>
      </c>
    </row>
    <row r="675" spans="1:2" ht="15.75" customHeight="1" x14ac:dyDescent="0.25">
      <c r="A675" s="6">
        <v>67012</v>
      </c>
      <c r="B675" s="6" t="s">
        <v>2011</v>
      </c>
    </row>
    <row r="676" spans="1:2" ht="15.75" customHeight="1" x14ac:dyDescent="0.25">
      <c r="A676" s="6">
        <v>67013</v>
      </c>
      <c r="B676" s="6" t="s">
        <v>2058</v>
      </c>
    </row>
    <row r="677" spans="1:2" ht="15.75" customHeight="1" x14ac:dyDescent="0.25">
      <c r="A677" s="6">
        <v>67014</v>
      </c>
      <c r="B677" s="6" t="s">
        <v>2059</v>
      </c>
    </row>
    <row r="678" spans="1:2" ht="15.75" customHeight="1" x14ac:dyDescent="0.25">
      <c r="A678" s="6">
        <v>67015</v>
      </c>
      <c r="B678" s="6" t="s">
        <v>2060</v>
      </c>
    </row>
    <row r="679" spans="1:2" ht="15.75" customHeight="1" x14ac:dyDescent="0.25">
      <c r="A679" s="6">
        <v>67016</v>
      </c>
      <c r="B679" s="6" t="s">
        <v>2061</v>
      </c>
    </row>
    <row r="680" spans="1:2" ht="15.75" customHeight="1" x14ac:dyDescent="0.25">
      <c r="A680" s="6">
        <v>67017</v>
      </c>
      <c r="B680" s="6" t="s">
        <v>2062</v>
      </c>
    </row>
    <row r="681" spans="1:2" ht="15.75" customHeight="1" x14ac:dyDescent="0.25">
      <c r="A681" s="6">
        <v>68001</v>
      </c>
      <c r="B681" s="6" t="s">
        <v>2063</v>
      </c>
    </row>
    <row r="682" spans="1:2" ht="15.75" customHeight="1" x14ac:dyDescent="0.25">
      <c r="A682" s="6">
        <v>69001</v>
      </c>
      <c r="B682" s="6" t="s">
        <v>1672</v>
      </c>
    </row>
    <row r="683" spans="1:2" ht="15.75" customHeight="1" x14ac:dyDescent="0.25">
      <c r="A683" s="6">
        <v>369001</v>
      </c>
      <c r="B683" s="6" t="s">
        <v>1672</v>
      </c>
    </row>
    <row r="684" spans="1:2" ht="15.75" customHeight="1" x14ac:dyDescent="0.25">
      <c r="A684" s="6">
        <v>470001</v>
      </c>
      <c r="B684" s="6" t="s">
        <v>2064</v>
      </c>
    </row>
    <row r="685" spans="1:2" ht="15.75" customHeight="1" x14ac:dyDescent="0.25">
      <c r="A685" s="6">
        <v>470002</v>
      </c>
      <c r="B685" s="6" t="s">
        <v>2065</v>
      </c>
    </row>
    <row r="686" spans="1:2" ht="15.75" customHeight="1" x14ac:dyDescent="0.25">
      <c r="A686" s="6">
        <v>470003</v>
      </c>
      <c r="B686" s="6" t="s">
        <v>2066</v>
      </c>
    </row>
    <row r="687" spans="1:2" ht="15.75" customHeight="1" x14ac:dyDescent="0.25">
      <c r="A687" s="6">
        <v>470004</v>
      </c>
      <c r="B687" s="6" t="s">
        <v>2067</v>
      </c>
    </row>
    <row r="688" spans="1:2" ht="15.75" customHeight="1" x14ac:dyDescent="0.25">
      <c r="A688" s="6">
        <v>71001</v>
      </c>
      <c r="B688" s="6" t="s">
        <v>2068</v>
      </c>
    </row>
    <row r="689" spans="1:2" ht="15.75" customHeight="1" x14ac:dyDescent="0.25">
      <c r="A689" s="6">
        <v>71002</v>
      </c>
      <c r="B689" s="6" t="s">
        <v>2069</v>
      </c>
    </row>
    <row r="690" spans="1:2" ht="15.75" customHeight="1" x14ac:dyDescent="0.25">
      <c r="A690" s="6">
        <v>71003</v>
      </c>
      <c r="B690" s="6" t="s">
        <v>2070</v>
      </c>
    </row>
    <row r="691" spans="1:2" ht="15.75" customHeight="1" x14ac:dyDescent="0.25">
      <c r="A691" s="6">
        <v>71004</v>
      </c>
      <c r="B691" s="6" t="s">
        <v>2071</v>
      </c>
    </row>
    <row r="692" spans="1:2" ht="15.75" customHeight="1" x14ac:dyDescent="0.25">
      <c r="A692" s="6">
        <v>71005</v>
      </c>
      <c r="B692" s="6" t="s">
        <v>2072</v>
      </c>
    </row>
    <row r="693" spans="1:2" ht="15.75" customHeight="1" x14ac:dyDescent="0.25">
      <c r="A693" s="6">
        <v>71006</v>
      </c>
      <c r="B693" s="6" t="s">
        <v>2073</v>
      </c>
    </row>
    <row r="694" spans="1:2" ht="15.75" customHeight="1" x14ac:dyDescent="0.25">
      <c r="A694" s="6">
        <v>71007</v>
      </c>
      <c r="B694" s="6" t="s">
        <v>2074</v>
      </c>
    </row>
    <row r="695" spans="1:2" ht="15.75" customHeight="1" x14ac:dyDescent="0.25">
      <c r="A695" s="6">
        <v>71008</v>
      </c>
      <c r="B695" s="6" t="s">
        <v>2075</v>
      </c>
    </row>
    <row r="696" spans="1:2" ht="15.75" customHeight="1" x14ac:dyDescent="0.25">
      <c r="A696" s="6">
        <v>71009</v>
      </c>
      <c r="B696" s="6" t="s">
        <v>2076</v>
      </c>
    </row>
    <row r="697" spans="1:2" ht="15.75" customHeight="1" x14ac:dyDescent="0.25">
      <c r="A697" s="6">
        <v>71001</v>
      </c>
      <c r="B697" s="6" t="s">
        <v>2077</v>
      </c>
    </row>
    <row r="698" spans="1:2" ht="15.75" customHeight="1" x14ac:dyDescent="0.25">
      <c r="A698" s="6">
        <v>71001</v>
      </c>
      <c r="B698" s="6" t="s">
        <v>2078</v>
      </c>
    </row>
    <row r="699" spans="1:2" ht="15.75" customHeight="1" x14ac:dyDescent="0.25">
      <c r="A699" s="6">
        <v>71001</v>
      </c>
      <c r="B699" s="6" t="s">
        <v>2079</v>
      </c>
    </row>
    <row r="700" spans="1:2" ht="15.75" customHeight="1" x14ac:dyDescent="0.25">
      <c r="A700" s="6">
        <v>71001</v>
      </c>
      <c r="B700" s="6" t="s">
        <v>2080</v>
      </c>
    </row>
    <row r="701" spans="1:2" ht="15.75" customHeight="1" x14ac:dyDescent="0.25">
      <c r="A701" s="6">
        <v>71001</v>
      </c>
      <c r="B701" s="6" t="s">
        <v>2081</v>
      </c>
    </row>
    <row r="702" spans="1:2" ht="15.75" customHeight="1" x14ac:dyDescent="0.25">
      <c r="A702" s="6">
        <v>71001</v>
      </c>
      <c r="B702" s="6" t="s">
        <v>2082</v>
      </c>
    </row>
    <row r="703" spans="1:2" ht="15.75" customHeight="1" x14ac:dyDescent="0.25">
      <c r="A703" s="6">
        <v>71001</v>
      </c>
      <c r="B703" s="6" t="s">
        <v>2083</v>
      </c>
    </row>
    <row r="704" spans="1:2" ht="15.75" customHeight="1" x14ac:dyDescent="0.25">
      <c r="A704" s="6">
        <v>71001</v>
      </c>
      <c r="B704" s="6" t="s">
        <v>2084</v>
      </c>
    </row>
    <row r="705" spans="1:2" ht="15.75" customHeight="1" x14ac:dyDescent="0.25">
      <c r="A705" s="6">
        <v>71001</v>
      </c>
      <c r="B705" s="6" t="s">
        <v>2085</v>
      </c>
    </row>
    <row r="706" spans="1:2" ht="15.75" customHeight="1" x14ac:dyDescent="0.25">
      <c r="A706" s="6">
        <v>71001</v>
      </c>
      <c r="B706" s="6" t="s">
        <v>2086</v>
      </c>
    </row>
    <row r="707" spans="1:2" ht="15.75" customHeight="1" x14ac:dyDescent="0.25">
      <c r="A707" s="6">
        <v>71002</v>
      </c>
      <c r="B707" s="6" t="s">
        <v>2087</v>
      </c>
    </row>
    <row r="708" spans="1:2" ht="15.75" customHeight="1" x14ac:dyDescent="0.25">
      <c r="A708" s="6">
        <v>71002</v>
      </c>
      <c r="B708" s="6" t="s">
        <v>2088</v>
      </c>
    </row>
    <row r="709" spans="1:2" ht="15.75" customHeight="1" x14ac:dyDescent="0.25">
      <c r="A709" s="6">
        <v>71002</v>
      </c>
      <c r="B709" s="6" t="s">
        <v>2089</v>
      </c>
    </row>
    <row r="710" spans="1:2" ht="15.75" customHeight="1" x14ac:dyDescent="0.25">
      <c r="A710" s="6">
        <v>71002</v>
      </c>
      <c r="B710" s="6" t="s">
        <v>2090</v>
      </c>
    </row>
    <row r="711" spans="1:2" ht="15.75" customHeight="1" x14ac:dyDescent="0.25">
      <c r="A711" s="6">
        <v>71002</v>
      </c>
      <c r="B711" s="6" t="s">
        <v>2091</v>
      </c>
    </row>
    <row r="712" spans="1:2" ht="15.75" customHeight="1" x14ac:dyDescent="0.25">
      <c r="A712" s="6">
        <v>71002</v>
      </c>
      <c r="B712" s="6" t="s">
        <v>2092</v>
      </c>
    </row>
    <row r="713" spans="1:2" ht="15.75" customHeight="1" x14ac:dyDescent="0.25">
      <c r="A713" s="6">
        <v>71002</v>
      </c>
      <c r="B713" s="6" t="s">
        <v>2093</v>
      </c>
    </row>
    <row r="714" spans="1:2" ht="15.75" customHeight="1" x14ac:dyDescent="0.25">
      <c r="A714" s="6">
        <v>71002</v>
      </c>
      <c r="B714" s="6" t="s">
        <v>2094</v>
      </c>
    </row>
    <row r="715" spans="1:2" ht="15.75" customHeight="1" x14ac:dyDescent="0.25">
      <c r="A715" s="6">
        <v>71002</v>
      </c>
      <c r="B715" s="6" t="s">
        <v>2095</v>
      </c>
    </row>
    <row r="716" spans="1:2" ht="15.75" customHeight="1" x14ac:dyDescent="0.25">
      <c r="A716" s="6">
        <v>71002</v>
      </c>
      <c r="B716" s="6" t="s">
        <v>2096</v>
      </c>
    </row>
    <row r="717" spans="1:2" ht="15.75" customHeight="1" x14ac:dyDescent="0.25">
      <c r="A717" s="6">
        <v>71003</v>
      </c>
      <c r="B717" s="6" t="s">
        <v>2097</v>
      </c>
    </row>
    <row r="718" spans="1:2" ht="15.75" customHeight="1" x14ac:dyDescent="0.25">
      <c r="A718" s="6">
        <v>1001</v>
      </c>
      <c r="B718" s="6" t="s">
        <v>1120</v>
      </c>
    </row>
    <row r="719" spans="1:2" ht="15.75" customHeight="1" x14ac:dyDescent="0.25">
      <c r="A719" s="6">
        <v>1008</v>
      </c>
      <c r="B719" s="6" t="s">
        <v>1322</v>
      </c>
    </row>
    <row r="720" spans="1:2" ht="15.75" customHeight="1" x14ac:dyDescent="0.25">
      <c r="A720" s="6">
        <v>1010</v>
      </c>
      <c r="B720" s="6" t="s">
        <v>954</v>
      </c>
    </row>
    <row r="721" spans="1:2" ht="15.75" customHeight="1" x14ac:dyDescent="0.25">
      <c r="A721" s="6">
        <v>1013</v>
      </c>
      <c r="B721" s="6" t="s">
        <v>1304</v>
      </c>
    </row>
    <row r="722" spans="1:2" ht="15.75" customHeight="1" x14ac:dyDescent="0.25">
      <c r="A722" s="6">
        <v>1014</v>
      </c>
      <c r="B722" s="6" t="s">
        <v>827</v>
      </c>
    </row>
    <row r="723" spans="1:2" ht="15.75" customHeight="1" x14ac:dyDescent="0.25">
      <c r="A723" s="6">
        <v>1015</v>
      </c>
      <c r="B723" s="6" t="s">
        <v>835</v>
      </c>
    </row>
    <row r="724" spans="1:2" ht="15.75" customHeight="1" x14ac:dyDescent="0.25">
      <c r="A724" s="6">
        <v>1016</v>
      </c>
      <c r="B724" s="6" t="s">
        <v>849</v>
      </c>
    </row>
    <row r="725" spans="1:2" ht="15.75" customHeight="1" x14ac:dyDescent="0.25">
      <c r="A725" s="6">
        <v>1017</v>
      </c>
      <c r="B725" s="6" t="s">
        <v>1450</v>
      </c>
    </row>
    <row r="726" spans="1:2" ht="15.75" customHeight="1" x14ac:dyDescent="0.25">
      <c r="A726" s="6">
        <v>1018</v>
      </c>
      <c r="B726" s="6" t="s">
        <v>1449</v>
      </c>
    </row>
    <row r="727" spans="1:2" ht="15.75" customHeight="1" x14ac:dyDescent="0.25">
      <c r="A727" s="6">
        <v>1019</v>
      </c>
      <c r="B727" s="6" t="s">
        <v>1408</v>
      </c>
    </row>
    <row r="728" spans="1:2" ht="15.75" customHeight="1" x14ac:dyDescent="0.25">
      <c r="A728" s="6">
        <v>1020</v>
      </c>
      <c r="B728" s="6" t="s">
        <v>846</v>
      </c>
    </row>
    <row r="729" spans="1:2" ht="15.75" customHeight="1" x14ac:dyDescent="0.25">
      <c r="A729" s="6">
        <v>1021</v>
      </c>
      <c r="B729" s="6" t="s">
        <v>990</v>
      </c>
    </row>
    <row r="730" spans="1:2" ht="15.75" customHeight="1" x14ac:dyDescent="0.25">
      <c r="A730" s="6">
        <v>1022</v>
      </c>
      <c r="B730" s="6" t="s">
        <v>847</v>
      </c>
    </row>
    <row r="731" spans="1:2" ht="15.75" customHeight="1" x14ac:dyDescent="0.25">
      <c r="A731" s="6">
        <v>1024</v>
      </c>
      <c r="B731" s="6" t="s">
        <v>1243</v>
      </c>
    </row>
    <row r="732" spans="1:2" ht="15.75" customHeight="1" x14ac:dyDescent="0.25">
      <c r="A732" s="6">
        <v>1025</v>
      </c>
      <c r="B732" s="6" t="s">
        <v>1242</v>
      </c>
    </row>
    <row r="733" spans="1:2" ht="15.75" customHeight="1" x14ac:dyDescent="0.25">
      <c r="A733" s="6">
        <v>1027</v>
      </c>
      <c r="B733" s="6" t="s">
        <v>1254</v>
      </c>
    </row>
    <row r="734" spans="1:2" ht="15.75" customHeight="1" x14ac:dyDescent="0.25">
      <c r="A734" s="6">
        <v>1029</v>
      </c>
      <c r="B734" s="6" t="s">
        <v>851</v>
      </c>
    </row>
    <row r="735" spans="1:2" ht="15.75" customHeight="1" x14ac:dyDescent="0.25">
      <c r="A735" s="6">
        <v>1033</v>
      </c>
      <c r="B735" s="6" t="s">
        <v>1244</v>
      </c>
    </row>
    <row r="736" spans="1:2" ht="15.75" customHeight="1" x14ac:dyDescent="0.25">
      <c r="A736" s="6">
        <v>1034</v>
      </c>
      <c r="B736" s="6" t="s">
        <v>1245</v>
      </c>
    </row>
    <row r="737" spans="1:2" ht="15.75" customHeight="1" x14ac:dyDescent="0.25">
      <c r="A737" s="6">
        <v>1039</v>
      </c>
      <c r="B737" s="6" t="s">
        <v>1246</v>
      </c>
    </row>
    <row r="738" spans="1:2" ht="15.75" customHeight="1" x14ac:dyDescent="0.25">
      <c r="A738" s="6">
        <v>1040</v>
      </c>
      <c r="B738" s="6" t="s">
        <v>1581</v>
      </c>
    </row>
    <row r="739" spans="1:2" ht="15.75" customHeight="1" x14ac:dyDescent="0.25">
      <c r="A739" s="6">
        <v>1043</v>
      </c>
      <c r="B739" s="6" t="s">
        <v>1406</v>
      </c>
    </row>
    <row r="740" spans="1:2" ht="15.75" customHeight="1" x14ac:dyDescent="0.25">
      <c r="A740" s="6">
        <v>1045</v>
      </c>
      <c r="B740" s="6" t="s">
        <v>1580</v>
      </c>
    </row>
    <row r="741" spans="1:2" ht="15.75" customHeight="1" x14ac:dyDescent="0.25">
      <c r="A741" s="6">
        <v>1048</v>
      </c>
      <c r="B741" s="6" t="s">
        <v>666</v>
      </c>
    </row>
    <row r="742" spans="1:2" ht="15.75" customHeight="1" x14ac:dyDescent="0.25">
      <c r="A742" s="6">
        <v>1051</v>
      </c>
      <c r="B742" s="6" t="s">
        <v>1409</v>
      </c>
    </row>
    <row r="743" spans="1:2" ht="15.75" customHeight="1" x14ac:dyDescent="0.25">
      <c r="A743" s="6">
        <v>1054</v>
      </c>
      <c r="B743" s="6" t="s">
        <v>1410</v>
      </c>
    </row>
    <row r="744" spans="1:2" ht="15.75" customHeight="1" x14ac:dyDescent="0.25">
      <c r="A744" s="6">
        <v>1070</v>
      </c>
      <c r="B744" s="6" t="s">
        <v>1305</v>
      </c>
    </row>
    <row r="745" spans="1:2" ht="15.75" customHeight="1" x14ac:dyDescent="0.25">
      <c r="A745" s="6">
        <v>1071</v>
      </c>
      <c r="B745" s="6" t="s">
        <v>1324</v>
      </c>
    </row>
    <row r="746" spans="1:2" ht="15.75" customHeight="1" x14ac:dyDescent="0.25">
      <c r="A746" s="6">
        <v>1072</v>
      </c>
      <c r="B746" s="6" t="s">
        <v>1327</v>
      </c>
    </row>
    <row r="747" spans="1:2" ht="15.75" customHeight="1" x14ac:dyDescent="0.25">
      <c r="A747" s="6">
        <v>1073</v>
      </c>
      <c r="B747" s="6" t="s">
        <v>1314</v>
      </c>
    </row>
    <row r="748" spans="1:2" ht="15.75" customHeight="1" x14ac:dyDescent="0.25">
      <c r="A748" s="6">
        <v>1074</v>
      </c>
      <c r="B748" s="6" t="s">
        <v>1315</v>
      </c>
    </row>
    <row r="749" spans="1:2" ht="15.75" customHeight="1" x14ac:dyDescent="0.25">
      <c r="A749" s="6">
        <v>1075</v>
      </c>
      <c r="B749" s="6" t="s">
        <v>1319</v>
      </c>
    </row>
    <row r="750" spans="1:2" ht="15.75" customHeight="1" x14ac:dyDescent="0.25">
      <c r="A750" s="6">
        <v>1076</v>
      </c>
      <c r="B750" s="6" t="s">
        <v>1320</v>
      </c>
    </row>
    <row r="751" spans="1:2" ht="15.75" customHeight="1" x14ac:dyDescent="0.25">
      <c r="A751" s="6">
        <v>1077</v>
      </c>
      <c r="B751" s="6" t="s">
        <v>845</v>
      </c>
    </row>
    <row r="752" spans="1:2" ht="15.75" customHeight="1" x14ac:dyDescent="0.25">
      <c r="A752" s="6">
        <v>1078</v>
      </c>
      <c r="B752" s="6" t="s">
        <v>1129</v>
      </c>
    </row>
    <row r="753" spans="1:2" ht="15.75" customHeight="1" x14ac:dyDescent="0.25">
      <c r="A753" s="6">
        <v>1079</v>
      </c>
      <c r="B753" s="6" t="s">
        <v>1139</v>
      </c>
    </row>
    <row r="754" spans="1:2" ht="15.75" customHeight="1" x14ac:dyDescent="0.25">
      <c r="A754" s="6">
        <v>1080</v>
      </c>
      <c r="B754" s="6" t="s">
        <v>1412</v>
      </c>
    </row>
    <row r="755" spans="1:2" ht="15.75" customHeight="1" x14ac:dyDescent="0.25">
      <c r="A755" s="6">
        <v>1081</v>
      </c>
      <c r="B755" s="6" t="s">
        <v>1011</v>
      </c>
    </row>
    <row r="756" spans="1:2" ht="15.75" customHeight="1" x14ac:dyDescent="0.25">
      <c r="A756" s="6">
        <v>1084</v>
      </c>
      <c r="B756" s="6" t="s">
        <v>836</v>
      </c>
    </row>
    <row r="757" spans="1:2" ht="15.75" customHeight="1" x14ac:dyDescent="0.25">
      <c r="A757" s="6">
        <v>1085</v>
      </c>
      <c r="B757" s="6" t="s">
        <v>837</v>
      </c>
    </row>
    <row r="758" spans="1:2" ht="15.75" customHeight="1" x14ac:dyDescent="0.25">
      <c r="A758" s="6">
        <v>1086</v>
      </c>
      <c r="B758" s="6" t="s">
        <v>1130</v>
      </c>
    </row>
    <row r="759" spans="1:2" ht="15.75" customHeight="1" x14ac:dyDescent="0.25">
      <c r="A759" s="6">
        <v>1087</v>
      </c>
      <c r="B759" s="6" t="s">
        <v>1140</v>
      </c>
    </row>
    <row r="760" spans="1:2" ht="15.75" customHeight="1" x14ac:dyDescent="0.25">
      <c r="A760" s="6">
        <v>1093</v>
      </c>
      <c r="B760" s="6" t="s">
        <v>1247</v>
      </c>
    </row>
    <row r="761" spans="1:2" ht="15.75" customHeight="1" x14ac:dyDescent="0.25">
      <c r="A761" s="6">
        <v>1094</v>
      </c>
      <c r="B761" s="6" t="s">
        <v>1248</v>
      </c>
    </row>
    <row r="762" spans="1:2" ht="15.75" customHeight="1" x14ac:dyDescent="0.25">
      <c r="A762" s="6">
        <v>1095</v>
      </c>
      <c r="B762" s="6" t="s">
        <v>1082</v>
      </c>
    </row>
    <row r="763" spans="1:2" ht="15.75" customHeight="1" x14ac:dyDescent="0.25">
      <c r="A763" s="6">
        <v>1096</v>
      </c>
      <c r="B763" s="6" t="s">
        <v>1086</v>
      </c>
    </row>
    <row r="764" spans="1:2" ht="15.75" customHeight="1" x14ac:dyDescent="0.25">
      <c r="A764" s="6">
        <v>1104</v>
      </c>
      <c r="B764" s="6" t="s">
        <v>1318</v>
      </c>
    </row>
    <row r="765" spans="1:2" ht="15.75" customHeight="1" x14ac:dyDescent="0.25">
      <c r="A765" s="6">
        <v>1105</v>
      </c>
      <c r="B765" s="6" t="s">
        <v>1321</v>
      </c>
    </row>
    <row r="766" spans="1:2" ht="15.75" customHeight="1" x14ac:dyDescent="0.25">
      <c r="A766" s="6">
        <v>1106</v>
      </c>
      <c r="B766" s="6" t="s">
        <v>1239</v>
      </c>
    </row>
    <row r="767" spans="1:2" ht="15.75" customHeight="1" x14ac:dyDescent="0.25">
      <c r="A767" s="6">
        <v>1107</v>
      </c>
      <c r="B767" s="6" t="s">
        <v>834</v>
      </c>
    </row>
    <row r="768" spans="1:2" ht="15.75" customHeight="1" x14ac:dyDescent="0.25">
      <c r="A768" s="6">
        <v>1110</v>
      </c>
      <c r="B768" s="6" t="s">
        <v>1323</v>
      </c>
    </row>
    <row r="769" spans="1:2" ht="15.75" customHeight="1" x14ac:dyDescent="0.25">
      <c r="A769" s="6">
        <v>1111</v>
      </c>
      <c r="B769" s="6" t="s">
        <v>848</v>
      </c>
    </row>
    <row r="770" spans="1:2" ht="15.75" customHeight="1" x14ac:dyDescent="0.25">
      <c r="A770" s="6">
        <v>1112</v>
      </c>
      <c r="B770" s="6" t="s">
        <v>1405</v>
      </c>
    </row>
    <row r="771" spans="1:2" ht="15.75" customHeight="1" x14ac:dyDescent="0.25">
      <c r="A771" s="6">
        <v>1113</v>
      </c>
      <c r="B771" s="6" t="s">
        <v>1407</v>
      </c>
    </row>
    <row r="772" spans="1:2" ht="15.75" customHeight="1" x14ac:dyDescent="0.25">
      <c r="A772" s="6">
        <v>1114</v>
      </c>
      <c r="B772" s="6" t="s">
        <v>950</v>
      </c>
    </row>
    <row r="773" spans="1:2" ht="15.75" customHeight="1" x14ac:dyDescent="0.25">
      <c r="A773" s="6">
        <v>1115</v>
      </c>
      <c r="B773" s="6" t="s">
        <v>956</v>
      </c>
    </row>
    <row r="774" spans="1:2" ht="15.75" customHeight="1" x14ac:dyDescent="0.25">
      <c r="A774" s="6">
        <v>1116</v>
      </c>
      <c r="B774" s="6" t="s">
        <v>955</v>
      </c>
    </row>
    <row r="775" spans="1:2" ht="15.75" customHeight="1" x14ac:dyDescent="0.25">
      <c r="A775" s="6">
        <v>1117</v>
      </c>
      <c r="B775" s="6" t="s">
        <v>839</v>
      </c>
    </row>
    <row r="776" spans="1:2" ht="15.75" customHeight="1" x14ac:dyDescent="0.25">
      <c r="A776" s="6">
        <v>1120</v>
      </c>
      <c r="B776" s="6" t="s">
        <v>1237</v>
      </c>
    </row>
    <row r="777" spans="1:2" ht="15.75" customHeight="1" x14ac:dyDescent="0.25">
      <c r="A777" s="6">
        <v>1121</v>
      </c>
      <c r="B777" s="6" t="s">
        <v>1238</v>
      </c>
    </row>
    <row r="778" spans="1:2" ht="15.75" customHeight="1" x14ac:dyDescent="0.25">
      <c r="A778" s="6">
        <v>1123</v>
      </c>
      <c r="B778" s="6" t="s">
        <v>1404</v>
      </c>
    </row>
    <row r="779" spans="1:2" ht="15.75" customHeight="1" x14ac:dyDescent="0.25">
      <c r="A779" s="6">
        <v>1124</v>
      </c>
      <c r="B779" s="6" t="s">
        <v>840</v>
      </c>
    </row>
    <row r="780" spans="1:2" ht="15.75" customHeight="1" x14ac:dyDescent="0.25">
      <c r="A780" s="6">
        <v>1125</v>
      </c>
      <c r="B780" s="6" t="s">
        <v>953</v>
      </c>
    </row>
    <row r="781" spans="1:2" ht="15.75" customHeight="1" x14ac:dyDescent="0.25">
      <c r="A781" s="6">
        <v>1128</v>
      </c>
      <c r="B781" s="6" t="s">
        <v>838</v>
      </c>
    </row>
    <row r="782" spans="1:2" ht="15.75" customHeight="1" x14ac:dyDescent="0.25">
      <c r="A782" s="6">
        <v>1129</v>
      </c>
      <c r="B782" s="6" t="s">
        <v>751</v>
      </c>
    </row>
    <row r="783" spans="1:2" ht="15.75" customHeight="1" x14ac:dyDescent="0.25">
      <c r="A783" s="6">
        <v>1134</v>
      </c>
      <c r="B783" s="6" t="s">
        <v>1329</v>
      </c>
    </row>
    <row r="784" spans="1:2" ht="15.75" customHeight="1" x14ac:dyDescent="0.25">
      <c r="A784" s="6">
        <v>1136</v>
      </c>
      <c r="B784" s="6" t="s">
        <v>951</v>
      </c>
    </row>
    <row r="785" spans="1:2" ht="15.75" customHeight="1" x14ac:dyDescent="0.25">
      <c r="A785" s="6">
        <v>1137</v>
      </c>
      <c r="B785" s="6" t="s">
        <v>957</v>
      </c>
    </row>
    <row r="786" spans="1:2" ht="15.75" customHeight="1" x14ac:dyDescent="0.25">
      <c r="A786" s="6">
        <v>1138</v>
      </c>
      <c r="B786" s="6" t="s">
        <v>952</v>
      </c>
    </row>
    <row r="787" spans="1:2" ht="15.75" customHeight="1" x14ac:dyDescent="0.25">
      <c r="A787" s="6">
        <v>1141</v>
      </c>
      <c r="B787" s="6" t="s">
        <v>828</v>
      </c>
    </row>
    <row r="788" spans="1:2" ht="15.75" customHeight="1" x14ac:dyDescent="0.25">
      <c r="A788" s="6">
        <v>1142</v>
      </c>
      <c r="B788" s="6" t="s">
        <v>831</v>
      </c>
    </row>
    <row r="789" spans="1:2" ht="15.75" customHeight="1" x14ac:dyDescent="0.25">
      <c r="A789" s="6">
        <v>1144</v>
      </c>
      <c r="B789" s="6" t="s">
        <v>1018</v>
      </c>
    </row>
    <row r="790" spans="1:2" ht="15.75" customHeight="1" x14ac:dyDescent="0.25">
      <c r="A790" s="6">
        <v>1145</v>
      </c>
      <c r="B790" s="6" t="s">
        <v>1240</v>
      </c>
    </row>
    <row r="791" spans="1:2" ht="15.75" customHeight="1" x14ac:dyDescent="0.25">
      <c r="A791" s="6">
        <v>1146</v>
      </c>
      <c r="B791" s="6" t="s">
        <v>829</v>
      </c>
    </row>
    <row r="792" spans="1:2" ht="15.75" customHeight="1" x14ac:dyDescent="0.25">
      <c r="A792" s="6">
        <v>1147</v>
      </c>
      <c r="B792" s="6" t="s">
        <v>832</v>
      </c>
    </row>
    <row r="793" spans="1:2" ht="15.75" customHeight="1" x14ac:dyDescent="0.25">
      <c r="A793" s="6">
        <v>1151</v>
      </c>
      <c r="B793" s="6" t="s">
        <v>1123</v>
      </c>
    </row>
    <row r="794" spans="1:2" ht="15.75" customHeight="1" x14ac:dyDescent="0.25">
      <c r="A794" s="6">
        <v>1153</v>
      </c>
      <c r="B794" s="6" t="s">
        <v>1124</v>
      </c>
    </row>
    <row r="795" spans="1:2" ht="15.75" customHeight="1" x14ac:dyDescent="0.25">
      <c r="A795" s="6">
        <v>1154</v>
      </c>
      <c r="B795" s="6" t="s">
        <v>1125</v>
      </c>
    </row>
    <row r="796" spans="1:2" ht="15.75" customHeight="1" x14ac:dyDescent="0.25">
      <c r="A796" s="6">
        <v>1155</v>
      </c>
      <c r="B796" s="6" t="s">
        <v>841</v>
      </c>
    </row>
    <row r="797" spans="1:2" ht="15.75" customHeight="1" x14ac:dyDescent="0.25">
      <c r="A797" s="6">
        <v>1157</v>
      </c>
      <c r="B797" s="6" t="s">
        <v>1147</v>
      </c>
    </row>
    <row r="798" spans="1:2" ht="15.75" customHeight="1" x14ac:dyDescent="0.25">
      <c r="A798" s="6">
        <v>1159</v>
      </c>
      <c r="B798" s="6" t="s">
        <v>1138</v>
      </c>
    </row>
    <row r="799" spans="1:2" ht="15.75" customHeight="1" x14ac:dyDescent="0.25">
      <c r="A799" s="6">
        <v>1160</v>
      </c>
      <c r="B799" s="6" t="s">
        <v>1306</v>
      </c>
    </row>
    <row r="800" spans="1:2" ht="15.75" customHeight="1" x14ac:dyDescent="0.25">
      <c r="A800" s="6">
        <v>1161</v>
      </c>
      <c r="B800" s="6" t="s">
        <v>1146</v>
      </c>
    </row>
    <row r="801" spans="1:2" ht="15.75" customHeight="1" x14ac:dyDescent="0.25">
      <c r="A801" s="6">
        <v>1163</v>
      </c>
      <c r="B801" s="6" t="s">
        <v>1333</v>
      </c>
    </row>
    <row r="802" spans="1:2" ht="15.75" customHeight="1" x14ac:dyDescent="0.25">
      <c r="A802" s="6">
        <v>1164</v>
      </c>
      <c r="B802" s="6" t="s">
        <v>1141</v>
      </c>
    </row>
    <row r="803" spans="1:2" ht="15.75" customHeight="1" x14ac:dyDescent="0.25">
      <c r="A803" s="6">
        <v>1166</v>
      </c>
      <c r="B803" s="6" t="s">
        <v>1338</v>
      </c>
    </row>
    <row r="804" spans="1:2" ht="15.75" customHeight="1" x14ac:dyDescent="0.25">
      <c r="A804" s="6">
        <v>1168</v>
      </c>
      <c r="B804" s="6" t="s">
        <v>1133</v>
      </c>
    </row>
    <row r="805" spans="1:2" ht="15.75" customHeight="1" x14ac:dyDescent="0.25">
      <c r="A805" s="6">
        <v>1169</v>
      </c>
      <c r="B805" s="6" t="s">
        <v>1142</v>
      </c>
    </row>
    <row r="806" spans="1:2" ht="15.75" customHeight="1" x14ac:dyDescent="0.25">
      <c r="A806" s="6">
        <v>1170</v>
      </c>
      <c r="B806" s="6" t="s">
        <v>989</v>
      </c>
    </row>
    <row r="807" spans="1:2" ht="15.75" customHeight="1" x14ac:dyDescent="0.25">
      <c r="A807" s="6">
        <v>1171</v>
      </c>
      <c r="B807" s="6" t="s">
        <v>1342</v>
      </c>
    </row>
    <row r="808" spans="1:2" ht="15.75" customHeight="1" x14ac:dyDescent="0.25">
      <c r="A808" s="6">
        <v>1173</v>
      </c>
      <c r="B808" s="6" t="s">
        <v>755</v>
      </c>
    </row>
    <row r="809" spans="1:2" ht="15.75" customHeight="1" x14ac:dyDescent="0.25">
      <c r="A809" s="6">
        <v>1174</v>
      </c>
      <c r="B809" s="6" t="s">
        <v>754</v>
      </c>
    </row>
    <row r="810" spans="1:2" ht="15.75" customHeight="1" x14ac:dyDescent="0.25">
      <c r="A810" s="6">
        <v>1177</v>
      </c>
      <c r="B810" s="6" t="s">
        <v>1136</v>
      </c>
    </row>
    <row r="811" spans="1:2" ht="15.75" customHeight="1" x14ac:dyDescent="0.25">
      <c r="A811" s="6">
        <v>1180</v>
      </c>
      <c r="B811" s="6" t="s">
        <v>1334</v>
      </c>
    </row>
    <row r="812" spans="1:2" ht="15.75" customHeight="1" x14ac:dyDescent="0.25">
      <c r="A812" s="6">
        <v>1181</v>
      </c>
      <c r="B812" s="6" t="s">
        <v>1127</v>
      </c>
    </row>
    <row r="813" spans="1:2" ht="15.75" customHeight="1" x14ac:dyDescent="0.25">
      <c r="A813" s="6">
        <v>1182</v>
      </c>
      <c r="B813" s="6" t="s">
        <v>1126</v>
      </c>
    </row>
    <row r="814" spans="1:2" ht="15.75" customHeight="1" x14ac:dyDescent="0.25">
      <c r="A814" s="6">
        <v>1183</v>
      </c>
      <c r="B814" s="6" t="s">
        <v>1135</v>
      </c>
    </row>
    <row r="815" spans="1:2" ht="15.75" customHeight="1" x14ac:dyDescent="0.25">
      <c r="A815" s="6">
        <v>1186</v>
      </c>
      <c r="B815" s="6" t="s">
        <v>1325</v>
      </c>
    </row>
    <row r="816" spans="1:2" ht="15.75" customHeight="1" x14ac:dyDescent="0.25">
      <c r="A816" s="6">
        <v>1187</v>
      </c>
      <c r="B816" s="6" t="s">
        <v>1132</v>
      </c>
    </row>
    <row r="817" spans="1:2" ht="15.75" customHeight="1" x14ac:dyDescent="0.25">
      <c r="A817" s="6">
        <v>1190</v>
      </c>
      <c r="B817" s="6" t="s">
        <v>1137</v>
      </c>
    </row>
    <row r="818" spans="1:2" ht="15.75" customHeight="1" x14ac:dyDescent="0.25">
      <c r="A818" s="6">
        <v>1191</v>
      </c>
      <c r="B818" s="6" t="s">
        <v>1128</v>
      </c>
    </row>
    <row r="819" spans="1:2" ht="15.75" customHeight="1" x14ac:dyDescent="0.25">
      <c r="A819" s="6">
        <v>1196</v>
      </c>
      <c r="B819" s="6" t="s">
        <v>1619</v>
      </c>
    </row>
    <row r="820" spans="1:2" ht="15.75" customHeight="1" x14ac:dyDescent="0.25">
      <c r="A820" s="6">
        <v>1197</v>
      </c>
      <c r="B820" s="6" t="s">
        <v>1620</v>
      </c>
    </row>
    <row r="821" spans="1:2" ht="15.75" customHeight="1" x14ac:dyDescent="0.25">
      <c r="A821" s="6">
        <v>1198</v>
      </c>
      <c r="B821" s="6" t="s">
        <v>1621</v>
      </c>
    </row>
    <row r="822" spans="1:2" ht="15.75" customHeight="1" x14ac:dyDescent="0.25">
      <c r="A822" s="6">
        <v>101001</v>
      </c>
      <c r="B822" s="6" t="s">
        <v>667</v>
      </c>
    </row>
    <row r="823" spans="1:2" ht="15.75" customHeight="1" x14ac:dyDescent="0.25">
      <c r="A823" s="6">
        <v>101004</v>
      </c>
      <c r="B823" s="6" t="s">
        <v>24</v>
      </c>
    </row>
    <row r="824" spans="1:2" ht="15.75" customHeight="1" x14ac:dyDescent="0.25">
      <c r="A824" s="6">
        <v>101006</v>
      </c>
      <c r="B824" s="6" t="s">
        <v>240</v>
      </c>
    </row>
    <row r="825" spans="1:2" ht="15.75" customHeight="1" x14ac:dyDescent="0.25">
      <c r="A825" s="6">
        <v>101012</v>
      </c>
      <c r="B825" s="6" t="s">
        <v>669</v>
      </c>
    </row>
    <row r="826" spans="1:2" ht="15.75" customHeight="1" x14ac:dyDescent="0.25">
      <c r="A826" s="6">
        <v>101018</v>
      </c>
      <c r="B826" s="6" t="s">
        <v>1411</v>
      </c>
    </row>
    <row r="827" spans="1:2" ht="15.75" customHeight="1" x14ac:dyDescent="0.25">
      <c r="A827" s="6">
        <v>4001</v>
      </c>
      <c r="B827" s="6" t="s">
        <v>1083</v>
      </c>
    </row>
    <row r="828" spans="1:2" ht="15.75" customHeight="1" x14ac:dyDescent="0.25">
      <c r="A828" s="6">
        <v>4002</v>
      </c>
      <c r="B828" s="6" t="s">
        <v>1087</v>
      </c>
    </row>
    <row r="829" spans="1:2" ht="15.75" customHeight="1" x14ac:dyDescent="0.25">
      <c r="A829" s="6">
        <v>4003</v>
      </c>
      <c r="B829" s="6" t="s">
        <v>1088</v>
      </c>
    </row>
    <row r="830" spans="1:2" ht="15.75" customHeight="1" x14ac:dyDescent="0.25">
      <c r="A830" s="6">
        <v>4004</v>
      </c>
      <c r="B830" s="6" t="s">
        <v>1085</v>
      </c>
    </row>
    <row r="831" spans="1:2" ht="15.75" customHeight="1" x14ac:dyDescent="0.25">
      <c r="A831" s="6">
        <v>206001</v>
      </c>
      <c r="B831" s="6" t="s">
        <v>1548</v>
      </c>
    </row>
    <row r="832" spans="1:2" ht="15.75" customHeight="1" x14ac:dyDescent="0.25">
      <c r="A832" s="6">
        <v>206002</v>
      </c>
      <c r="B832" s="6" t="s">
        <v>1547</v>
      </c>
    </row>
    <row r="833" spans="1:2" ht="15.75" customHeight="1" x14ac:dyDescent="0.25">
      <c r="A833" s="6">
        <v>206003</v>
      </c>
      <c r="B833" s="6" t="s">
        <v>1108</v>
      </c>
    </row>
    <row r="834" spans="1:2" ht="15.75" customHeight="1" x14ac:dyDescent="0.25">
      <c r="A834" s="6">
        <v>206004</v>
      </c>
      <c r="B834" s="6" t="s">
        <v>963</v>
      </c>
    </row>
    <row r="835" spans="1:2" ht="15.75" customHeight="1" x14ac:dyDescent="0.25">
      <c r="A835" s="6">
        <v>206005</v>
      </c>
      <c r="B835" s="6" t="s">
        <v>1213</v>
      </c>
    </row>
    <row r="836" spans="1:2" ht="15.75" customHeight="1" x14ac:dyDescent="0.25">
      <c r="A836" s="6">
        <v>206006</v>
      </c>
      <c r="B836" s="6" t="s">
        <v>1041</v>
      </c>
    </row>
    <row r="837" spans="1:2" ht="15.75" customHeight="1" x14ac:dyDescent="0.25">
      <c r="A837" s="6">
        <v>206007</v>
      </c>
      <c r="B837" s="6" t="s">
        <v>1228</v>
      </c>
    </row>
    <row r="838" spans="1:2" ht="15.75" customHeight="1" x14ac:dyDescent="0.25">
      <c r="A838" s="6">
        <v>7001</v>
      </c>
      <c r="B838" s="6" t="s">
        <v>1585</v>
      </c>
    </row>
    <row r="839" spans="1:2" ht="15.75" customHeight="1" x14ac:dyDescent="0.25">
      <c r="A839" s="6">
        <v>7002</v>
      </c>
      <c r="B839" s="6" t="s">
        <v>1583</v>
      </c>
    </row>
    <row r="840" spans="1:2" ht="15.75" customHeight="1" x14ac:dyDescent="0.25">
      <c r="A840" s="6">
        <v>7003</v>
      </c>
      <c r="B840" s="6" t="s">
        <v>1584</v>
      </c>
    </row>
    <row r="841" spans="1:2" ht="15.75" customHeight="1" x14ac:dyDescent="0.25">
      <c r="A841" s="6">
        <v>7004</v>
      </c>
      <c r="B841" s="6" t="s">
        <v>1561</v>
      </c>
    </row>
    <row r="842" spans="1:2" ht="15.75" customHeight="1" x14ac:dyDescent="0.25">
      <c r="A842" s="6">
        <v>7005</v>
      </c>
      <c r="B842" s="6" t="s">
        <v>1558</v>
      </c>
    </row>
    <row r="843" spans="1:2" ht="15.75" customHeight="1" x14ac:dyDescent="0.25">
      <c r="A843" s="6">
        <v>7006</v>
      </c>
      <c r="B843" s="6" t="s">
        <v>1559</v>
      </c>
    </row>
    <row r="844" spans="1:2" ht="15.75" customHeight="1" x14ac:dyDescent="0.25">
      <c r="A844" s="6">
        <v>7007</v>
      </c>
      <c r="B844" s="6" t="s">
        <v>1560</v>
      </c>
    </row>
    <row r="845" spans="1:2" ht="15.75" customHeight="1" x14ac:dyDescent="0.25">
      <c r="A845" s="6">
        <v>7008</v>
      </c>
      <c r="B845" s="6" t="s">
        <v>1225</v>
      </c>
    </row>
    <row r="846" spans="1:2" ht="15.75" customHeight="1" x14ac:dyDescent="0.25">
      <c r="A846" s="6">
        <v>7009</v>
      </c>
      <c r="B846" s="6" t="s">
        <v>1222</v>
      </c>
    </row>
    <row r="847" spans="1:2" ht="15.75" customHeight="1" x14ac:dyDescent="0.25">
      <c r="A847" s="6">
        <v>7010</v>
      </c>
      <c r="B847" s="6" t="s">
        <v>1223</v>
      </c>
    </row>
    <row r="848" spans="1:2" ht="15.75" customHeight="1" x14ac:dyDescent="0.25">
      <c r="A848" s="6">
        <v>7011</v>
      </c>
      <c r="B848" s="6" t="s">
        <v>1224</v>
      </c>
    </row>
    <row r="849" spans="1:2" ht="15.75" customHeight="1" x14ac:dyDescent="0.25">
      <c r="A849" s="6">
        <v>209007</v>
      </c>
      <c r="B849" s="6" t="s">
        <v>1157</v>
      </c>
    </row>
    <row r="850" spans="1:2" ht="15.75" customHeight="1" x14ac:dyDescent="0.25">
      <c r="A850" s="6">
        <v>209011</v>
      </c>
      <c r="B850" s="6" t="s">
        <v>1040</v>
      </c>
    </row>
    <row r="851" spans="1:2" ht="15.75" customHeight="1" x14ac:dyDescent="0.25">
      <c r="A851" s="6">
        <v>209015</v>
      </c>
      <c r="B851" s="6" t="s">
        <v>914</v>
      </c>
    </row>
    <row r="852" spans="1:2" ht="15.75" customHeight="1" x14ac:dyDescent="0.25">
      <c r="A852" s="6">
        <v>209016</v>
      </c>
      <c r="B852" s="6" t="s">
        <v>1019</v>
      </c>
    </row>
    <row r="853" spans="1:2" ht="15.75" customHeight="1" x14ac:dyDescent="0.25">
      <c r="A853" s="6">
        <v>209017</v>
      </c>
      <c r="B853" s="6" t="s">
        <v>1379</v>
      </c>
    </row>
    <row r="854" spans="1:2" ht="15.75" customHeight="1" x14ac:dyDescent="0.25">
      <c r="A854" s="6">
        <v>209018</v>
      </c>
      <c r="B854" s="6" t="s">
        <v>1613</v>
      </c>
    </row>
    <row r="855" spans="1:2" ht="15.75" customHeight="1" x14ac:dyDescent="0.25">
      <c r="A855" s="6">
        <v>209027</v>
      </c>
      <c r="B855" s="6" t="s">
        <v>698</v>
      </c>
    </row>
    <row r="856" spans="1:2" ht="15.75" customHeight="1" x14ac:dyDescent="0.25">
      <c r="A856" s="6">
        <v>209030</v>
      </c>
      <c r="B856" s="6" t="s">
        <v>1582</v>
      </c>
    </row>
    <row r="857" spans="1:2" ht="15.75" customHeight="1" x14ac:dyDescent="0.25">
      <c r="A857" s="6">
        <v>309001</v>
      </c>
      <c r="B857" s="6" t="s">
        <v>1532</v>
      </c>
    </row>
    <row r="858" spans="1:2" ht="15.75" customHeight="1" x14ac:dyDescent="0.25">
      <c r="A858" s="6">
        <v>309002</v>
      </c>
      <c r="B858" s="6" t="s">
        <v>914</v>
      </c>
    </row>
    <row r="859" spans="1:2" ht="15.75" customHeight="1" x14ac:dyDescent="0.25">
      <c r="A859" s="6">
        <v>309003</v>
      </c>
      <c r="B859" s="6" t="s">
        <v>756</v>
      </c>
    </row>
    <row r="860" spans="1:2" ht="15.75" customHeight="1" x14ac:dyDescent="0.25">
      <c r="A860" s="6">
        <v>309004</v>
      </c>
      <c r="B860" s="6" t="s">
        <v>1357</v>
      </c>
    </row>
    <row r="861" spans="1:2" ht="15.75" customHeight="1" x14ac:dyDescent="0.25">
      <c r="A861" s="6">
        <v>309005</v>
      </c>
      <c r="B861" s="6" t="s">
        <v>1074</v>
      </c>
    </row>
    <row r="862" spans="1:2" ht="15.75" customHeight="1" x14ac:dyDescent="0.25">
      <c r="A862" s="6">
        <v>409001</v>
      </c>
      <c r="B862" s="6" t="s">
        <v>805</v>
      </c>
    </row>
    <row r="863" spans="1:2" ht="15.75" customHeight="1" x14ac:dyDescent="0.25">
      <c r="A863" s="6">
        <v>409009</v>
      </c>
      <c r="B863" s="6" t="s">
        <v>1602</v>
      </c>
    </row>
    <row r="864" spans="1:2" ht="15.75" customHeight="1" x14ac:dyDescent="0.25">
      <c r="A864" s="6">
        <v>409013</v>
      </c>
      <c r="B864" s="6" t="s">
        <v>826</v>
      </c>
    </row>
    <row r="865" spans="1:2" ht="15.75" customHeight="1" x14ac:dyDescent="0.25">
      <c r="A865" s="6">
        <v>409016</v>
      </c>
      <c r="B865" s="6" t="s">
        <v>971</v>
      </c>
    </row>
    <row r="866" spans="1:2" ht="15.75" customHeight="1" x14ac:dyDescent="0.25">
      <c r="A866" s="6">
        <v>409018</v>
      </c>
      <c r="B866" s="6" t="s">
        <v>870</v>
      </c>
    </row>
    <row r="867" spans="1:2" ht="15.75" customHeight="1" x14ac:dyDescent="0.25">
      <c r="A867" s="6">
        <v>409019</v>
      </c>
      <c r="B867" s="6" t="s">
        <v>944</v>
      </c>
    </row>
    <row r="868" spans="1:2" ht="15.75" customHeight="1" x14ac:dyDescent="0.25">
      <c r="A868" s="6">
        <v>409022</v>
      </c>
      <c r="B868" s="6" t="s">
        <v>1097</v>
      </c>
    </row>
    <row r="869" spans="1:2" ht="15.75" customHeight="1" x14ac:dyDescent="0.25">
      <c r="A869" s="6">
        <v>409024</v>
      </c>
      <c r="B869" s="6" t="s">
        <v>1546</v>
      </c>
    </row>
    <row r="870" spans="1:2" ht="15.75" customHeight="1" x14ac:dyDescent="0.25">
      <c r="A870" s="6">
        <v>409025</v>
      </c>
      <c r="B870" s="6" t="s">
        <v>1100</v>
      </c>
    </row>
    <row r="871" spans="1:2" ht="15.75" customHeight="1" x14ac:dyDescent="0.25">
      <c r="A871" s="6">
        <v>409029</v>
      </c>
      <c r="B871" s="6" t="s">
        <v>997</v>
      </c>
    </row>
    <row r="872" spans="1:2" ht="15.75" customHeight="1" x14ac:dyDescent="0.25">
      <c r="A872" s="6">
        <v>409031</v>
      </c>
      <c r="B872" s="6" t="s">
        <v>1046</v>
      </c>
    </row>
    <row r="873" spans="1:2" ht="15.75" customHeight="1" x14ac:dyDescent="0.25">
      <c r="A873" s="6">
        <v>409033</v>
      </c>
      <c r="B873" s="6" t="s">
        <v>1260</v>
      </c>
    </row>
    <row r="874" spans="1:2" ht="15.75" customHeight="1" x14ac:dyDescent="0.25">
      <c r="A874" s="6">
        <v>210001</v>
      </c>
      <c r="B874" s="6" t="s">
        <v>1612</v>
      </c>
    </row>
    <row r="875" spans="1:2" ht="15.75" customHeight="1" x14ac:dyDescent="0.25">
      <c r="A875" s="6">
        <v>210002</v>
      </c>
      <c r="B875" s="6" t="s">
        <v>1280</v>
      </c>
    </row>
    <row r="876" spans="1:2" ht="15.75" customHeight="1" x14ac:dyDescent="0.25">
      <c r="A876" s="6">
        <v>210003</v>
      </c>
      <c r="B876" s="6" t="s">
        <v>1281</v>
      </c>
    </row>
    <row r="877" spans="1:2" ht="15.75" customHeight="1" x14ac:dyDescent="0.25">
      <c r="A877" s="6">
        <v>210004</v>
      </c>
      <c r="B877" s="6" t="s">
        <v>1282</v>
      </c>
    </row>
    <row r="878" spans="1:2" ht="15.75" customHeight="1" x14ac:dyDescent="0.25">
      <c r="A878" s="6">
        <v>210005</v>
      </c>
      <c r="B878" s="6" t="s">
        <v>1283</v>
      </c>
    </row>
    <row r="879" spans="1:2" ht="15.75" customHeight="1" x14ac:dyDescent="0.25">
      <c r="A879" s="6">
        <v>210006</v>
      </c>
      <c r="B879" s="6" t="s">
        <v>1284</v>
      </c>
    </row>
    <row r="880" spans="1:2" ht="15.75" customHeight="1" x14ac:dyDescent="0.25">
      <c r="A880" s="6">
        <v>210007</v>
      </c>
      <c r="B880" s="6" t="s">
        <v>1285</v>
      </c>
    </row>
    <row r="881" spans="1:2" ht="15.75" customHeight="1" x14ac:dyDescent="0.25">
      <c r="A881" s="6">
        <v>210008</v>
      </c>
      <c r="B881" s="6" t="s">
        <v>1286</v>
      </c>
    </row>
    <row r="882" spans="1:2" ht="15.75" customHeight="1" x14ac:dyDescent="0.25">
      <c r="A882" s="6">
        <v>210009</v>
      </c>
      <c r="B882" s="6" t="s">
        <v>1287</v>
      </c>
    </row>
    <row r="883" spans="1:2" ht="15.75" customHeight="1" x14ac:dyDescent="0.25">
      <c r="A883" s="6">
        <v>210010</v>
      </c>
      <c r="B883" s="6" t="s">
        <v>1288</v>
      </c>
    </row>
    <row r="884" spans="1:2" ht="15.75" customHeight="1" x14ac:dyDescent="0.25">
      <c r="A884" s="6">
        <v>210011</v>
      </c>
      <c r="B884" s="6" t="s">
        <v>1289</v>
      </c>
    </row>
    <row r="885" spans="1:2" ht="15.75" customHeight="1" x14ac:dyDescent="0.25">
      <c r="A885" s="6">
        <v>210012</v>
      </c>
      <c r="B885" s="6" t="s">
        <v>1290</v>
      </c>
    </row>
    <row r="886" spans="1:2" ht="15.75" customHeight="1" x14ac:dyDescent="0.25">
      <c r="A886" s="6">
        <v>210013</v>
      </c>
      <c r="B886" s="6" t="s">
        <v>970</v>
      </c>
    </row>
    <row r="887" spans="1:2" ht="15.75" customHeight="1" x14ac:dyDescent="0.25">
      <c r="A887" s="6">
        <v>210014</v>
      </c>
      <c r="B887" s="6" t="s">
        <v>1556</v>
      </c>
    </row>
    <row r="888" spans="1:2" ht="15.75" customHeight="1" x14ac:dyDescent="0.25">
      <c r="A888" s="6">
        <v>210015</v>
      </c>
      <c r="B888" s="6" t="s">
        <v>869</v>
      </c>
    </row>
    <row r="889" spans="1:2" ht="15.75" customHeight="1" x14ac:dyDescent="0.25">
      <c r="A889" s="6">
        <v>210016</v>
      </c>
      <c r="B889" s="6" t="s">
        <v>1347</v>
      </c>
    </row>
    <row r="890" spans="1:2" ht="15.75" customHeight="1" x14ac:dyDescent="0.25">
      <c r="A890" s="6">
        <v>210017</v>
      </c>
      <c r="B890" s="6" t="s">
        <v>1374</v>
      </c>
    </row>
    <row r="891" spans="1:2" ht="15.75" customHeight="1" x14ac:dyDescent="0.25">
      <c r="A891" s="6">
        <v>210018</v>
      </c>
      <c r="B891" s="6" t="s">
        <v>978</v>
      </c>
    </row>
    <row r="892" spans="1:2" ht="15.75" customHeight="1" x14ac:dyDescent="0.25">
      <c r="A892" s="6">
        <v>210019</v>
      </c>
      <c r="B892" s="6" t="s">
        <v>966</v>
      </c>
    </row>
    <row r="893" spans="1:2" ht="15.75" customHeight="1" x14ac:dyDescent="0.25">
      <c r="A893" s="6">
        <v>210020</v>
      </c>
      <c r="B893" s="6" t="s">
        <v>1578</v>
      </c>
    </row>
    <row r="894" spans="1:2" ht="15.75" customHeight="1" x14ac:dyDescent="0.25">
      <c r="A894" s="6">
        <v>210021</v>
      </c>
      <c r="B894" s="6" t="s">
        <v>864</v>
      </c>
    </row>
    <row r="895" spans="1:2" ht="15.75" customHeight="1" x14ac:dyDescent="0.25">
      <c r="A895" s="6">
        <v>210022</v>
      </c>
      <c r="B895" s="6" t="s">
        <v>867</v>
      </c>
    </row>
    <row r="896" spans="1:2" ht="15.75" customHeight="1" x14ac:dyDescent="0.25">
      <c r="A896" s="6">
        <v>210023</v>
      </c>
      <c r="B896" s="6" t="s">
        <v>1052</v>
      </c>
    </row>
    <row r="897" spans="1:2" ht="15.75" customHeight="1" x14ac:dyDescent="0.25">
      <c r="A897" s="6">
        <v>210024</v>
      </c>
      <c r="B897" s="6" t="s">
        <v>1358</v>
      </c>
    </row>
    <row r="898" spans="1:2" ht="15.75" customHeight="1" x14ac:dyDescent="0.25">
      <c r="A898" s="6">
        <v>210025</v>
      </c>
      <c r="B898" s="6" t="s">
        <v>866</v>
      </c>
    </row>
    <row r="899" spans="1:2" ht="15.75" customHeight="1" x14ac:dyDescent="0.25">
      <c r="A899" s="6">
        <v>211001</v>
      </c>
      <c r="B899" s="6" t="s">
        <v>1349</v>
      </c>
    </row>
    <row r="900" spans="1:2" ht="15.75" customHeight="1" x14ac:dyDescent="0.25">
      <c r="A900" s="6">
        <v>211002</v>
      </c>
      <c r="B900" s="6" t="s">
        <v>697</v>
      </c>
    </row>
    <row r="901" spans="1:2" ht="15.75" customHeight="1" x14ac:dyDescent="0.25">
      <c r="A901" s="6">
        <v>211003</v>
      </c>
      <c r="B901" s="6" t="s">
        <v>1005</v>
      </c>
    </row>
    <row r="902" spans="1:2" ht="15.75" customHeight="1" x14ac:dyDescent="0.25">
      <c r="A902" s="6">
        <v>211004</v>
      </c>
      <c r="B902" s="6" t="s">
        <v>1350</v>
      </c>
    </row>
    <row r="903" spans="1:2" ht="15.75" customHeight="1" x14ac:dyDescent="0.25">
      <c r="A903" s="6">
        <v>211005</v>
      </c>
      <c r="B903" s="6" t="s">
        <v>1053</v>
      </c>
    </row>
    <row r="904" spans="1:2" ht="15.75" customHeight="1" x14ac:dyDescent="0.25">
      <c r="A904" s="6">
        <v>311001</v>
      </c>
      <c r="B904" s="6" t="s">
        <v>673</v>
      </c>
    </row>
    <row r="905" spans="1:2" ht="15.75" customHeight="1" x14ac:dyDescent="0.25">
      <c r="A905" s="6">
        <v>212001</v>
      </c>
      <c r="B905" s="6" t="s">
        <v>1231</v>
      </c>
    </row>
    <row r="906" spans="1:2" ht="15.75" customHeight="1" x14ac:dyDescent="0.25">
      <c r="A906" s="6">
        <v>212002</v>
      </c>
      <c r="B906" s="6" t="s">
        <v>910</v>
      </c>
    </row>
    <row r="907" spans="1:2" ht="15.75" customHeight="1" x14ac:dyDescent="0.25">
      <c r="A907" s="6">
        <v>212003</v>
      </c>
      <c r="B907" s="6" t="s">
        <v>856</v>
      </c>
    </row>
    <row r="908" spans="1:2" ht="15.75" customHeight="1" x14ac:dyDescent="0.25">
      <c r="A908" s="6">
        <v>212004</v>
      </c>
      <c r="B908" s="6" t="s">
        <v>1257</v>
      </c>
    </row>
    <row r="909" spans="1:2" ht="15.75" customHeight="1" x14ac:dyDescent="0.25">
      <c r="A909" s="6">
        <v>212005</v>
      </c>
      <c r="B909" s="6" t="s">
        <v>1294</v>
      </c>
    </row>
    <row r="910" spans="1:2" ht="15.75" customHeight="1" x14ac:dyDescent="0.25">
      <c r="A910" s="6">
        <v>212006</v>
      </c>
      <c r="B910" s="6" t="s">
        <v>991</v>
      </c>
    </row>
    <row r="911" spans="1:2" ht="15.75" customHeight="1" x14ac:dyDescent="0.25">
      <c r="A911" s="6">
        <v>212007</v>
      </c>
      <c r="B911" s="6" t="s">
        <v>865</v>
      </c>
    </row>
    <row r="912" spans="1:2" ht="15.75" customHeight="1" x14ac:dyDescent="0.25">
      <c r="A912" s="6">
        <v>212008</v>
      </c>
      <c r="B912" s="6" t="s">
        <v>947</v>
      </c>
    </row>
    <row r="913" spans="1:2" ht="15.75" customHeight="1" x14ac:dyDescent="0.25">
      <c r="A913" s="6">
        <v>212009</v>
      </c>
      <c r="B913" s="6" t="s">
        <v>904</v>
      </c>
    </row>
    <row r="914" spans="1:2" ht="15.75" customHeight="1" x14ac:dyDescent="0.25">
      <c r="A914" s="6">
        <v>212010</v>
      </c>
      <c r="B914" s="6" t="s">
        <v>945</v>
      </c>
    </row>
    <row r="915" spans="1:2" ht="15.75" customHeight="1" x14ac:dyDescent="0.25">
      <c r="A915" s="6">
        <v>212011</v>
      </c>
      <c r="B915" s="6" t="s">
        <v>1020</v>
      </c>
    </row>
    <row r="916" spans="1:2" ht="15.75" customHeight="1" x14ac:dyDescent="0.25">
      <c r="A916" s="6">
        <v>212012</v>
      </c>
      <c r="B916" s="6" t="s">
        <v>1296</v>
      </c>
    </row>
    <row r="917" spans="1:2" ht="15.75" customHeight="1" x14ac:dyDescent="0.25">
      <c r="A917" s="6">
        <v>212013</v>
      </c>
      <c r="B917" s="6" t="s">
        <v>1261</v>
      </c>
    </row>
    <row r="918" spans="1:2" ht="15.75" customHeight="1" x14ac:dyDescent="0.25">
      <c r="A918" s="6">
        <v>412001</v>
      </c>
      <c r="B918" s="6" t="s">
        <v>1231</v>
      </c>
    </row>
    <row r="919" spans="1:2" ht="15.75" customHeight="1" x14ac:dyDescent="0.25">
      <c r="A919" s="6">
        <v>314013</v>
      </c>
      <c r="B919" s="6" t="s">
        <v>1153</v>
      </c>
    </row>
    <row r="920" spans="1:2" ht="15.75" customHeight="1" x14ac:dyDescent="0.25">
      <c r="A920" s="6">
        <v>314014</v>
      </c>
      <c r="B920" s="6" t="s">
        <v>1154</v>
      </c>
    </row>
    <row r="921" spans="1:2" ht="15.75" customHeight="1" x14ac:dyDescent="0.25">
      <c r="A921" s="6">
        <v>314015</v>
      </c>
      <c r="B921" s="6" t="s">
        <v>1156</v>
      </c>
    </row>
    <row r="922" spans="1:2" ht="15.75" customHeight="1" x14ac:dyDescent="0.25">
      <c r="A922" s="6">
        <v>314016</v>
      </c>
      <c r="B922" s="6" t="s">
        <v>1155</v>
      </c>
    </row>
    <row r="923" spans="1:2" ht="15.75" customHeight="1" x14ac:dyDescent="0.25">
      <c r="A923" s="6">
        <v>314017</v>
      </c>
      <c r="B923" s="6" t="s">
        <v>1152</v>
      </c>
    </row>
    <row r="924" spans="1:2" ht="15.75" customHeight="1" x14ac:dyDescent="0.25">
      <c r="A924" s="6">
        <v>314041</v>
      </c>
      <c r="B924" s="6" t="s">
        <v>1151</v>
      </c>
    </row>
    <row r="925" spans="1:2" ht="15.75" customHeight="1" x14ac:dyDescent="0.25">
      <c r="A925" s="6">
        <v>215001</v>
      </c>
      <c r="B925" s="6" t="s">
        <v>1098</v>
      </c>
    </row>
    <row r="926" spans="1:2" ht="15.75" customHeight="1" x14ac:dyDescent="0.25">
      <c r="A926" s="6">
        <v>216001</v>
      </c>
      <c r="B926" s="6" t="s">
        <v>1234</v>
      </c>
    </row>
    <row r="927" spans="1:2" ht="15.75" customHeight="1" x14ac:dyDescent="0.25">
      <c r="A927" s="6">
        <v>216002</v>
      </c>
      <c r="B927" s="6" t="s">
        <v>1235</v>
      </c>
    </row>
    <row r="928" spans="1:2" ht="15.75" customHeight="1" x14ac:dyDescent="0.25">
      <c r="A928" s="6">
        <v>216003</v>
      </c>
      <c r="B928" s="6" t="s">
        <v>1233</v>
      </c>
    </row>
    <row r="929" spans="1:2" ht="15.75" customHeight="1" x14ac:dyDescent="0.25">
      <c r="A929" s="6">
        <v>216004</v>
      </c>
      <c r="B929" s="6" t="s">
        <v>905</v>
      </c>
    </row>
    <row r="930" spans="1:2" ht="15.75" customHeight="1" x14ac:dyDescent="0.25">
      <c r="A930" s="6">
        <v>216005</v>
      </c>
      <c r="B930" s="6" t="s">
        <v>1025</v>
      </c>
    </row>
    <row r="931" spans="1:2" ht="15.75" customHeight="1" x14ac:dyDescent="0.25">
      <c r="A931" s="6">
        <v>216006</v>
      </c>
      <c r="B931" s="6" t="s">
        <v>1115</v>
      </c>
    </row>
    <row r="932" spans="1:2" ht="15.75" customHeight="1" x14ac:dyDescent="0.25">
      <c r="A932" s="6">
        <v>216007</v>
      </c>
      <c r="B932" s="6" t="s">
        <v>1059</v>
      </c>
    </row>
    <row r="933" spans="1:2" ht="15.75" customHeight="1" x14ac:dyDescent="0.25">
      <c r="A933" s="6">
        <v>216008</v>
      </c>
      <c r="B933" s="6" t="s">
        <v>972</v>
      </c>
    </row>
    <row r="934" spans="1:2" ht="15.75" customHeight="1" x14ac:dyDescent="0.25">
      <c r="A934" s="6">
        <v>216009</v>
      </c>
      <c r="B934" s="6" t="s">
        <v>1292</v>
      </c>
    </row>
    <row r="935" spans="1:2" ht="15.75" customHeight="1" x14ac:dyDescent="0.25">
      <c r="A935" s="6">
        <v>216010</v>
      </c>
      <c r="B935" s="6" t="s">
        <v>1291</v>
      </c>
    </row>
    <row r="936" spans="1:2" ht="15.75" customHeight="1" x14ac:dyDescent="0.25">
      <c r="A936" s="6">
        <v>216011</v>
      </c>
      <c r="B936" s="6" t="s">
        <v>1302</v>
      </c>
    </row>
    <row r="937" spans="1:2" ht="15.75" customHeight="1" x14ac:dyDescent="0.25">
      <c r="A937" s="6">
        <v>216012</v>
      </c>
      <c r="B937" s="6" t="s">
        <v>1303</v>
      </c>
    </row>
    <row r="938" spans="1:2" ht="15.75" customHeight="1" x14ac:dyDescent="0.25">
      <c r="A938" s="6">
        <v>216013</v>
      </c>
      <c r="B938" s="6" t="s">
        <v>1531</v>
      </c>
    </row>
    <row r="939" spans="1:2" ht="15.75" customHeight="1" x14ac:dyDescent="0.25">
      <c r="A939" s="6">
        <v>216014</v>
      </c>
      <c r="B939" s="6" t="s">
        <v>1586</v>
      </c>
    </row>
    <row r="940" spans="1:2" ht="15.75" customHeight="1" x14ac:dyDescent="0.25">
      <c r="A940" s="6">
        <v>216015</v>
      </c>
      <c r="B940" s="6" t="s">
        <v>1599</v>
      </c>
    </row>
    <row r="941" spans="1:2" ht="15.75" customHeight="1" x14ac:dyDescent="0.25">
      <c r="A941" s="6">
        <v>216016</v>
      </c>
      <c r="B941" s="6" t="s">
        <v>1598</v>
      </c>
    </row>
    <row r="942" spans="1:2" ht="15.75" customHeight="1" x14ac:dyDescent="0.25">
      <c r="A942" s="6">
        <v>216017</v>
      </c>
      <c r="B942" s="6" t="s">
        <v>1017</v>
      </c>
    </row>
    <row r="943" spans="1:2" ht="15.75" customHeight="1" x14ac:dyDescent="0.25">
      <c r="A943" s="6">
        <v>216018</v>
      </c>
      <c r="B943" s="6" t="s">
        <v>1016</v>
      </c>
    </row>
    <row r="944" spans="1:2" ht="15.75" customHeight="1" x14ac:dyDescent="0.25">
      <c r="A944" s="6">
        <v>216019</v>
      </c>
      <c r="B944" s="6" t="s">
        <v>1229</v>
      </c>
    </row>
    <row r="945" spans="1:2" ht="15.75" customHeight="1" x14ac:dyDescent="0.25">
      <c r="A945" s="6">
        <v>216020</v>
      </c>
      <c r="B945" s="6" t="s">
        <v>1596</v>
      </c>
    </row>
    <row r="946" spans="1:2" ht="15.75" customHeight="1" x14ac:dyDescent="0.25">
      <c r="A946" s="6">
        <v>216021</v>
      </c>
      <c r="B946" s="6" t="s">
        <v>1597</v>
      </c>
    </row>
    <row r="947" spans="1:2" ht="15.75" customHeight="1" x14ac:dyDescent="0.25">
      <c r="A947" s="6">
        <v>316001</v>
      </c>
      <c r="B947" s="6" t="s">
        <v>103</v>
      </c>
    </row>
    <row r="948" spans="1:2" ht="15.75" customHeight="1" x14ac:dyDescent="0.25">
      <c r="A948" s="6">
        <v>316002</v>
      </c>
      <c r="B948" s="6" t="s">
        <v>1562</v>
      </c>
    </row>
    <row r="949" spans="1:2" ht="15.75" customHeight="1" x14ac:dyDescent="0.25">
      <c r="A949" s="6">
        <v>316003</v>
      </c>
      <c r="B949" s="6" t="s">
        <v>1589</v>
      </c>
    </row>
    <row r="950" spans="1:2" ht="15.75" customHeight="1" x14ac:dyDescent="0.25">
      <c r="A950" s="6">
        <v>316004</v>
      </c>
      <c r="B950" s="6" t="s">
        <v>1297</v>
      </c>
    </row>
    <row r="951" spans="1:2" ht="15.75" customHeight="1" x14ac:dyDescent="0.25">
      <c r="A951" s="6">
        <v>316005</v>
      </c>
      <c r="B951" s="6" t="s">
        <v>1024</v>
      </c>
    </row>
    <row r="952" spans="1:2" ht="15.75" customHeight="1" x14ac:dyDescent="0.25">
      <c r="A952" s="6">
        <v>217001</v>
      </c>
      <c r="B952" s="6" t="s">
        <v>946</v>
      </c>
    </row>
    <row r="953" spans="1:2" ht="15.75" customHeight="1" x14ac:dyDescent="0.25">
      <c r="A953" s="6">
        <v>217002</v>
      </c>
      <c r="B953" s="6" t="s">
        <v>1227</v>
      </c>
    </row>
    <row r="954" spans="1:2" ht="15.75" customHeight="1" x14ac:dyDescent="0.25">
      <c r="A954" s="6">
        <v>218001</v>
      </c>
      <c r="B954" s="6" t="s">
        <v>668</v>
      </c>
    </row>
    <row r="955" spans="1:2" ht="15.75" customHeight="1" x14ac:dyDescent="0.25">
      <c r="A955" s="6">
        <v>219001</v>
      </c>
      <c r="B955" s="6" t="s">
        <v>943</v>
      </c>
    </row>
    <row r="956" spans="1:2" ht="15.75" customHeight="1" x14ac:dyDescent="0.25">
      <c r="A956" s="6">
        <v>219002</v>
      </c>
      <c r="B956" s="6" t="s">
        <v>852</v>
      </c>
    </row>
    <row r="957" spans="1:2" ht="15.75" customHeight="1" x14ac:dyDescent="0.25">
      <c r="A957" s="6">
        <v>21001</v>
      </c>
      <c r="B957" s="6" t="s">
        <v>422</v>
      </c>
    </row>
    <row r="958" spans="1:2" ht="15.75" customHeight="1" x14ac:dyDescent="0.25">
      <c r="A958" s="6">
        <v>21002</v>
      </c>
      <c r="B958" s="6" t="s">
        <v>1440</v>
      </c>
    </row>
    <row r="959" spans="1:2" ht="15.75" customHeight="1" x14ac:dyDescent="0.25">
      <c r="A959" s="6">
        <v>21003</v>
      </c>
      <c r="B959" s="6" t="s">
        <v>115</v>
      </c>
    </row>
    <row r="960" spans="1:2" ht="15.75" customHeight="1" x14ac:dyDescent="0.25">
      <c r="A960" s="6">
        <v>21004</v>
      </c>
      <c r="B960" s="6" t="s">
        <v>1040</v>
      </c>
    </row>
    <row r="961" spans="1:2" ht="15.75" customHeight="1" x14ac:dyDescent="0.25">
      <c r="A961" s="6">
        <v>121005</v>
      </c>
      <c r="B961" s="6" t="s">
        <v>1040</v>
      </c>
    </row>
    <row r="962" spans="1:2" ht="15.75" customHeight="1" x14ac:dyDescent="0.25">
      <c r="A962" s="6">
        <v>121006</v>
      </c>
      <c r="B962" s="6" t="s">
        <v>1574</v>
      </c>
    </row>
    <row r="963" spans="1:2" ht="15.75" customHeight="1" x14ac:dyDescent="0.25">
      <c r="A963" s="6">
        <v>221007</v>
      </c>
      <c r="B963" s="6" t="s">
        <v>1380</v>
      </c>
    </row>
    <row r="964" spans="1:2" ht="15.75" customHeight="1" x14ac:dyDescent="0.25">
      <c r="A964" s="6">
        <v>222001</v>
      </c>
      <c r="B964" s="6" t="s">
        <v>1269</v>
      </c>
    </row>
    <row r="965" spans="1:2" ht="15.75" customHeight="1" x14ac:dyDescent="0.25">
      <c r="A965" s="6">
        <v>222002</v>
      </c>
      <c r="B965" s="6" t="s">
        <v>1270</v>
      </c>
    </row>
    <row r="966" spans="1:2" ht="15.75" customHeight="1" x14ac:dyDescent="0.25">
      <c r="A966" s="6">
        <v>222003</v>
      </c>
      <c r="B966" s="6" t="s">
        <v>1271</v>
      </c>
    </row>
    <row r="967" spans="1:2" ht="15.75" customHeight="1" x14ac:dyDescent="0.25">
      <c r="A967" s="6">
        <v>222004</v>
      </c>
      <c r="B967" s="6" t="s">
        <v>1272</v>
      </c>
    </row>
    <row r="968" spans="1:2" ht="15.75" customHeight="1" x14ac:dyDescent="0.25">
      <c r="A968" s="6">
        <v>222005</v>
      </c>
      <c r="B968" s="6" t="s">
        <v>1273</v>
      </c>
    </row>
    <row r="969" spans="1:2" ht="15.75" customHeight="1" x14ac:dyDescent="0.25">
      <c r="A969" s="6">
        <v>222006</v>
      </c>
      <c r="B969" s="6" t="s">
        <v>1274</v>
      </c>
    </row>
    <row r="970" spans="1:2" ht="15.75" customHeight="1" x14ac:dyDescent="0.25">
      <c r="A970" s="6">
        <v>222007</v>
      </c>
      <c r="B970" s="6" t="s">
        <v>1275</v>
      </c>
    </row>
    <row r="971" spans="1:2" ht="15.75" customHeight="1" x14ac:dyDescent="0.25">
      <c r="A971" s="6">
        <v>222008</v>
      </c>
      <c r="B971" s="6" t="s">
        <v>1276</v>
      </c>
    </row>
    <row r="972" spans="1:2" ht="15.75" customHeight="1" x14ac:dyDescent="0.25">
      <c r="A972" s="6">
        <v>222009</v>
      </c>
      <c r="B972" s="6" t="s">
        <v>1277</v>
      </c>
    </row>
    <row r="973" spans="1:2" ht="15.75" customHeight="1" x14ac:dyDescent="0.25">
      <c r="A973" s="6">
        <v>222010</v>
      </c>
      <c r="B973" s="6" t="s">
        <v>1278</v>
      </c>
    </row>
    <row r="974" spans="1:2" ht="15.75" customHeight="1" x14ac:dyDescent="0.25">
      <c r="A974" s="6">
        <v>222011</v>
      </c>
      <c r="B974" s="6" t="s">
        <v>969</v>
      </c>
    </row>
    <row r="975" spans="1:2" ht="15.75" customHeight="1" x14ac:dyDescent="0.25">
      <c r="A975" s="6">
        <v>222012</v>
      </c>
      <c r="B975" s="6" t="s">
        <v>1556</v>
      </c>
    </row>
    <row r="976" spans="1:2" ht="15.75" customHeight="1" x14ac:dyDescent="0.25">
      <c r="A976" s="6">
        <v>222013</v>
      </c>
      <c r="B976" s="6" t="s">
        <v>868</v>
      </c>
    </row>
    <row r="977" spans="1:2" ht="15.75" customHeight="1" x14ac:dyDescent="0.25">
      <c r="A977" s="6">
        <v>222014</v>
      </c>
      <c r="B977" s="6" t="s">
        <v>1347</v>
      </c>
    </row>
    <row r="978" spans="1:2" ht="15.75" customHeight="1" x14ac:dyDescent="0.25">
      <c r="A978" s="6">
        <v>222015</v>
      </c>
      <c r="B978" s="6" t="s">
        <v>966</v>
      </c>
    </row>
    <row r="979" spans="1:2" ht="15.75" customHeight="1" x14ac:dyDescent="0.25">
      <c r="A979" s="6">
        <v>222016</v>
      </c>
      <c r="B979" s="6" t="s">
        <v>1578</v>
      </c>
    </row>
    <row r="980" spans="1:2" ht="15.75" customHeight="1" x14ac:dyDescent="0.25">
      <c r="A980" s="6">
        <v>222017</v>
      </c>
      <c r="B980" s="6" t="s">
        <v>864</v>
      </c>
    </row>
    <row r="981" spans="1:2" ht="15.75" customHeight="1" x14ac:dyDescent="0.25">
      <c r="A981" s="6">
        <v>222018</v>
      </c>
      <c r="B981" s="6" t="s">
        <v>1052</v>
      </c>
    </row>
    <row r="982" spans="1:2" ht="15.75" customHeight="1" x14ac:dyDescent="0.25">
      <c r="A982" s="6">
        <v>222019</v>
      </c>
      <c r="B982" s="6" t="s">
        <v>1358</v>
      </c>
    </row>
    <row r="983" spans="1:2" ht="15.75" customHeight="1" x14ac:dyDescent="0.25">
      <c r="A983" s="6">
        <v>222020</v>
      </c>
      <c r="B983" s="6" t="s">
        <v>1612</v>
      </c>
    </row>
    <row r="984" spans="1:2" ht="15.75" customHeight="1" x14ac:dyDescent="0.25">
      <c r="A984" s="6">
        <v>222021</v>
      </c>
      <c r="B984" s="6" t="s">
        <v>867</v>
      </c>
    </row>
    <row r="985" spans="1:2" ht="15.75" customHeight="1" x14ac:dyDescent="0.25">
      <c r="A985" s="6">
        <v>222022</v>
      </c>
      <c r="B985" s="6" t="s">
        <v>1375</v>
      </c>
    </row>
    <row r="986" spans="1:2" ht="15.75" customHeight="1" x14ac:dyDescent="0.25">
      <c r="A986" s="6">
        <v>222023</v>
      </c>
      <c r="B986" s="6" t="s">
        <v>866</v>
      </c>
    </row>
    <row r="987" spans="1:2" ht="15.75" customHeight="1" x14ac:dyDescent="0.25">
      <c r="A987" s="6">
        <v>223001</v>
      </c>
      <c r="B987" s="6" t="s">
        <v>1037</v>
      </c>
    </row>
    <row r="988" spans="1:2" ht="15.75" customHeight="1" x14ac:dyDescent="0.25">
      <c r="A988" s="6">
        <v>223002</v>
      </c>
      <c r="B988" s="6" t="s">
        <v>1034</v>
      </c>
    </row>
    <row r="989" spans="1:2" ht="15.75" customHeight="1" x14ac:dyDescent="0.25">
      <c r="A989" s="6">
        <v>223003</v>
      </c>
      <c r="B989" s="6" t="s">
        <v>1035</v>
      </c>
    </row>
    <row r="990" spans="1:2" ht="15.75" customHeight="1" x14ac:dyDescent="0.25">
      <c r="A990" s="6">
        <v>223004</v>
      </c>
      <c r="B990" s="6" t="s">
        <v>1036</v>
      </c>
    </row>
    <row r="991" spans="1:2" ht="15.75" customHeight="1" x14ac:dyDescent="0.25">
      <c r="A991" s="6">
        <v>223005</v>
      </c>
      <c r="B991" s="6" t="s">
        <v>1038</v>
      </c>
    </row>
    <row r="992" spans="1:2" ht="15.75" customHeight="1" x14ac:dyDescent="0.25">
      <c r="A992" s="6">
        <v>224001</v>
      </c>
      <c r="B992" s="6" t="s">
        <v>1221</v>
      </c>
    </row>
    <row r="993" spans="1:2" ht="15.75" customHeight="1" x14ac:dyDescent="0.25">
      <c r="A993" s="6">
        <v>224002</v>
      </c>
      <c r="B993" s="6" t="s">
        <v>1220</v>
      </c>
    </row>
    <row r="994" spans="1:2" ht="15.75" customHeight="1" x14ac:dyDescent="0.25">
      <c r="A994" s="6">
        <v>25001</v>
      </c>
      <c r="B994" s="6" t="s">
        <v>1371</v>
      </c>
    </row>
    <row r="995" spans="1:2" ht="15.75" customHeight="1" x14ac:dyDescent="0.25">
      <c r="A995" s="6">
        <v>25002</v>
      </c>
      <c r="B995" s="6" t="s">
        <v>1370</v>
      </c>
    </row>
    <row r="996" spans="1:2" ht="15.75" customHeight="1" x14ac:dyDescent="0.25">
      <c r="A996" s="6">
        <v>25003</v>
      </c>
      <c r="B996" s="6" t="s">
        <v>1373</v>
      </c>
    </row>
    <row r="997" spans="1:2" ht="15.75" customHeight="1" x14ac:dyDescent="0.25">
      <c r="A997" s="6">
        <v>25004</v>
      </c>
      <c r="B997" s="6" t="s">
        <v>1372</v>
      </c>
    </row>
    <row r="998" spans="1:2" ht="15.75" customHeight="1" x14ac:dyDescent="0.25">
      <c r="A998" s="6">
        <v>26020</v>
      </c>
      <c r="B998" s="6" t="s">
        <v>1415</v>
      </c>
    </row>
    <row r="999" spans="1:2" ht="15.75" customHeight="1" x14ac:dyDescent="0.25">
      <c r="A999" s="6">
        <v>26021</v>
      </c>
      <c r="B999" s="6" t="s">
        <v>1419</v>
      </c>
    </row>
    <row r="1000" spans="1:2" ht="15.75" customHeight="1" x14ac:dyDescent="0.25">
      <c r="A1000" s="6">
        <v>26022</v>
      </c>
      <c r="B1000" s="6" t="s">
        <v>1416</v>
      </c>
    </row>
    <row r="1001" spans="1:2" ht="15.75" customHeight="1" x14ac:dyDescent="0.25">
      <c r="A1001" s="6">
        <v>26023</v>
      </c>
      <c r="B1001" s="6" t="s">
        <v>1418</v>
      </c>
    </row>
    <row r="1002" spans="1:2" ht="15.75" customHeight="1" x14ac:dyDescent="0.25">
      <c r="A1002" s="6">
        <v>26024</v>
      </c>
      <c r="B1002" s="6" t="s">
        <v>1422</v>
      </c>
    </row>
    <row r="1003" spans="1:2" ht="15.75" customHeight="1" x14ac:dyDescent="0.25">
      <c r="A1003" s="6">
        <v>26025</v>
      </c>
      <c r="B1003" s="6" t="s">
        <v>1425</v>
      </c>
    </row>
    <row r="1004" spans="1:2" ht="15.75" customHeight="1" x14ac:dyDescent="0.25">
      <c r="A1004" s="6">
        <v>26026</v>
      </c>
      <c r="B1004" s="6" t="s">
        <v>1423</v>
      </c>
    </row>
    <row r="1005" spans="1:2" ht="15.75" customHeight="1" x14ac:dyDescent="0.25">
      <c r="A1005" s="6">
        <v>26027</v>
      </c>
      <c r="B1005" s="6" t="s">
        <v>1424</v>
      </c>
    </row>
    <row r="1006" spans="1:2" ht="15.75" customHeight="1" x14ac:dyDescent="0.25">
      <c r="A1006" s="6">
        <v>26028</v>
      </c>
      <c r="B1006" s="6" t="s">
        <v>1027</v>
      </c>
    </row>
    <row r="1007" spans="1:2" ht="15.75" customHeight="1" x14ac:dyDescent="0.25">
      <c r="A1007" s="6">
        <v>26029</v>
      </c>
      <c r="B1007" s="6" t="s">
        <v>1028</v>
      </c>
    </row>
    <row r="1008" spans="1:2" ht="15.75" customHeight="1" x14ac:dyDescent="0.25">
      <c r="A1008" s="6">
        <v>26030</v>
      </c>
      <c r="B1008" s="6" t="s">
        <v>1030</v>
      </c>
    </row>
    <row r="1009" spans="1:2" ht="15.75" customHeight="1" x14ac:dyDescent="0.25">
      <c r="A1009" s="6">
        <v>26031</v>
      </c>
      <c r="B1009" s="6" t="s">
        <v>1031</v>
      </c>
    </row>
    <row r="1010" spans="1:2" ht="15.75" customHeight="1" x14ac:dyDescent="0.25">
      <c r="A1010" s="6">
        <v>26032</v>
      </c>
      <c r="B1010" s="6" t="s">
        <v>1029</v>
      </c>
    </row>
    <row r="1011" spans="1:2" ht="15.75" customHeight="1" x14ac:dyDescent="0.25">
      <c r="A1011" s="6">
        <v>26033</v>
      </c>
      <c r="B1011" s="6" t="s">
        <v>992</v>
      </c>
    </row>
    <row r="1012" spans="1:2" ht="15.75" customHeight="1" x14ac:dyDescent="0.25">
      <c r="A1012" s="6">
        <v>26034</v>
      </c>
      <c r="B1012" s="6" t="s">
        <v>993</v>
      </c>
    </row>
    <row r="1013" spans="1:2" ht="15.75" customHeight="1" x14ac:dyDescent="0.25">
      <c r="A1013" s="6">
        <v>26035</v>
      </c>
      <c r="B1013" s="6" t="s">
        <v>994</v>
      </c>
    </row>
    <row r="1014" spans="1:2" ht="15.75" customHeight="1" x14ac:dyDescent="0.25">
      <c r="A1014" s="6">
        <v>26036</v>
      </c>
      <c r="B1014" s="6" t="s">
        <v>1421</v>
      </c>
    </row>
    <row r="1015" spans="1:2" ht="15.75" customHeight="1" x14ac:dyDescent="0.25">
      <c r="A1015" s="6">
        <v>26037</v>
      </c>
      <c r="B1015" s="6" t="s">
        <v>1417</v>
      </c>
    </row>
    <row r="1016" spans="1:2" ht="15.75" customHeight="1" x14ac:dyDescent="0.25">
      <c r="A1016" s="6">
        <v>26038</v>
      </c>
      <c r="B1016" s="6" t="s">
        <v>1420</v>
      </c>
    </row>
    <row r="1017" spans="1:2" ht="15.75" customHeight="1" x14ac:dyDescent="0.25">
      <c r="A1017" s="6">
        <v>26039</v>
      </c>
      <c r="B1017" s="6" t="s">
        <v>1348</v>
      </c>
    </row>
    <row r="1018" spans="1:2" ht="15.75" customHeight="1" x14ac:dyDescent="0.25">
      <c r="A1018" s="6">
        <v>227001</v>
      </c>
      <c r="B1018" s="6" t="s">
        <v>1391</v>
      </c>
    </row>
    <row r="1019" spans="1:2" ht="15.75" customHeight="1" x14ac:dyDescent="0.25">
      <c r="A1019" s="6">
        <v>227002</v>
      </c>
      <c r="B1019" s="6" t="s">
        <v>1389</v>
      </c>
    </row>
    <row r="1020" spans="1:2" ht="15.75" customHeight="1" x14ac:dyDescent="0.25">
      <c r="A1020" s="6">
        <v>227003</v>
      </c>
      <c r="B1020" s="6" t="s">
        <v>1387</v>
      </c>
    </row>
    <row r="1021" spans="1:2" ht="15.75" customHeight="1" x14ac:dyDescent="0.25">
      <c r="A1021" s="6">
        <v>227004</v>
      </c>
      <c r="B1021" s="6" t="s">
        <v>1385</v>
      </c>
    </row>
    <row r="1022" spans="1:2" ht="15.75" customHeight="1" x14ac:dyDescent="0.25">
      <c r="A1022" s="6">
        <v>227005</v>
      </c>
      <c r="B1022" s="6" t="s">
        <v>1390</v>
      </c>
    </row>
    <row r="1023" spans="1:2" ht="15.75" customHeight="1" x14ac:dyDescent="0.25">
      <c r="A1023" s="6">
        <v>227006</v>
      </c>
      <c r="B1023" s="6" t="s">
        <v>1388</v>
      </c>
    </row>
    <row r="1024" spans="1:2" ht="15.75" customHeight="1" x14ac:dyDescent="0.25">
      <c r="A1024" s="6">
        <v>227007</v>
      </c>
      <c r="B1024" s="6" t="s">
        <v>1386</v>
      </c>
    </row>
    <row r="1025" spans="1:2" ht="15.75" customHeight="1" x14ac:dyDescent="0.25">
      <c r="A1025" s="6">
        <v>227008</v>
      </c>
      <c r="B1025" s="6" t="s">
        <v>1392</v>
      </c>
    </row>
    <row r="1026" spans="1:2" ht="15.75" customHeight="1" x14ac:dyDescent="0.25">
      <c r="A1026" s="6">
        <v>227009</v>
      </c>
      <c r="B1026" s="6" t="s">
        <v>1396</v>
      </c>
    </row>
    <row r="1027" spans="1:2" ht="15.75" customHeight="1" x14ac:dyDescent="0.25">
      <c r="A1027" s="6">
        <v>28001</v>
      </c>
      <c r="B1027" s="6" t="s">
        <v>1557</v>
      </c>
    </row>
    <row r="1028" spans="1:2" ht="15.75" customHeight="1" x14ac:dyDescent="0.25">
      <c r="A1028" s="6">
        <v>29001</v>
      </c>
      <c r="B1028" s="6" t="s">
        <v>1436</v>
      </c>
    </row>
    <row r="1029" spans="1:2" ht="15.75" customHeight="1" x14ac:dyDescent="0.25">
      <c r="A1029" s="6">
        <v>30001</v>
      </c>
      <c r="B1029" s="6" t="s">
        <v>1268</v>
      </c>
    </row>
    <row r="1030" spans="1:2" ht="15.75" customHeight="1" x14ac:dyDescent="0.25">
      <c r="A1030" s="6">
        <v>30002</v>
      </c>
      <c r="B1030" s="6" t="s">
        <v>1267</v>
      </c>
    </row>
    <row r="1031" spans="1:2" ht="15.75" customHeight="1" x14ac:dyDescent="0.25">
      <c r="A1031" s="6">
        <v>32004</v>
      </c>
      <c r="B1031" s="6" t="s">
        <v>911</v>
      </c>
    </row>
    <row r="1032" spans="1:2" ht="15.75" customHeight="1" x14ac:dyDescent="0.25">
      <c r="A1032" s="6">
        <v>32031</v>
      </c>
      <c r="B1032" s="6" t="s">
        <v>1181</v>
      </c>
    </row>
    <row r="1033" spans="1:2" ht="15.75" customHeight="1" x14ac:dyDescent="0.25">
      <c r="A1033" s="6">
        <v>32032</v>
      </c>
      <c r="B1033" s="6" t="s">
        <v>1188</v>
      </c>
    </row>
    <row r="1034" spans="1:2" ht="15.75" customHeight="1" x14ac:dyDescent="0.25">
      <c r="A1034" s="6">
        <v>32054</v>
      </c>
      <c r="B1034" s="6" t="s">
        <v>1266</v>
      </c>
    </row>
    <row r="1035" spans="1:2" ht="15.75" customHeight="1" x14ac:dyDescent="0.25">
      <c r="A1035" s="6">
        <v>32057</v>
      </c>
      <c r="B1035" s="6" t="s">
        <v>1433</v>
      </c>
    </row>
    <row r="1036" spans="1:2" ht="15.75" customHeight="1" x14ac:dyDescent="0.25">
      <c r="A1036" s="6">
        <v>32063</v>
      </c>
      <c r="B1036" s="6" t="s">
        <v>1106</v>
      </c>
    </row>
    <row r="1037" spans="1:2" ht="15.75" customHeight="1" x14ac:dyDescent="0.25">
      <c r="A1037" s="6">
        <v>32068</v>
      </c>
      <c r="B1037" s="6" t="s">
        <v>1002</v>
      </c>
    </row>
    <row r="1038" spans="1:2" ht="15.75" customHeight="1" x14ac:dyDescent="0.25">
      <c r="A1038" s="6">
        <v>32069</v>
      </c>
      <c r="B1038" s="6" t="s">
        <v>1004</v>
      </c>
    </row>
    <row r="1039" spans="1:2" ht="15.75" customHeight="1" x14ac:dyDescent="0.25">
      <c r="A1039" s="6">
        <v>32070</v>
      </c>
      <c r="B1039" s="6" t="s">
        <v>938</v>
      </c>
    </row>
    <row r="1040" spans="1:2" ht="15.75" customHeight="1" x14ac:dyDescent="0.25">
      <c r="A1040" s="6">
        <v>32071</v>
      </c>
      <c r="B1040" s="6" t="s">
        <v>706</v>
      </c>
    </row>
    <row r="1041" spans="1:2" ht="15.75" customHeight="1" x14ac:dyDescent="0.25">
      <c r="A1041" s="6">
        <v>32072</v>
      </c>
      <c r="B1041" s="6" t="s">
        <v>1207</v>
      </c>
    </row>
    <row r="1042" spans="1:2" ht="15.75" customHeight="1" x14ac:dyDescent="0.25">
      <c r="A1042" s="6">
        <v>32089</v>
      </c>
      <c r="B1042" s="6" t="s">
        <v>964</v>
      </c>
    </row>
    <row r="1043" spans="1:2" ht="15.75" customHeight="1" x14ac:dyDescent="0.25">
      <c r="A1043" s="6">
        <v>32090</v>
      </c>
      <c r="B1043" s="6" t="s">
        <v>965</v>
      </c>
    </row>
    <row r="1044" spans="1:2" ht="15.75" customHeight="1" x14ac:dyDescent="0.25">
      <c r="A1044" s="6">
        <v>32102</v>
      </c>
      <c r="B1044" s="6" t="s">
        <v>855</v>
      </c>
    </row>
    <row r="1045" spans="1:2" ht="15.75" customHeight="1" x14ac:dyDescent="0.25">
      <c r="A1045" s="6">
        <v>32103</v>
      </c>
      <c r="B1045" s="6" t="s">
        <v>757</v>
      </c>
    </row>
    <row r="1046" spans="1:2" ht="15.75" customHeight="1" x14ac:dyDescent="0.25">
      <c r="A1046" s="6">
        <v>32110</v>
      </c>
      <c r="B1046" s="6" t="s">
        <v>1177</v>
      </c>
    </row>
    <row r="1047" spans="1:2" ht="15.75" customHeight="1" x14ac:dyDescent="0.25">
      <c r="A1047" s="6">
        <v>32119</v>
      </c>
      <c r="B1047" s="6" t="s">
        <v>724</v>
      </c>
    </row>
    <row r="1048" spans="1:2" ht="15.75" customHeight="1" x14ac:dyDescent="0.25">
      <c r="A1048" s="6">
        <v>32120</v>
      </c>
      <c r="B1048" s="6" t="s">
        <v>725</v>
      </c>
    </row>
    <row r="1049" spans="1:2" ht="15.75" customHeight="1" x14ac:dyDescent="0.25">
      <c r="A1049" s="6">
        <v>32122</v>
      </c>
      <c r="B1049" s="6" t="s">
        <v>1205</v>
      </c>
    </row>
    <row r="1050" spans="1:2" ht="15.75" customHeight="1" x14ac:dyDescent="0.25">
      <c r="A1050" s="6">
        <v>32124</v>
      </c>
      <c r="B1050" s="6" t="s">
        <v>1185</v>
      </c>
    </row>
    <row r="1051" spans="1:2" ht="15.75" customHeight="1" x14ac:dyDescent="0.25">
      <c r="A1051" s="6">
        <v>32128</v>
      </c>
      <c r="B1051" s="6" t="s">
        <v>1259</v>
      </c>
    </row>
    <row r="1052" spans="1:2" ht="15.75" customHeight="1" x14ac:dyDescent="0.25">
      <c r="A1052" s="6">
        <v>32129</v>
      </c>
      <c r="B1052" s="6" t="s">
        <v>1258</v>
      </c>
    </row>
    <row r="1053" spans="1:2" ht="15.75" customHeight="1" x14ac:dyDescent="0.25">
      <c r="A1053" s="6">
        <v>32134</v>
      </c>
      <c r="B1053" s="6" t="s">
        <v>1200</v>
      </c>
    </row>
    <row r="1054" spans="1:2" ht="15.75" customHeight="1" x14ac:dyDescent="0.25">
      <c r="A1054" s="6">
        <v>32135</v>
      </c>
      <c r="B1054" s="6" t="s">
        <v>936</v>
      </c>
    </row>
    <row r="1055" spans="1:2" ht="15.75" customHeight="1" x14ac:dyDescent="0.25">
      <c r="A1055" s="6">
        <v>32136</v>
      </c>
      <c r="B1055" s="6" t="s">
        <v>931</v>
      </c>
    </row>
    <row r="1056" spans="1:2" ht="15.75" customHeight="1" x14ac:dyDescent="0.25">
      <c r="A1056" s="6">
        <v>32139</v>
      </c>
      <c r="B1056" s="6" t="s">
        <v>1587</v>
      </c>
    </row>
    <row r="1057" spans="1:2" ht="15.75" customHeight="1" x14ac:dyDescent="0.25">
      <c r="A1057" s="6">
        <v>32140</v>
      </c>
      <c r="B1057" s="6" t="s">
        <v>1588</v>
      </c>
    </row>
    <row r="1058" spans="1:2" ht="15.75" customHeight="1" x14ac:dyDescent="0.25">
      <c r="A1058" s="6">
        <v>32141</v>
      </c>
      <c r="B1058" s="6" t="s">
        <v>1193</v>
      </c>
    </row>
    <row r="1059" spans="1:2" ht="15.75" customHeight="1" x14ac:dyDescent="0.25">
      <c r="A1059" s="6">
        <v>32142</v>
      </c>
      <c r="B1059" s="6" t="s">
        <v>915</v>
      </c>
    </row>
    <row r="1060" spans="1:2" ht="15.75" customHeight="1" x14ac:dyDescent="0.25">
      <c r="A1060" s="6">
        <v>32143</v>
      </c>
      <c r="B1060" s="6" t="s">
        <v>916</v>
      </c>
    </row>
    <row r="1061" spans="1:2" ht="15.75" customHeight="1" x14ac:dyDescent="0.25">
      <c r="A1061" s="6">
        <v>32144</v>
      </c>
      <c r="B1061" s="6" t="s">
        <v>926</v>
      </c>
    </row>
    <row r="1062" spans="1:2" ht="15.75" customHeight="1" x14ac:dyDescent="0.25">
      <c r="A1062" s="6">
        <v>32145</v>
      </c>
      <c r="B1062" s="6" t="s">
        <v>1003</v>
      </c>
    </row>
    <row r="1063" spans="1:2" ht="15.75" customHeight="1" x14ac:dyDescent="0.25">
      <c r="A1063" s="6">
        <v>32146</v>
      </c>
      <c r="B1063" s="6" t="s">
        <v>999</v>
      </c>
    </row>
    <row r="1064" spans="1:2" ht="15.75" customHeight="1" x14ac:dyDescent="0.25">
      <c r="A1064" s="6">
        <v>32149</v>
      </c>
      <c r="B1064" s="6" t="s">
        <v>982</v>
      </c>
    </row>
    <row r="1065" spans="1:2" ht="15.75" customHeight="1" x14ac:dyDescent="0.25">
      <c r="A1065" s="6">
        <v>32150</v>
      </c>
      <c r="B1065" s="6" t="s">
        <v>733</v>
      </c>
    </row>
    <row r="1066" spans="1:2" ht="15.75" customHeight="1" x14ac:dyDescent="0.25">
      <c r="A1066" s="6">
        <v>32151</v>
      </c>
      <c r="B1066" s="6" t="s">
        <v>732</v>
      </c>
    </row>
    <row r="1067" spans="1:2" ht="15.75" customHeight="1" x14ac:dyDescent="0.25">
      <c r="A1067" s="6">
        <v>32152</v>
      </c>
      <c r="B1067" s="6" t="s">
        <v>923</v>
      </c>
    </row>
    <row r="1068" spans="1:2" ht="15.75" customHeight="1" x14ac:dyDescent="0.25">
      <c r="A1068" s="6">
        <v>32153</v>
      </c>
      <c r="B1068" s="6" t="s">
        <v>928</v>
      </c>
    </row>
    <row r="1069" spans="1:2" ht="15.75" customHeight="1" x14ac:dyDescent="0.25">
      <c r="A1069" s="6">
        <v>32154</v>
      </c>
      <c r="B1069" s="6" t="s">
        <v>921</v>
      </c>
    </row>
    <row r="1070" spans="1:2" ht="15.75" customHeight="1" x14ac:dyDescent="0.25">
      <c r="A1070" s="6">
        <v>32155</v>
      </c>
      <c r="B1070" s="6" t="s">
        <v>737</v>
      </c>
    </row>
    <row r="1071" spans="1:2" ht="15.75" customHeight="1" x14ac:dyDescent="0.25">
      <c r="A1071" s="6">
        <v>32156</v>
      </c>
      <c r="B1071" s="6" t="s">
        <v>736</v>
      </c>
    </row>
    <row r="1072" spans="1:2" ht="15.75" customHeight="1" x14ac:dyDescent="0.25">
      <c r="A1072" s="6">
        <v>32157</v>
      </c>
      <c r="B1072" s="6" t="s">
        <v>1211</v>
      </c>
    </row>
    <row r="1073" spans="1:2" ht="15.75" customHeight="1" x14ac:dyDescent="0.25">
      <c r="A1073" s="6">
        <v>32158</v>
      </c>
      <c r="B1073" s="6" t="s">
        <v>1189</v>
      </c>
    </row>
    <row r="1074" spans="1:2" ht="15.75" customHeight="1" x14ac:dyDescent="0.25">
      <c r="A1074" s="6">
        <v>32159</v>
      </c>
      <c r="B1074" s="6" t="s">
        <v>1194</v>
      </c>
    </row>
    <row r="1075" spans="1:2" ht="15.75" customHeight="1" x14ac:dyDescent="0.25">
      <c r="A1075" s="6">
        <v>32160</v>
      </c>
      <c r="B1075" s="6" t="s">
        <v>1204</v>
      </c>
    </row>
    <row r="1076" spans="1:2" ht="15.75" customHeight="1" x14ac:dyDescent="0.25">
      <c r="A1076" s="6">
        <v>32161</v>
      </c>
      <c r="B1076" s="6" t="s">
        <v>1434</v>
      </c>
    </row>
    <row r="1077" spans="1:2" ht="15.75" customHeight="1" x14ac:dyDescent="0.25">
      <c r="A1077" s="6">
        <v>32162</v>
      </c>
      <c r="B1077" s="6" t="s">
        <v>707</v>
      </c>
    </row>
    <row r="1078" spans="1:2" ht="15.75" customHeight="1" x14ac:dyDescent="0.25">
      <c r="A1078" s="6">
        <v>32163</v>
      </c>
      <c r="B1078" s="6" t="s">
        <v>1001</v>
      </c>
    </row>
    <row r="1079" spans="1:2" ht="15.75" customHeight="1" x14ac:dyDescent="0.25">
      <c r="A1079" s="6">
        <v>32164</v>
      </c>
      <c r="B1079" s="6" t="s">
        <v>1000</v>
      </c>
    </row>
    <row r="1080" spans="1:2" ht="15.75" customHeight="1" x14ac:dyDescent="0.25">
      <c r="A1080" s="6">
        <v>32165</v>
      </c>
      <c r="B1080" s="6" t="s">
        <v>925</v>
      </c>
    </row>
    <row r="1081" spans="1:2" ht="15.75" customHeight="1" x14ac:dyDescent="0.25">
      <c r="A1081" s="6">
        <v>32166</v>
      </c>
      <c r="B1081" s="6" t="s">
        <v>930</v>
      </c>
    </row>
    <row r="1082" spans="1:2" ht="15.75" customHeight="1" x14ac:dyDescent="0.25">
      <c r="A1082" s="6">
        <v>32167</v>
      </c>
      <c r="B1082" s="6" t="s">
        <v>912</v>
      </c>
    </row>
    <row r="1083" spans="1:2" ht="15.75" customHeight="1" x14ac:dyDescent="0.25">
      <c r="A1083" s="6">
        <v>32168</v>
      </c>
      <c r="B1083" s="6" t="s">
        <v>734</v>
      </c>
    </row>
    <row r="1084" spans="1:2" ht="15.75" customHeight="1" x14ac:dyDescent="0.25">
      <c r="A1084" s="6">
        <v>32170</v>
      </c>
      <c r="B1084" s="6" t="s">
        <v>927</v>
      </c>
    </row>
    <row r="1085" spans="1:2" ht="15.75" customHeight="1" x14ac:dyDescent="0.25">
      <c r="A1085" s="6">
        <v>32171</v>
      </c>
      <c r="B1085" s="6" t="s">
        <v>922</v>
      </c>
    </row>
    <row r="1086" spans="1:2" ht="15.75" customHeight="1" x14ac:dyDescent="0.25">
      <c r="A1086" s="6">
        <v>32172</v>
      </c>
      <c r="B1086" s="6" t="s">
        <v>929</v>
      </c>
    </row>
    <row r="1087" spans="1:2" ht="15.75" customHeight="1" x14ac:dyDescent="0.25">
      <c r="A1087" s="6">
        <v>32173</v>
      </c>
      <c r="B1087" s="6" t="s">
        <v>924</v>
      </c>
    </row>
    <row r="1088" spans="1:2" ht="15.75" customHeight="1" x14ac:dyDescent="0.25">
      <c r="A1088" s="6">
        <v>32174</v>
      </c>
      <c r="B1088" s="6" t="s">
        <v>1196</v>
      </c>
    </row>
    <row r="1089" spans="1:2" ht="15.75" customHeight="1" x14ac:dyDescent="0.25">
      <c r="A1089" s="6">
        <v>32175</v>
      </c>
      <c r="B1089" s="6" t="s">
        <v>1180</v>
      </c>
    </row>
    <row r="1090" spans="1:2" ht="15.75" customHeight="1" x14ac:dyDescent="0.25">
      <c r="A1090" s="6">
        <v>32176</v>
      </c>
      <c r="B1090" s="6" t="s">
        <v>1202</v>
      </c>
    </row>
    <row r="1091" spans="1:2" ht="15.75" customHeight="1" x14ac:dyDescent="0.25">
      <c r="A1091" s="6">
        <v>32178</v>
      </c>
      <c r="B1091" s="6" t="s">
        <v>890</v>
      </c>
    </row>
    <row r="1092" spans="1:2" ht="15.75" customHeight="1" x14ac:dyDescent="0.25">
      <c r="A1092" s="6">
        <v>32179</v>
      </c>
      <c r="B1092" s="6" t="s">
        <v>881</v>
      </c>
    </row>
    <row r="1093" spans="1:2" ht="15.75" customHeight="1" x14ac:dyDescent="0.25">
      <c r="A1093" s="6">
        <v>32182</v>
      </c>
      <c r="B1093" s="6" t="s">
        <v>887</v>
      </c>
    </row>
    <row r="1094" spans="1:2" ht="15.75" customHeight="1" x14ac:dyDescent="0.25">
      <c r="A1094" s="6">
        <v>32183</v>
      </c>
      <c r="B1094" s="6" t="s">
        <v>1183</v>
      </c>
    </row>
    <row r="1095" spans="1:2" ht="15.75" customHeight="1" x14ac:dyDescent="0.25">
      <c r="A1095" s="6">
        <v>32184</v>
      </c>
      <c r="B1095" s="6" t="s">
        <v>933</v>
      </c>
    </row>
    <row r="1096" spans="1:2" ht="15.75" customHeight="1" x14ac:dyDescent="0.25">
      <c r="A1096" s="6">
        <v>32185</v>
      </c>
      <c r="B1096" s="6" t="s">
        <v>919</v>
      </c>
    </row>
    <row r="1097" spans="1:2" ht="15.75" customHeight="1" x14ac:dyDescent="0.25">
      <c r="A1097" s="6">
        <v>32186</v>
      </c>
      <c r="B1097" s="6" t="s">
        <v>920</v>
      </c>
    </row>
    <row r="1098" spans="1:2" ht="15.75" customHeight="1" x14ac:dyDescent="0.25">
      <c r="A1098" s="6">
        <v>32187</v>
      </c>
      <c r="B1098" s="6" t="s">
        <v>981</v>
      </c>
    </row>
    <row r="1099" spans="1:2" ht="15.75" customHeight="1" x14ac:dyDescent="0.25">
      <c r="A1099" s="6">
        <v>32188</v>
      </c>
      <c r="B1099" s="6" t="s">
        <v>880</v>
      </c>
    </row>
    <row r="1100" spans="1:2" ht="15.75" customHeight="1" x14ac:dyDescent="0.25">
      <c r="A1100" s="6">
        <v>32189</v>
      </c>
      <c r="B1100" s="6" t="s">
        <v>885</v>
      </c>
    </row>
    <row r="1101" spans="1:2" ht="15.75" customHeight="1" x14ac:dyDescent="0.25">
      <c r="A1101" s="6">
        <v>32193</v>
      </c>
      <c r="B1101" s="6" t="s">
        <v>1212</v>
      </c>
    </row>
    <row r="1102" spans="1:2" ht="15.75" customHeight="1" x14ac:dyDescent="0.25">
      <c r="A1102" s="6">
        <v>32194</v>
      </c>
      <c r="B1102" s="6" t="s">
        <v>891</v>
      </c>
    </row>
    <row r="1103" spans="1:2" ht="15.75" customHeight="1" x14ac:dyDescent="0.25">
      <c r="A1103" s="6">
        <v>32195</v>
      </c>
      <c r="B1103" s="6" t="s">
        <v>886</v>
      </c>
    </row>
    <row r="1104" spans="1:2" ht="15.75" customHeight="1" x14ac:dyDescent="0.25">
      <c r="A1104" s="6">
        <v>32196</v>
      </c>
      <c r="B1104" s="6" t="s">
        <v>2098</v>
      </c>
    </row>
    <row r="1105" spans="1:2" ht="15.75" customHeight="1" x14ac:dyDescent="0.25">
      <c r="A1105" s="6">
        <v>32198</v>
      </c>
      <c r="B1105" s="6" t="s">
        <v>1210</v>
      </c>
    </row>
    <row r="1106" spans="1:2" ht="15.75" customHeight="1" x14ac:dyDescent="0.25">
      <c r="A1106" s="6">
        <v>32199</v>
      </c>
      <c r="B1106" s="6" t="s">
        <v>979</v>
      </c>
    </row>
    <row r="1107" spans="1:2" ht="15.75" customHeight="1" x14ac:dyDescent="0.25">
      <c r="A1107" s="6">
        <v>32200</v>
      </c>
      <c r="B1107" s="6" t="s">
        <v>917</v>
      </c>
    </row>
    <row r="1108" spans="1:2" ht="15.75" customHeight="1" x14ac:dyDescent="0.25">
      <c r="A1108" s="6">
        <v>32203</v>
      </c>
      <c r="B1108" s="6" t="s">
        <v>888</v>
      </c>
    </row>
    <row r="1109" spans="1:2" ht="15.75" customHeight="1" x14ac:dyDescent="0.25">
      <c r="A1109" s="6">
        <v>32214</v>
      </c>
      <c r="B1109" s="6" t="s">
        <v>934</v>
      </c>
    </row>
    <row r="1110" spans="1:2" ht="15.75" customHeight="1" x14ac:dyDescent="0.25">
      <c r="A1110" s="6">
        <v>32216</v>
      </c>
      <c r="B1110" s="6" t="s">
        <v>918</v>
      </c>
    </row>
    <row r="1111" spans="1:2" ht="15.75" customHeight="1" x14ac:dyDescent="0.25">
      <c r="A1111" s="6">
        <v>32217</v>
      </c>
      <c r="B1111" s="6" t="s">
        <v>932</v>
      </c>
    </row>
    <row r="1112" spans="1:2" ht="15.75" customHeight="1" x14ac:dyDescent="0.25">
      <c r="A1112" s="6">
        <v>32230</v>
      </c>
      <c r="B1112" s="6" t="s">
        <v>1633</v>
      </c>
    </row>
    <row r="1113" spans="1:2" ht="15.75" customHeight="1" x14ac:dyDescent="0.25">
      <c r="A1113" s="6">
        <v>32231</v>
      </c>
      <c r="B1113" s="6" t="s">
        <v>1634</v>
      </c>
    </row>
    <row r="1114" spans="1:2" ht="15.75" customHeight="1" x14ac:dyDescent="0.25">
      <c r="A1114" s="6">
        <v>32232</v>
      </c>
      <c r="B1114" s="6" t="s">
        <v>1635</v>
      </c>
    </row>
    <row r="1115" spans="1:2" ht="15.75" customHeight="1" x14ac:dyDescent="0.25">
      <c r="A1115" s="6">
        <v>132001</v>
      </c>
      <c r="B1115" s="6" t="s">
        <v>182</v>
      </c>
    </row>
    <row r="1116" spans="1:2" ht="15.75" customHeight="1" x14ac:dyDescent="0.25">
      <c r="A1116" s="6">
        <v>132002</v>
      </c>
      <c r="B1116" s="6" t="s">
        <v>935</v>
      </c>
    </row>
    <row r="1117" spans="1:2" ht="15.75" customHeight="1" x14ac:dyDescent="0.25">
      <c r="A1117" s="6">
        <v>132003</v>
      </c>
      <c r="B1117" s="6" t="s">
        <v>1638</v>
      </c>
    </row>
    <row r="1118" spans="1:2" ht="15.75" customHeight="1" x14ac:dyDescent="0.25">
      <c r="A1118" s="6">
        <v>132004</v>
      </c>
      <c r="B1118" s="6" t="s">
        <v>1639</v>
      </c>
    </row>
    <row r="1119" spans="1:2" ht="15.75" customHeight="1" x14ac:dyDescent="0.25">
      <c r="A1119" s="6">
        <v>132005</v>
      </c>
      <c r="B1119" s="6" t="s">
        <v>1640</v>
      </c>
    </row>
    <row r="1120" spans="1:2" ht="15.75" customHeight="1" x14ac:dyDescent="0.25">
      <c r="A1120" s="6">
        <v>132006</v>
      </c>
      <c r="B1120" s="6" t="s">
        <v>1641</v>
      </c>
    </row>
    <row r="1121" spans="1:2" ht="15.75" customHeight="1" x14ac:dyDescent="0.25">
      <c r="A1121" s="6">
        <v>132007</v>
      </c>
      <c r="B1121" s="6" t="s">
        <v>1642</v>
      </c>
    </row>
    <row r="1122" spans="1:2" ht="15.75" customHeight="1" x14ac:dyDescent="0.25">
      <c r="A1122" s="6">
        <v>132008</v>
      </c>
      <c r="B1122" s="6" t="s">
        <v>1643</v>
      </c>
    </row>
    <row r="1123" spans="1:2" ht="15.75" customHeight="1" x14ac:dyDescent="0.25">
      <c r="A1123" s="6">
        <v>132022</v>
      </c>
      <c r="B1123" s="6" t="s">
        <v>1645</v>
      </c>
    </row>
    <row r="1124" spans="1:2" ht="15.75" customHeight="1" x14ac:dyDescent="0.25">
      <c r="A1124" s="6">
        <v>33001</v>
      </c>
      <c r="B1124" s="6" t="s">
        <v>973</v>
      </c>
    </row>
    <row r="1125" spans="1:2" ht="15.75" customHeight="1" x14ac:dyDescent="0.25">
      <c r="A1125" s="6">
        <v>434001</v>
      </c>
      <c r="B1125" s="6" t="s">
        <v>696</v>
      </c>
    </row>
    <row r="1126" spans="1:2" ht="15.75" customHeight="1" x14ac:dyDescent="0.25">
      <c r="A1126" s="6">
        <v>434002</v>
      </c>
      <c r="B1126" s="6" t="s">
        <v>899</v>
      </c>
    </row>
    <row r="1127" spans="1:2" ht="15.75" customHeight="1" x14ac:dyDescent="0.25">
      <c r="A1127" s="6">
        <v>434003</v>
      </c>
      <c r="B1127" s="6" t="s">
        <v>900</v>
      </c>
    </row>
    <row r="1128" spans="1:2" ht="15.75" customHeight="1" x14ac:dyDescent="0.25">
      <c r="A1128" s="6">
        <v>434004</v>
      </c>
      <c r="B1128" s="6" t="s">
        <v>906</v>
      </c>
    </row>
    <row r="1129" spans="1:2" ht="15.75" customHeight="1" x14ac:dyDescent="0.25">
      <c r="A1129" s="6">
        <v>434005</v>
      </c>
      <c r="B1129" s="6" t="s">
        <v>907</v>
      </c>
    </row>
    <row r="1130" spans="1:2" ht="15.75" customHeight="1" x14ac:dyDescent="0.25">
      <c r="A1130" s="6">
        <v>434006</v>
      </c>
      <c r="B1130" s="6" t="s">
        <v>908</v>
      </c>
    </row>
    <row r="1131" spans="1:2" ht="15.75" customHeight="1" x14ac:dyDescent="0.25">
      <c r="A1131" s="6">
        <v>434007</v>
      </c>
      <c r="B1131" s="6" t="s">
        <v>937</v>
      </c>
    </row>
    <row r="1132" spans="1:2" ht="15.75" customHeight="1" x14ac:dyDescent="0.25">
      <c r="A1132" s="6">
        <v>434008</v>
      </c>
      <c r="B1132" s="6" t="s">
        <v>939</v>
      </c>
    </row>
    <row r="1133" spans="1:2" ht="15.75" customHeight="1" x14ac:dyDescent="0.25">
      <c r="A1133" s="6">
        <v>434009</v>
      </c>
      <c r="B1133" s="6" t="s">
        <v>940</v>
      </c>
    </row>
    <row r="1134" spans="1:2" ht="15.75" customHeight="1" x14ac:dyDescent="0.25">
      <c r="A1134" s="6">
        <v>434012</v>
      </c>
      <c r="B1134" s="6" t="s">
        <v>1047</v>
      </c>
    </row>
    <row r="1135" spans="1:2" ht="15.75" customHeight="1" x14ac:dyDescent="0.25">
      <c r="A1135" s="6">
        <v>434013</v>
      </c>
      <c r="B1135" s="6" t="s">
        <v>1048</v>
      </c>
    </row>
    <row r="1136" spans="1:2" ht="15.75" customHeight="1" x14ac:dyDescent="0.25">
      <c r="A1136" s="6">
        <v>434014</v>
      </c>
      <c r="B1136" s="6" t="s">
        <v>1359</v>
      </c>
    </row>
    <row r="1137" spans="1:2" ht="15.75" customHeight="1" x14ac:dyDescent="0.25">
      <c r="A1137" s="6">
        <v>434015</v>
      </c>
      <c r="B1137" s="6" t="s">
        <v>1360</v>
      </c>
    </row>
    <row r="1138" spans="1:2" ht="15.75" customHeight="1" x14ac:dyDescent="0.25">
      <c r="A1138" s="6">
        <v>434016</v>
      </c>
      <c r="B1138" s="6" t="s">
        <v>1365</v>
      </c>
    </row>
    <row r="1139" spans="1:2" ht="15.75" customHeight="1" x14ac:dyDescent="0.25">
      <c r="A1139" s="6">
        <v>434017</v>
      </c>
      <c r="B1139" s="6" t="s">
        <v>1366</v>
      </c>
    </row>
    <row r="1140" spans="1:2" ht="15.75" customHeight="1" x14ac:dyDescent="0.25">
      <c r="A1140" s="6">
        <v>434018</v>
      </c>
      <c r="B1140" s="6" t="s">
        <v>1376</v>
      </c>
    </row>
    <row r="1141" spans="1:2" ht="15.75" customHeight="1" x14ac:dyDescent="0.25">
      <c r="A1141" s="6">
        <v>434019</v>
      </c>
      <c r="B1141" s="6" t="s">
        <v>1377</v>
      </c>
    </row>
    <row r="1142" spans="1:2" ht="15.75" customHeight="1" x14ac:dyDescent="0.25">
      <c r="A1142" s="6">
        <v>434020</v>
      </c>
      <c r="B1142" s="6" t="s">
        <v>1430</v>
      </c>
    </row>
    <row r="1143" spans="1:2" ht="15.75" customHeight="1" x14ac:dyDescent="0.25">
      <c r="A1143" s="6">
        <v>434021</v>
      </c>
      <c r="B1143" s="6" t="s">
        <v>1431</v>
      </c>
    </row>
    <row r="1144" spans="1:2" ht="15.75" customHeight="1" x14ac:dyDescent="0.25">
      <c r="A1144" s="6">
        <v>434022</v>
      </c>
      <c r="B1144" s="6" t="s">
        <v>1432</v>
      </c>
    </row>
    <row r="1145" spans="1:2" ht="15.75" customHeight="1" x14ac:dyDescent="0.25">
      <c r="A1145" s="6">
        <v>434023</v>
      </c>
      <c r="B1145" s="6" t="s">
        <v>1528</v>
      </c>
    </row>
    <row r="1146" spans="1:2" ht="15.75" customHeight="1" x14ac:dyDescent="0.25">
      <c r="A1146" s="6">
        <v>434024</v>
      </c>
      <c r="B1146" s="6" t="s">
        <v>1529</v>
      </c>
    </row>
    <row r="1147" spans="1:2" ht="15.75" customHeight="1" x14ac:dyDescent="0.25">
      <c r="A1147" s="6">
        <v>434025</v>
      </c>
      <c r="B1147" s="6" t="s">
        <v>1530</v>
      </c>
    </row>
    <row r="1148" spans="1:2" ht="15.75" customHeight="1" x14ac:dyDescent="0.25">
      <c r="A1148" s="6">
        <v>434026</v>
      </c>
      <c r="B1148" s="6" t="s">
        <v>1551</v>
      </c>
    </row>
    <row r="1149" spans="1:2" ht="15.75" customHeight="1" x14ac:dyDescent="0.25">
      <c r="A1149" s="6">
        <v>434027</v>
      </c>
      <c r="B1149" s="6" t="s">
        <v>1552</v>
      </c>
    </row>
    <row r="1150" spans="1:2" ht="15.75" customHeight="1" x14ac:dyDescent="0.25">
      <c r="A1150" s="6">
        <v>434028</v>
      </c>
      <c r="B1150" s="6" t="s">
        <v>1553</v>
      </c>
    </row>
    <row r="1151" spans="1:2" ht="15.75" customHeight="1" x14ac:dyDescent="0.25">
      <c r="A1151" s="6">
        <v>434029</v>
      </c>
      <c r="B1151" s="6" t="s">
        <v>1563</v>
      </c>
    </row>
    <row r="1152" spans="1:2" ht="15.75" customHeight="1" x14ac:dyDescent="0.25">
      <c r="A1152" s="6">
        <v>434030</v>
      </c>
      <c r="B1152" s="6" t="s">
        <v>1564</v>
      </c>
    </row>
    <row r="1153" spans="1:2" ht="15.75" customHeight="1" x14ac:dyDescent="0.25">
      <c r="A1153" s="6">
        <v>434031</v>
      </c>
      <c r="B1153" s="6" t="s">
        <v>1565</v>
      </c>
    </row>
    <row r="1154" spans="1:2" ht="15.75" customHeight="1" x14ac:dyDescent="0.25">
      <c r="A1154" s="6">
        <v>434032</v>
      </c>
      <c r="B1154" s="6" t="s">
        <v>1566</v>
      </c>
    </row>
    <row r="1155" spans="1:2" ht="15.75" customHeight="1" x14ac:dyDescent="0.25">
      <c r="A1155" s="6">
        <v>434033</v>
      </c>
      <c r="B1155" s="6" t="s">
        <v>1568</v>
      </c>
    </row>
    <row r="1156" spans="1:2" ht="15.75" customHeight="1" x14ac:dyDescent="0.25">
      <c r="A1156" s="6">
        <v>434034</v>
      </c>
      <c r="B1156" s="6" t="s">
        <v>1567</v>
      </c>
    </row>
    <row r="1157" spans="1:2" ht="15.75" customHeight="1" x14ac:dyDescent="0.25">
      <c r="A1157" s="6">
        <v>35001</v>
      </c>
      <c r="B1157" s="6" t="s">
        <v>1013</v>
      </c>
    </row>
    <row r="1158" spans="1:2" ht="15.75" customHeight="1" x14ac:dyDescent="0.25">
      <c r="A1158" s="6">
        <v>35002</v>
      </c>
      <c r="B1158" s="6" t="s">
        <v>1014</v>
      </c>
    </row>
    <row r="1159" spans="1:2" ht="15.75" customHeight="1" x14ac:dyDescent="0.25">
      <c r="A1159" s="6">
        <v>35003</v>
      </c>
      <c r="B1159" s="6" t="s">
        <v>1543</v>
      </c>
    </row>
    <row r="1160" spans="1:2" ht="15.75" customHeight="1" x14ac:dyDescent="0.25">
      <c r="A1160" s="6">
        <v>35004</v>
      </c>
      <c r="B1160" s="6" t="s">
        <v>568</v>
      </c>
    </row>
    <row r="1161" spans="1:2" ht="15.75" customHeight="1" x14ac:dyDescent="0.25">
      <c r="A1161" s="6">
        <v>35005</v>
      </c>
      <c r="B1161" s="6" t="s">
        <v>564</v>
      </c>
    </row>
    <row r="1162" spans="1:2" ht="15.75" customHeight="1" x14ac:dyDescent="0.25">
      <c r="A1162" s="6">
        <v>235006</v>
      </c>
      <c r="B1162" s="6" t="s">
        <v>814</v>
      </c>
    </row>
    <row r="1163" spans="1:2" ht="15.75" customHeight="1" x14ac:dyDescent="0.25">
      <c r="A1163" s="6">
        <v>235007</v>
      </c>
      <c r="B1163" s="6" t="s">
        <v>813</v>
      </c>
    </row>
    <row r="1164" spans="1:2" ht="15.75" customHeight="1" x14ac:dyDescent="0.25">
      <c r="A1164" s="6">
        <v>235008</v>
      </c>
      <c r="B1164" s="6" t="s">
        <v>817</v>
      </c>
    </row>
    <row r="1165" spans="1:2" ht="15.75" customHeight="1" x14ac:dyDescent="0.25">
      <c r="A1165" s="6">
        <v>235009</v>
      </c>
      <c r="B1165" s="6" t="s">
        <v>815</v>
      </c>
    </row>
    <row r="1166" spans="1:2" ht="15.75" customHeight="1" x14ac:dyDescent="0.25">
      <c r="A1166" s="6">
        <v>236001</v>
      </c>
      <c r="B1166" s="6" t="s">
        <v>1394</v>
      </c>
    </row>
    <row r="1167" spans="1:2" ht="15.75" customHeight="1" x14ac:dyDescent="0.25">
      <c r="A1167" s="6">
        <v>236002</v>
      </c>
      <c r="B1167" s="6" t="s">
        <v>1384</v>
      </c>
    </row>
    <row r="1168" spans="1:2" ht="15.75" customHeight="1" x14ac:dyDescent="0.25">
      <c r="A1168" s="6">
        <v>236003</v>
      </c>
      <c r="B1168" s="6" t="s">
        <v>1393</v>
      </c>
    </row>
    <row r="1169" spans="1:2" ht="15.75" customHeight="1" x14ac:dyDescent="0.25">
      <c r="A1169" s="6">
        <v>236004</v>
      </c>
      <c r="B1169" s="6" t="s">
        <v>1395</v>
      </c>
    </row>
    <row r="1170" spans="1:2" ht="15.75" customHeight="1" x14ac:dyDescent="0.25">
      <c r="A1170" s="6">
        <v>236005</v>
      </c>
      <c r="B1170" s="6" t="s">
        <v>1383</v>
      </c>
    </row>
    <row r="1171" spans="1:2" ht="15.75" customHeight="1" x14ac:dyDescent="0.25">
      <c r="A1171" s="6">
        <v>236006</v>
      </c>
      <c r="B1171" s="6" t="s">
        <v>1382</v>
      </c>
    </row>
    <row r="1172" spans="1:2" ht="15.75" customHeight="1" x14ac:dyDescent="0.25">
      <c r="A1172" s="6">
        <v>37001</v>
      </c>
      <c r="B1172" s="6" t="s">
        <v>700</v>
      </c>
    </row>
    <row r="1173" spans="1:2" ht="15.75" customHeight="1" x14ac:dyDescent="0.25">
      <c r="A1173" s="6">
        <v>37002</v>
      </c>
      <c r="B1173" s="6" t="s">
        <v>983</v>
      </c>
    </row>
    <row r="1174" spans="1:2" ht="15.75" customHeight="1" x14ac:dyDescent="0.25">
      <c r="A1174" s="6">
        <v>37003</v>
      </c>
      <c r="B1174" s="6" t="s">
        <v>985</v>
      </c>
    </row>
    <row r="1175" spans="1:2" ht="15.75" customHeight="1" x14ac:dyDescent="0.25">
      <c r="A1175" s="6">
        <v>37004</v>
      </c>
      <c r="B1175" s="6" t="s">
        <v>987</v>
      </c>
    </row>
    <row r="1176" spans="1:2" ht="15.75" customHeight="1" x14ac:dyDescent="0.25">
      <c r="A1176" s="6">
        <v>37005</v>
      </c>
      <c r="B1176" s="6" t="s">
        <v>1455</v>
      </c>
    </row>
    <row r="1177" spans="1:2" ht="15.75" customHeight="1" x14ac:dyDescent="0.25">
      <c r="A1177" s="6">
        <v>37006</v>
      </c>
      <c r="B1177" s="6" t="s">
        <v>1453</v>
      </c>
    </row>
    <row r="1178" spans="1:2" ht="15.75" customHeight="1" x14ac:dyDescent="0.25">
      <c r="A1178" s="6">
        <v>37007</v>
      </c>
      <c r="B1178" s="6" t="s">
        <v>1451</v>
      </c>
    </row>
    <row r="1179" spans="1:2" ht="15.75" customHeight="1" x14ac:dyDescent="0.25">
      <c r="A1179" s="6">
        <v>37008</v>
      </c>
      <c r="B1179" s="6" t="s">
        <v>1456</v>
      </c>
    </row>
    <row r="1180" spans="1:2" ht="15.75" customHeight="1" x14ac:dyDescent="0.25">
      <c r="A1180" s="6">
        <v>37009</v>
      </c>
      <c r="B1180" s="6" t="s">
        <v>1454</v>
      </c>
    </row>
    <row r="1181" spans="1:2" ht="15.75" customHeight="1" x14ac:dyDescent="0.25">
      <c r="A1181" s="6">
        <v>37010</v>
      </c>
      <c r="B1181" s="6" t="s">
        <v>1452</v>
      </c>
    </row>
    <row r="1182" spans="1:2" ht="15.75" customHeight="1" x14ac:dyDescent="0.25">
      <c r="A1182" s="6">
        <v>37011</v>
      </c>
      <c r="B1182" s="6" t="s">
        <v>701</v>
      </c>
    </row>
    <row r="1183" spans="1:2" ht="15.75" customHeight="1" x14ac:dyDescent="0.25">
      <c r="A1183" s="6">
        <v>37012</v>
      </c>
      <c r="B1183" s="6" t="s">
        <v>984</v>
      </c>
    </row>
    <row r="1184" spans="1:2" ht="15.75" customHeight="1" x14ac:dyDescent="0.25">
      <c r="A1184" s="6">
        <v>37013</v>
      </c>
      <c r="B1184" s="6" t="s">
        <v>986</v>
      </c>
    </row>
    <row r="1185" spans="1:2" ht="15.75" customHeight="1" x14ac:dyDescent="0.25">
      <c r="A1185" s="6">
        <v>37014</v>
      </c>
      <c r="B1185" s="6" t="s">
        <v>988</v>
      </c>
    </row>
    <row r="1186" spans="1:2" ht="15.75" customHeight="1" x14ac:dyDescent="0.25">
      <c r="A1186" s="6">
        <v>37015</v>
      </c>
      <c r="B1186" s="6" t="s">
        <v>1362</v>
      </c>
    </row>
    <row r="1187" spans="1:2" ht="15.75" customHeight="1" x14ac:dyDescent="0.25">
      <c r="A1187" s="6">
        <v>37016</v>
      </c>
      <c r="B1187" s="6" t="s">
        <v>1363</v>
      </c>
    </row>
    <row r="1188" spans="1:2" ht="15.75" customHeight="1" x14ac:dyDescent="0.25">
      <c r="A1188" s="6">
        <v>137017</v>
      </c>
      <c r="B1188" s="6" t="s">
        <v>1364</v>
      </c>
    </row>
    <row r="1189" spans="1:2" ht="15.75" customHeight="1" x14ac:dyDescent="0.25">
      <c r="A1189" s="6">
        <v>338001</v>
      </c>
      <c r="B1189" s="6" t="s">
        <v>1091</v>
      </c>
    </row>
    <row r="1190" spans="1:2" ht="15.75" customHeight="1" x14ac:dyDescent="0.25">
      <c r="A1190" s="6">
        <v>338002</v>
      </c>
      <c r="B1190" s="6" t="s">
        <v>1579</v>
      </c>
    </row>
    <row r="1191" spans="1:2" ht="15.75" customHeight="1" x14ac:dyDescent="0.25">
      <c r="A1191" s="6">
        <v>338003</v>
      </c>
      <c r="B1191" s="6" t="s">
        <v>1090</v>
      </c>
    </row>
    <row r="1192" spans="1:2" ht="15.75" customHeight="1" x14ac:dyDescent="0.25">
      <c r="A1192" s="6">
        <v>338004</v>
      </c>
      <c r="B1192" s="6" t="s">
        <v>995</v>
      </c>
    </row>
    <row r="1193" spans="1:2" ht="15.75" customHeight="1" x14ac:dyDescent="0.25">
      <c r="A1193" s="6">
        <v>338005</v>
      </c>
      <c r="B1193" s="6" t="s">
        <v>1072</v>
      </c>
    </row>
    <row r="1194" spans="1:2" ht="15.75" customHeight="1" x14ac:dyDescent="0.25">
      <c r="A1194" s="6">
        <v>338006</v>
      </c>
      <c r="B1194" s="6" t="s">
        <v>1073</v>
      </c>
    </row>
    <row r="1195" spans="1:2" ht="15.75" customHeight="1" x14ac:dyDescent="0.25">
      <c r="A1195" s="6">
        <v>338007</v>
      </c>
      <c r="B1195" s="6" t="s">
        <v>1114</v>
      </c>
    </row>
    <row r="1196" spans="1:2" ht="15.75" customHeight="1" x14ac:dyDescent="0.25">
      <c r="A1196" s="6">
        <v>338008</v>
      </c>
      <c r="B1196" s="6" t="s">
        <v>769</v>
      </c>
    </row>
    <row r="1197" spans="1:2" ht="15.75" customHeight="1" x14ac:dyDescent="0.25">
      <c r="A1197" s="6">
        <v>338009</v>
      </c>
      <c r="B1197" s="6" t="s">
        <v>1590</v>
      </c>
    </row>
    <row r="1198" spans="1:2" ht="15.75" customHeight="1" x14ac:dyDescent="0.25">
      <c r="A1198" s="6">
        <v>338010</v>
      </c>
      <c r="B1198" s="6" t="s">
        <v>1592</v>
      </c>
    </row>
    <row r="1199" spans="1:2" ht="15.75" customHeight="1" x14ac:dyDescent="0.25">
      <c r="A1199" s="6">
        <v>338011</v>
      </c>
      <c r="B1199" s="6" t="s">
        <v>1591</v>
      </c>
    </row>
    <row r="1200" spans="1:2" ht="15.75" customHeight="1" x14ac:dyDescent="0.25">
      <c r="A1200" s="6">
        <v>338012</v>
      </c>
      <c r="B1200" s="6" t="s">
        <v>1593</v>
      </c>
    </row>
    <row r="1201" spans="1:2" ht="15.75" customHeight="1" x14ac:dyDescent="0.25">
      <c r="A1201" s="6">
        <v>338013</v>
      </c>
      <c r="B1201" s="6" t="s">
        <v>1595</v>
      </c>
    </row>
    <row r="1202" spans="1:2" ht="15.75" customHeight="1" x14ac:dyDescent="0.25">
      <c r="A1202" s="6">
        <v>338014</v>
      </c>
      <c r="B1202" s="6" t="s">
        <v>1594</v>
      </c>
    </row>
    <row r="1203" spans="1:2" ht="15.75" customHeight="1" x14ac:dyDescent="0.25">
      <c r="A1203" s="6">
        <v>338015</v>
      </c>
      <c r="B1203" s="6" t="s">
        <v>1078</v>
      </c>
    </row>
    <row r="1204" spans="1:2" ht="15.75" customHeight="1" x14ac:dyDescent="0.25">
      <c r="A1204" s="6">
        <v>338016</v>
      </c>
      <c r="B1204" s="6" t="s">
        <v>1079</v>
      </c>
    </row>
    <row r="1205" spans="1:2" ht="15.75" customHeight="1" x14ac:dyDescent="0.25">
      <c r="A1205" s="6">
        <v>338017</v>
      </c>
      <c r="B1205" s="6" t="s">
        <v>1080</v>
      </c>
    </row>
    <row r="1206" spans="1:2" ht="15.75" customHeight="1" x14ac:dyDescent="0.25">
      <c r="A1206" s="6">
        <v>338018</v>
      </c>
      <c r="B1206" s="6" t="s">
        <v>1076</v>
      </c>
    </row>
    <row r="1207" spans="1:2" ht="15.75" customHeight="1" x14ac:dyDescent="0.25">
      <c r="A1207" s="6">
        <v>338019</v>
      </c>
      <c r="B1207" s="6" t="s">
        <v>1075</v>
      </c>
    </row>
    <row r="1208" spans="1:2" ht="15.75" customHeight="1" x14ac:dyDescent="0.25">
      <c r="A1208" s="6">
        <v>338020</v>
      </c>
      <c r="B1208" s="6" t="s">
        <v>1077</v>
      </c>
    </row>
    <row r="1209" spans="1:2" ht="15.75" customHeight="1" x14ac:dyDescent="0.25">
      <c r="A1209" s="6">
        <v>338021</v>
      </c>
      <c r="B1209" s="6" t="s">
        <v>1081</v>
      </c>
    </row>
    <row r="1210" spans="1:2" ht="15.75" customHeight="1" x14ac:dyDescent="0.25">
      <c r="A1210" s="6">
        <v>39001</v>
      </c>
      <c r="B1210" s="6" t="s">
        <v>1510</v>
      </c>
    </row>
    <row r="1211" spans="1:2" ht="15.75" customHeight="1" x14ac:dyDescent="0.25">
      <c r="A1211" s="6">
        <v>39002</v>
      </c>
      <c r="B1211" s="6" t="s">
        <v>1494</v>
      </c>
    </row>
    <row r="1212" spans="1:2" ht="15.75" customHeight="1" x14ac:dyDescent="0.25">
      <c r="A1212" s="6">
        <v>39003</v>
      </c>
      <c r="B1212" s="6" t="s">
        <v>1520</v>
      </c>
    </row>
    <row r="1213" spans="1:2" ht="15.75" customHeight="1" x14ac:dyDescent="0.25">
      <c r="A1213" s="6">
        <v>39004</v>
      </c>
      <c r="B1213" s="6" t="s">
        <v>1511</v>
      </c>
    </row>
    <row r="1214" spans="1:2" ht="15.75" customHeight="1" x14ac:dyDescent="0.25">
      <c r="A1214" s="6">
        <v>39005</v>
      </c>
      <c r="B1214" s="6" t="s">
        <v>1495</v>
      </c>
    </row>
    <row r="1215" spans="1:2" ht="15.75" customHeight="1" x14ac:dyDescent="0.25">
      <c r="A1215" s="6">
        <v>39006</v>
      </c>
      <c r="B1215" s="6" t="s">
        <v>1521</v>
      </c>
    </row>
    <row r="1216" spans="1:2" ht="15.75" customHeight="1" x14ac:dyDescent="0.25">
      <c r="A1216" s="6">
        <v>39007</v>
      </c>
      <c r="B1216" s="6" t="s">
        <v>1508</v>
      </c>
    </row>
    <row r="1217" spans="1:2" ht="15.75" customHeight="1" x14ac:dyDescent="0.25">
      <c r="A1217" s="6">
        <v>39008</v>
      </c>
      <c r="B1217" s="6" t="s">
        <v>1492</v>
      </c>
    </row>
    <row r="1218" spans="1:2" ht="15.75" customHeight="1" x14ac:dyDescent="0.25">
      <c r="A1218" s="6">
        <v>39009</v>
      </c>
      <c r="B1218" s="6" t="s">
        <v>1518</v>
      </c>
    </row>
    <row r="1219" spans="1:2" ht="15.75" customHeight="1" x14ac:dyDescent="0.25">
      <c r="A1219" s="6">
        <v>39010</v>
      </c>
      <c r="B1219" s="6" t="s">
        <v>1509</v>
      </c>
    </row>
    <row r="1220" spans="1:2" ht="15.75" customHeight="1" x14ac:dyDescent="0.25">
      <c r="A1220" s="6">
        <v>39011</v>
      </c>
      <c r="B1220" s="6" t="s">
        <v>1493</v>
      </c>
    </row>
    <row r="1221" spans="1:2" ht="15.75" customHeight="1" x14ac:dyDescent="0.25">
      <c r="A1221" s="6">
        <v>39012</v>
      </c>
      <c r="B1221" s="6" t="s">
        <v>1519</v>
      </c>
    </row>
    <row r="1222" spans="1:2" ht="15.75" customHeight="1" x14ac:dyDescent="0.25">
      <c r="A1222" s="6">
        <v>39013</v>
      </c>
      <c r="B1222" s="6" t="s">
        <v>1506</v>
      </c>
    </row>
    <row r="1223" spans="1:2" ht="15.75" customHeight="1" x14ac:dyDescent="0.25">
      <c r="A1223" s="6">
        <v>39014</v>
      </c>
      <c r="B1223" s="6" t="s">
        <v>1490</v>
      </c>
    </row>
    <row r="1224" spans="1:2" ht="15.75" customHeight="1" x14ac:dyDescent="0.25">
      <c r="A1224" s="6">
        <v>39015</v>
      </c>
      <c r="B1224" s="6" t="s">
        <v>1516</v>
      </c>
    </row>
    <row r="1225" spans="1:2" ht="15.75" customHeight="1" x14ac:dyDescent="0.25">
      <c r="A1225" s="6">
        <v>39016</v>
      </c>
      <c r="B1225" s="6" t="s">
        <v>1507</v>
      </c>
    </row>
    <row r="1226" spans="1:2" ht="15.75" customHeight="1" x14ac:dyDescent="0.25">
      <c r="A1226" s="6">
        <v>39017</v>
      </c>
      <c r="B1226" s="6" t="s">
        <v>1491</v>
      </c>
    </row>
    <row r="1227" spans="1:2" ht="15.75" customHeight="1" x14ac:dyDescent="0.25">
      <c r="A1227" s="6">
        <v>39018</v>
      </c>
      <c r="B1227" s="6" t="s">
        <v>1517</v>
      </c>
    </row>
    <row r="1228" spans="1:2" ht="15.75" customHeight="1" x14ac:dyDescent="0.25">
      <c r="A1228" s="6">
        <v>440001</v>
      </c>
      <c r="B1228" s="6" t="s">
        <v>796</v>
      </c>
    </row>
    <row r="1229" spans="1:2" ht="15.75" customHeight="1" x14ac:dyDescent="0.25">
      <c r="A1229" s="6">
        <v>440002</v>
      </c>
      <c r="B1229" s="6" t="s">
        <v>802</v>
      </c>
    </row>
    <row r="1230" spans="1:2" ht="15.75" customHeight="1" x14ac:dyDescent="0.25">
      <c r="A1230" s="6">
        <v>440003</v>
      </c>
      <c r="B1230" s="6" t="s">
        <v>797</v>
      </c>
    </row>
    <row r="1231" spans="1:2" ht="15.75" customHeight="1" x14ac:dyDescent="0.25">
      <c r="A1231" s="6">
        <v>440004</v>
      </c>
      <c r="B1231" s="6" t="s">
        <v>798</v>
      </c>
    </row>
    <row r="1232" spans="1:2" ht="15.75" customHeight="1" x14ac:dyDescent="0.25">
      <c r="A1232" s="6">
        <v>440005</v>
      </c>
      <c r="B1232" s="6" t="s">
        <v>804</v>
      </c>
    </row>
    <row r="1233" spans="1:2" ht="15.75" customHeight="1" x14ac:dyDescent="0.25">
      <c r="A1233" s="6">
        <v>440006</v>
      </c>
      <c r="B1233" s="6" t="s">
        <v>801</v>
      </c>
    </row>
    <row r="1234" spans="1:2" ht="15.75" customHeight="1" x14ac:dyDescent="0.25">
      <c r="A1234" s="6">
        <v>440007</v>
      </c>
      <c r="B1234" s="6" t="s">
        <v>803</v>
      </c>
    </row>
    <row r="1235" spans="1:2" ht="15.75" customHeight="1" x14ac:dyDescent="0.25">
      <c r="A1235" s="6">
        <v>440008</v>
      </c>
      <c r="B1235" s="6" t="s">
        <v>799</v>
      </c>
    </row>
    <row r="1236" spans="1:2" ht="15.75" customHeight="1" x14ac:dyDescent="0.25">
      <c r="A1236" s="6">
        <v>440009</v>
      </c>
      <c r="B1236" s="6" t="s">
        <v>800</v>
      </c>
    </row>
    <row r="1237" spans="1:2" ht="15.75" customHeight="1" x14ac:dyDescent="0.25">
      <c r="A1237" s="6">
        <v>440010</v>
      </c>
      <c r="B1237" s="6" t="s">
        <v>787</v>
      </c>
    </row>
    <row r="1238" spans="1:2" ht="15.75" customHeight="1" x14ac:dyDescent="0.25">
      <c r="A1238" s="6">
        <v>440011</v>
      </c>
      <c r="B1238" s="6" t="s">
        <v>793</v>
      </c>
    </row>
    <row r="1239" spans="1:2" ht="15.75" customHeight="1" x14ac:dyDescent="0.25">
      <c r="A1239" s="6">
        <v>440012</v>
      </c>
      <c r="B1239" s="6" t="s">
        <v>788</v>
      </c>
    </row>
    <row r="1240" spans="1:2" ht="15.75" customHeight="1" x14ac:dyDescent="0.25">
      <c r="A1240" s="6">
        <v>440013</v>
      </c>
      <c r="B1240" s="6" t="s">
        <v>789</v>
      </c>
    </row>
    <row r="1241" spans="1:2" ht="15.75" customHeight="1" x14ac:dyDescent="0.25">
      <c r="A1241" s="6">
        <v>440014</v>
      </c>
      <c r="B1241" s="6" t="s">
        <v>795</v>
      </c>
    </row>
    <row r="1242" spans="1:2" ht="15.75" customHeight="1" x14ac:dyDescent="0.25">
      <c r="A1242" s="6">
        <v>440015</v>
      </c>
      <c r="B1242" s="6" t="s">
        <v>792</v>
      </c>
    </row>
    <row r="1243" spans="1:2" ht="15.75" customHeight="1" x14ac:dyDescent="0.25">
      <c r="A1243" s="6">
        <v>440016</v>
      </c>
      <c r="B1243" s="6" t="s">
        <v>794</v>
      </c>
    </row>
    <row r="1244" spans="1:2" ht="15.75" customHeight="1" x14ac:dyDescent="0.25">
      <c r="A1244" s="6">
        <v>440017</v>
      </c>
      <c r="B1244" s="6" t="s">
        <v>790</v>
      </c>
    </row>
    <row r="1245" spans="1:2" ht="15.75" customHeight="1" x14ac:dyDescent="0.25">
      <c r="A1245" s="6">
        <v>440018</v>
      </c>
      <c r="B1245" s="6" t="s">
        <v>791</v>
      </c>
    </row>
    <row r="1246" spans="1:2" ht="15.75" customHeight="1" x14ac:dyDescent="0.25">
      <c r="A1246" s="6">
        <v>440019</v>
      </c>
      <c r="B1246" s="6" t="s">
        <v>778</v>
      </c>
    </row>
    <row r="1247" spans="1:2" ht="15.75" customHeight="1" x14ac:dyDescent="0.25">
      <c r="A1247" s="6">
        <v>440020</v>
      </c>
      <c r="B1247" s="6" t="s">
        <v>784</v>
      </c>
    </row>
    <row r="1248" spans="1:2" ht="15.75" customHeight="1" x14ac:dyDescent="0.25">
      <c r="A1248" s="6">
        <v>440021</v>
      </c>
      <c r="B1248" s="6" t="s">
        <v>779</v>
      </c>
    </row>
    <row r="1249" spans="1:2" ht="15.75" customHeight="1" x14ac:dyDescent="0.25">
      <c r="A1249" s="6">
        <v>440022</v>
      </c>
      <c r="B1249" s="6" t="s">
        <v>780</v>
      </c>
    </row>
    <row r="1250" spans="1:2" ht="15.75" customHeight="1" x14ac:dyDescent="0.25">
      <c r="A1250" s="6">
        <v>440023</v>
      </c>
      <c r="B1250" s="6" t="s">
        <v>786</v>
      </c>
    </row>
    <row r="1251" spans="1:2" ht="15.75" customHeight="1" x14ac:dyDescent="0.25">
      <c r="A1251" s="6">
        <v>440024</v>
      </c>
      <c r="B1251" s="6" t="s">
        <v>783</v>
      </c>
    </row>
    <row r="1252" spans="1:2" ht="15.75" customHeight="1" x14ac:dyDescent="0.25">
      <c r="A1252" s="6">
        <v>440025</v>
      </c>
      <c r="B1252" s="6" t="s">
        <v>785</v>
      </c>
    </row>
    <row r="1253" spans="1:2" ht="15.75" customHeight="1" x14ac:dyDescent="0.25">
      <c r="A1253" s="6">
        <v>440026</v>
      </c>
      <c r="B1253" s="6" t="s">
        <v>781</v>
      </c>
    </row>
    <row r="1254" spans="1:2" ht="15.75" customHeight="1" x14ac:dyDescent="0.25">
      <c r="A1254" s="6">
        <v>440027</v>
      </c>
      <c r="B1254" s="6" t="s">
        <v>782</v>
      </c>
    </row>
    <row r="1255" spans="1:2" ht="15.75" customHeight="1" x14ac:dyDescent="0.25">
      <c r="A1255" s="6">
        <v>440028</v>
      </c>
      <c r="B1255" s="6" t="s">
        <v>770</v>
      </c>
    </row>
    <row r="1256" spans="1:2" ht="15.75" customHeight="1" x14ac:dyDescent="0.25">
      <c r="A1256" s="6">
        <v>440029</v>
      </c>
      <c r="B1256" s="6" t="s">
        <v>775</v>
      </c>
    </row>
    <row r="1257" spans="1:2" ht="15.75" customHeight="1" x14ac:dyDescent="0.25">
      <c r="A1257" s="6">
        <v>440030</v>
      </c>
      <c r="B1257" s="6" t="s">
        <v>771</v>
      </c>
    </row>
    <row r="1258" spans="1:2" ht="15.75" customHeight="1" x14ac:dyDescent="0.25">
      <c r="A1258" s="6">
        <v>440031</v>
      </c>
      <c r="B1258" s="6" t="s">
        <v>772</v>
      </c>
    </row>
    <row r="1259" spans="1:2" ht="15.75" customHeight="1" x14ac:dyDescent="0.25">
      <c r="A1259" s="6">
        <v>440032</v>
      </c>
      <c r="B1259" s="6" t="s">
        <v>777</v>
      </c>
    </row>
    <row r="1260" spans="1:2" ht="15.75" customHeight="1" x14ac:dyDescent="0.25">
      <c r="A1260" s="6">
        <v>440033</v>
      </c>
      <c r="B1260" s="6" t="s">
        <v>774</v>
      </c>
    </row>
    <row r="1261" spans="1:2" ht="15.75" customHeight="1" x14ac:dyDescent="0.25">
      <c r="A1261" s="6">
        <v>440034</v>
      </c>
      <c r="B1261" s="6" t="s">
        <v>776</v>
      </c>
    </row>
    <row r="1262" spans="1:2" ht="15.75" customHeight="1" x14ac:dyDescent="0.25">
      <c r="A1262" s="6">
        <v>440035</v>
      </c>
      <c r="B1262" s="6" t="s">
        <v>773</v>
      </c>
    </row>
    <row r="1263" spans="1:2" ht="15.75" customHeight="1" x14ac:dyDescent="0.25">
      <c r="A1263" s="6">
        <v>440036</v>
      </c>
      <c r="B1263" s="6" t="s">
        <v>712</v>
      </c>
    </row>
    <row r="1264" spans="1:2" ht="15.75" customHeight="1" x14ac:dyDescent="0.25">
      <c r="A1264" s="6">
        <v>440037</v>
      </c>
      <c r="B1264" s="6" t="s">
        <v>710</v>
      </c>
    </row>
    <row r="1265" spans="1:2" ht="15.75" customHeight="1" x14ac:dyDescent="0.25">
      <c r="A1265" s="6">
        <v>440038</v>
      </c>
      <c r="B1265" s="6" t="s">
        <v>716</v>
      </c>
    </row>
    <row r="1266" spans="1:2" ht="15.75" customHeight="1" x14ac:dyDescent="0.25">
      <c r="A1266" s="6">
        <v>440039</v>
      </c>
      <c r="B1266" s="6" t="s">
        <v>711</v>
      </c>
    </row>
    <row r="1267" spans="1:2" ht="15.75" customHeight="1" x14ac:dyDescent="0.25">
      <c r="A1267" s="6">
        <v>440040</v>
      </c>
      <c r="B1267" s="6" t="s">
        <v>715</v>
      </c>
    </row>
    <row r="1268" spans="1:2" ht="15.75" customHeight="1" x14ac:dyDescent="0.25">
      <c r="A1268" s="6">
        <v>440041</v>
      </c>
      <c r="B1268" s="6" t="s">
        <v>718</v>
      </c>
    </row>
    <row r="1269" spans="1:2" ht="15.75" customHeight="1" x14ac:dyDescent="0.25">
      <c r="A1269" s="6">
        <v>440042</v>
      </c>
      <c r="B1269" s="6" t="s">
        <v>717</v>
      </c>
    </row>
    <row r="1270" spans="1:2" ht="15.75" customHeight="1" x14ac:dyDescent="0.25">
      <c r="A1270" s="6">
        <v>440043</v>
      </c>
      <c r="B1270" s="6" t="s">
        <v>713</v>
      </c>
    </row>
    <row r="1271" spans="1:2" ht="15.75" customHeight="1" x14ac:dyDescent="0.25">
      <c r="A1271" s="6">
        <v>440044</v>
      </c>
      <c r="B1271" s="6" t="s">
        <v>714</v>
      </c>
    </row>
    <row r="1272" spans="1:2" ht="15.75" customHeight="1" x14ac:dyDescent="0.25">
      <c r="A1272" s="6">
        <v>440045</v>
      </c>
      <c r="B1272" s="6" t="s">
        <v>709</v>
      </c>
    </row>
    <row r="1273" spans="1:2" ht="15.75" customHeight="1" x14ac:dyDescent="0.25">
      <c r="A1273" s="6">
        <v>440046</v>
      </c>
      <c r="B1273" s="6" t="s">
        <v>1170</v>
      </c>
    </row>
    <row r="1274" spans="1:2" ht="15.75" customHeight="1" x14ac:dyDescent="0.25">
      <c r="A1274" s="6">
        <v>440047</v>
      </c>
      <c r="B1274" s="6" t="s">
        <v>1168</v>
      </c>
    </row>
    <row r="1275" spans="1:2" ht="15.75" customHeight="1" x14ac:dyDescent="0.25">
      <c r="A1275" s="6">
        <v>440048</v>
      </c>
      <c r="B1275" s="6" t="s">
        <v>1174</v>
      </c>
    </row>
    <row r="1276" spans="1:2" ht="15.75" customHeight="1" x14ac:dyDescent="0.25">
      <c r="A1276" s="6">
        <v>440049</v>
      </c>
      <c r="B1276" s="6" t="s">
        <v>1169</v>
      </c>
    </row>
    <row r="1277" spans="1:2" ht="15.75" customHeight="1" x14ac:dyDescent="0.25">
      <c r="A1277" s="6">
        <v>440050</v>
      </c>
      <c r="B1277" s="6" t="s">
        <v>1173</v>
      </c>
    </row>
    <row r="1278" spans="1:2" ht="15.75" customHeight="1" x14ac:dyDescent="0.25">
      <c r="A1278" s="6">
        <v>440051</v>
      </c>
      <c r="B1278" s="6" t="s">
        <v>1176</v>
      </c>
    </row>
    <row r="1279" spans="1:2" ht="15.75" customHeight="1" x14ac:dyDescent="0.25">
      <c r="A1279" s="6">
        <v>440052</v>
      </c>
      <c r="B1279" s="6" t="s">
        <v>1175</v>
      </c>
    </row>
    <row r="1280" spans="1:2" ht="15.75" customHeight="1" x14ac:dyDescent="0.25">
      <c r="A1280" s="6">
        <v>440053</v>
      </c>
      <c r="B1280" s="6" t="s">
        <v>1171</v>
      </c>
    </row>
    <row r="1281" spans="1:2" ht="15.75" customHeight="1" x14ac:dyDescent="0.25">
      <c r="A1281" s="6">
        <v>440054</v>
      </c>
      <c r="B1281" s="6" t="s">
        <v>1172</v>
      </c>
    </row>
    <row r="1282" spans="1:2" ht="15.75" customHeight="1" x14ac:dyDescent="0.25">
      <c r="A1282" s="6">
        <v>440055</v>
      </c>
      <c r="B1282" s="6" t="s">
        <v>1167</v>
      </c>
    </row>
    <row r="1283" spans="1:2" ht="15.75" customHeight="1" x14ac:dyDescent="0.25">
      <c r="A1283" s="6">
        <v>441001</v>
      </c>
      <c r="B1283" s="6" t="s">
        <v>796</v>
      </c>
    </row>
    <row r="1284" spans="1:2" ht="15.75" customHeight="1" x14ac:dyDescent="0.25">
      <c r="A1284" s="6">
        <v>441002</v>
      </c>
      <c r="B1284" s="6" t="s">
        <v>802</v>
      </c>
    </row>
    <row r="1285" spans="1:2" ht="15.75" customHeight="1" x14ac:dyDescent="0.25">
      <c r="A1285" s="6">
        <v>441003</v>
      </c>
      <c r="B1285" s="6" t="s">
        <v>797</v>
      </c>
    </row>
    <row r="1286" spans="1:2" ht="15.75" customHeight="1" x14ac:dyDescent="0.25">
      <c r="A1286" s="6">
        <v>441004</v>
      </c>
      <c r="B1286" s="6" t="s">
        <v>798</v>
      </c>
    </row>
    <row r="1287" spans="1:2" ht="15.75" customHeight="1" x14ac:dyDescent="0.25">
      <c r="A1287" s="6">
        <v>441005</v>
      </c>
      <c r="B1287" s="6" t="s">
        <v>804</v>
      </c>
    </row>
    <row r="1288" spans="1:2" ht="15.75" customHeight="1" x14ac:dyDescent="0.25">
      <c r="A1288" s="6">
        <v>441006</v>
      </c>
      <c r="B1288" s="6" t="s">
        <v>801</v>
      </c>
    </row>
    <row r="1289" spans="1:2" ht="15.75" customHeight="1" x14ac:dyDescent="0.25">
      <c r="A1289" s="6">
        <v>441007</v>
      </c>
      <c r="B1289" s="6" t="s">
        <v>803</v>
      </c>
    </row>
    <row r="1290" spans="1:2" ht="15.75" customHeight="1" x14ac:dyDescent="0.25">
      <c r="A1290" s="6">
        <v>441008</v>
      </c>
      <c r="B1290" s="6" t="s">
        <v>799</v>
      </c>
    </row>
    <row r="1291" spans="1:2" ht="15.75" customHeight="1" x14ac:dyDescent="0.25">
      <c r="A1291" s="6">
        <v>441009</v>
      </c>
      <c r="B1291" s="6" t="s">
        <v>800</v>
      </c>
    </row>
    <row r="1292" spans="1:2" ht="15.75" customHeight="1" x14ac:dyDescent="0.25">
      <c r="A1292" s="6">
        <v>441010</v>
      </c>
      <c r="B1292" s="6" t="s">
        <v>787</v>
      </c>
    </row>
    <row r="1293" spans="1:2" ht="15.75" customHeight="1" x14ac:dyDescent="0.25">
      <c r="A1293" s="6">
        <v>441011</v>
      </c>
      <c r="B1293" s="6" t="s">
        <v>793</v>
      </c>
    </row>
    <row r="1294" spans="1:2" ht="15.75" customHeight="1" x14ac:dyDescent="0.25">
      <c r="A1294" s="6">
        <v>441012</v>
      </c>
      <c r="B1294" s="6" t="s">
        <v>788</v>
      </c>
    </row>
    <row r="1295" spans="1:2" ht="15.75" customHeight="1" x14ac:dyDescent="0.25">
      <c r="A1295" s="6">
        <v>441013</v>
      </c>
      <c r="B1295" s="6" t="s">
        <v>789</v>
      </c>
    </row>
    <row r="1296" spans="1:2" ht="15.75" customHeight="1" x14ac:dyDescent="0.25">
      <c r="A1296" s="6">
        <v>441014</v>
      </c>
      <c r="B1296" s="6" t="s">
        <v>795</v>
      </c>
    </row>
    <row r="1297" spans="1:2" ht="15.75" customHeight="1" x14ac:dyDescent="0.25">
      <c r="A1297" s="6">
        <v>441015</v>
      </c>
      <c r="B1297" s="6" t="s">
        <v>792</v>
      </c>
    </row>
    <row r="1298" spans="1:2" ht="15.75" customHeight="1" x14ac:dyDescent="0.25">
      <c r="A1298" s="6">
        <v>441016</v>
      </c>
      <c r="B1298" s="6" t="s">
        <v>794</v>
      </c>
    </row>
    <row r="1299" spans="1:2" ht="15.75" customHeight="1" x14ac:dyDescent="0.25">
      <c r="A1299" s="6">
        <v>441017</v>
      </c>
      <c r="B1299" s="6" t="s">
        <v>790</v>
      </c>
    </row>
    <row r="1300" spans="1:2" ht="15.75" customHeight="1" x14ac:dyDescent="0.25">
      <c r="A1300" s="6">
        <v>441018</v>
      </c>
      <c r="B1300" s="6" t="s">
        <v>791</v>
      </c>
    </row>
    <row r="1301" spans="1:2" ht="15.75" customHeight="1" x14ac:dyDescent="0.25">
      <c r="A1301" s="6">
        <v>441019</v>
      </c>
      <c r="B1301" s="6" t="s">
        <v>778</v>
      </c>
    </row>
    <row r="1302" spans="1:2" ht="15.75" customHeight="1" x14ac:dyDescent="0.25">
      <c r="A1302" s="6">
        <v>441020</v>
      </c>
      <c r="B1302" s="6" t="s">
        <v>784</v>
      </c>
    </row>
    <row r="1303" spans="1:2" ht="15.75" customHeight="1" x14ac:dyDescent="0.25">
      <c r="A1303" s="6">
        <v>441021</v>
      </c>
      <c r="B1303" s="6" t="s">
        <v>779</v>
      </c>
    </row>
    <row r="1304" spans="1:2" ht="15.75" customHeight="1" x14ac:dyDescent="0.25">
      <c r="A1304" s="6">
        <v>441022</v>
      </c>
      <c r="B1304" s="6" t="s">
        <v>780</v>
      </c>
    </row>
    <row r="1305" spans="1:2" ht="15.75" customHeight="1" x14ac:dyDescent="0.25">
      <c r="A1305" s="6">
        <v>441023</v>
      </c>
      <c r="B1305" s="6" t="s">
        <v>786</v>
      </c>
    </row>
    <row r="1306" spans="1:2" ht="15.75" customHeight="1" x14ac:dyDescent="0.25">
      <c r="A1306" s="6">
        <v>441024</v>
      </c>
      <c r="B1306" s="6" t="s">
        <v>783</v>
      </c>
    </row>
    <row r="1307" spans="1:2" ht="15.75" customHeight="1" x14ac:dyDescent="0.25">
      <c r="A1307" s="6">
        <v>441025</v>
      </c>
      <c r="B1307" s="6" t="s">
        <v>785</v>
      </c>
    </row>
    <row r="1308" spans="1:2" ht="15.75" customHeight="1" x14ac:dyDescent="0.25">
      <c r="A1308" s="6">
        <v>441026</v>
      </c>
      <c r="B1308" s="6" t="s">
        <v>781</v>
      </c>
    </row>
    <row r="1309" spans="1:2" ht="15.75" customHeight="1" x14ac:dyDescent="0.25">
      <c r="A1309" s="6">
        <v>441027</v>
      </c>
      <c r="B1309" s="6" t="s">
        <v>782</v>
      </c>
    </row>
    <row r="1310" spans="1:2" ht="15.75" customHeight="1" x14ac:dyDescent="0.25">
      <c r="A1310" s="6">
        <v>441028</v>
      </c>
      <c r="B1310" s="6" t="s">
        <v>770</v>
      </c>
    </row>
    <row r="1311" spans="1:2" ht="15.75" customHeight="1" x14ac:dyDescent="0.25">
      <c r="A1311" s="6">
        <v>441029</v>
      </c>
      <c r="B1311" s="6" t="s">
        <v>775</v>
      </c>
    </row>
    <row r="1312" spans="1:2" ht="15.75" customHeight="1" x14ac:dyDescent="0.25">
      <c r="A1312" s="6">
        <v>441030</v>
      </c>
      <c r="B1312" s="6" t="s">
        <v>771</v>
      </c>
    </row>
    <row r="1313" spans="1:2" ht="15.75" customHeight="1" x14ac:dyDescent="0.25">
      <c r="A1313" s="6">
        <v>441031</v>
      </c>
      <c r="B1313" s="6" t="s">
        <v>772</v>
      </c>
    </row>
    <row r="1314" spans="1:2" ht="15.75" customHeight="1" x14ac:dyDescent="0.25">
      <c r="A1314" s="6">
        <v>441032</v>
      </c>
      <c r="B1314" s="6" t="s">
        <v>777</v>
      </c>
    </row>
    <row r="1315" spans="1:2" ht="15.75" customHeight="1" x14ac:dyDescent="0.25">
      <c r="A1315" s="6">
        <v>441033</v>
      </c>
      <c r="B1315" s="6" t="s">
        <v>774</v>
      </c>
    </row>
    <row r="1316" spans="1:2" ht="15.75" customHeight="1" x14ac:dyDescent="0.25">
      <c r="A1316" s="6">
        <v>441034</v>
      </c>
      <c r="B1316" s="6" t="s">
        <v>776</v>
      </c>
    </row>
    <row r="1317" spans="1:2" ht="15.75" customHeight="1" x14ac:dyDescent="0.25">
      <c r="A1317" s="6">
        <v>441035</v>
      </c>
      <c r="B1317" s="6" t="s">
        <v>773</v>
      </c>
    </row>
    <row r="1318" spans="1:2" ht="15.75" customHeight="1" x14ac:dyDescent="0.25">
      <c r="A1318" s="6">
        <v>441036</v>
      </c>
      <c r="B1318" s="6" t="s">
        <v>712</v>
      </c>
    </row>
    <row r="1319" spans="1:2" ht="15.75" customHeight="1" x14ac:dyDescent="0.25">
      <c r="A1319" s="6">
        <v>441037</v>
      </c>
      <c r="B1319" s="6" t="s">
        <v>710</v>
      </c>
    </row>
    <row r="1320" spans="1:2" ht="15.75" customHeight="1" x14ac:dyDescent="0.25">
      <c r="A1320" s="6">
        <v>441038</v>
      </c>
      <c r="B1320" s="6" t="s">
        <v>716</v>
      </c>
    </row>
    <row r="1321" spans="1:2" ht="15.75" customHeight="1" x14ac:dyDescent="0.25">
      <c r="A1321" s="6">
        <v>441039</v>
      </c>
      <c r="B1321" s="6" t="s">
        <v>711</v>
      </c>
    </row>
    <row r="1322" spans="1:2" ht="15.75" customHeight="1" x14ac:dyDescent="0.25">
      <c r="A1322" s="6">
        <v>441040</v>
      </c>
      <c r="B1322" s="6" t="s">
        <v>715</v>
      </c>
    </row>
    <row r="1323" spans="1:2" ht="15.75" customHeight="1" x14ac:dyDescent="0.25">
      <c r="A1323" s="6">
        <v>441041</v>
      </c>
      <c r="B1323" s="6" t="s">
        <v>718</v>
      </c>
    </row>
    <row r="1324" spans="1:2" ht="15.75" customHeight="1" x14ac:dyDescent="0.25">
      <c r="A1324" s="6">
        <v>441042</v>
      </c>
      <c r="B1324" s="6" t="s">
        <v>717</v>
      </c>
    </row>
    <row r="1325" spans="1:2" ht="15.75" customHeight="1" x14ac:dyDescent="0.25">
      <c r="A1325" s="6">
        <v>441043</v>
      </c>
      <c r="B1325" s="6" t="s">
        <v>713</v>
      </c>
    </row>
    <row r="1326" spans="1:2" ht="15.75" customHeight="1" x14ac:dyDescent="0.25">
      <c r="A1326" s="6">
        <v>441044</v>
      </c>
      <c r="B1326" s="6" t="s">
        <v>714</v>
      </c>
    </row>
    <row r="1327" spans="1:2" ht="15.75" customHeight="1" x14ac:dyDescent="0.25">
      <c r="A1327" s="6">
        <v>441045</v>
      </c>
      <c r="B1327" s="6" t="s">
        <v>709</v>
      </c>
    </row>
    <row r="1328" spans="1:2" ht="15.75" customHeight="1" x14ac:dyDescent="0.25">
      <c r="A1328" s="6">
        <v>42001</v>
      </c>
      <c r="B1328" s="6" t="s">
        <v>1467</v>
      </c>
    </row>
    <row r="1329" spans="1:2" ht="15.75" customHeight="1" x14ac:dyDescent="0.25">
      <c r="A1329" s="6">
        <v>42002</v>
      </c>
      <c r="B1329" s="6" t="s">
        <v>1465</v>
      </c>
    </row>
    <row r="1330" spans="1:2" ht="15.75" customHeight="1" x14ac:dyDescent="0.25">
      <c r="A1330" s="6">
        <v>42003</v>
      </c>
      <c r="B1330" s="6" t="s">
        <v>1478</v>
      </c>
    </row>
    <row r="1331" spans="1:2" ht="15.75" customHeight="1" x14ac:dyDescent="0.25">
      <c r="A1331" s="6">
        <v>42004</v>
      </c>
      <c r="B1331" s="6" t="s">
        <v>1468</v>
      </c>
    </row>
    <row r="1332" spans="1:2" ht="15.75" customHeight="1" x14ac:dyDescent="0.25">
      <c r="A1332" s="6">
        <v>42005</v>
      </c>
      <c r="B1332" s="6" t="s">
        <v>1466</v>
      </c>
    </row>
    <row r="1333" spans="1:2" ht="15.75" customHeight="1" x14ac:dyDescent="0.25">
      <c r="A1333" s="6">
        <v>42006</v>
      </c>
      <c r="B1333" s="6" t="s">
        <v>1479</v>
      </c>
    </row>
    <row r="1334" spans="1:2" ht="15.75" customHeight="1" x14ac:dyDescent="0.25">
      <c r="A1334" s="6">
        <v>42013</v>
      </c>
      <c r="B1334" s="6" t="s">
        <v>1482</v>
      </c>
    </row>
    <row r="1335" spans="1:2" ht="15.75" customHeight="1" x14ac:dyDescent="0.25">
      <c r="A1335" s="6">
        <v>42014</v>
      </c>
      <c r="B1335" s="6" t="s">
        <v>1480</v>
      </c>
    </row>
    <row r="1336" spans="1:2" ht="15.75" customHeight="1" x14ac:dyDescent="0.25">
      <c r="A1336" s="6">
        <v>42015</v>
      </c>
      <c r="B1336" s="6" t="s">
        <v>1484</v>
      </c>
    </row>
    <row r="1337" spans="1:2" ht="15.75" customHeight="1" x14ac:dyDescent="0.25">
      <c r="A1337" s="6">
        <v>42016</v>
      </c>
      <c r="B1337" s="6" t="s">
        <v>1483</v>
      </c>
    </row>
    <row r="1338" spans="1:2" ht="15.75" customHeight="1" x14ac:dyDescent="0.25">
      <c r="A1338" s="6">
        <v>42017</v>
      </c>
      <c r="B1338" s="6" t="s">
        <v>1481</v>
      </c>
    </row>
    <row r="1339" spans="1:2" ht="15.75" customHeight="1" x14ac:dyDescent="0.25">
      <c r="A1339" s="6">
        <v>42018</v>
      </c>
      <c r="B1339" s="6" t="s">
        <v>1485</v>
      </c>
    </row>
    <row r="1340" spans="1:2" ht="15.75" customHeight="1" x14ac:dyDescent="0.25">
      <c r="A1340" s="6">
        <v>42031</v>
      </c>
      <c r="B1340" s="6" t="s">
        <v>1513</v>
      </c>
    </row>
    <row r="1341" spans="1:2" ht="15.75" customHeight="1" x14ac:dyDescent="0.25">
      <c r="A1341" s="6">
        <v>42032</v>
      </c>
      <c r="B1341" s="6" t="s">
        <v>1497</v>
      </c>
    </row>
    <row r="1342" spans="1:2" ht="15.75" customHeight="1" x14ac:dyDescent="0.25">
      <c r="A1342" s="6">
        <v>42033</v>
      </c>
      <c r="B1342" s="6" t="s">
        <v>1523</v>
      </c>
    </row>
    <row r="1343" spans="1:2" ht="15.75" customHeight="1" x14ac:dyDescent="0.25">
      <c r="A1343" s="6">
        <v>42034</v>
      </c>
      <c r="B1343" s="6" t="s">
        <v>1515</v>
      </c>
    </row>
    <row r="1344" spans="1:2" ht="15.75" customHeight="1" x14ac:dyDescent="0.25">
      <c r="A1344" s="6">
        <v>42035</v>
      </c>
      <c r="B1344" s="6" t="s">
        <v>1499</v>
      </c>
    </row>
    <row r="1345" spans="1:2" ht="15.75" customHeight="1" x14ac:dyDescent="0.25">
      <c r="A1345" s="6">
        <v>42036</v>
      </c>
      <c r="B1345" s="6" t="s">
        <v>1525</v>
      </c>
    </row>
    <row r="1346" spans="1:2" ht="15.75" customHeight="1" x14ac:dyDescent="0.25">
      <c r="A1346" s="6">
        <v>42037</v>
      </c>
      <c r="B1346" s="6" t="s">
        <v>1512</v>
      </c>
    </row>
    <row r="1347" spans="1:2" ht="15.75" customHeight="1" x14ac:dyDescent="0.25">
      <c r="A1347" s="6">
        <v>42038</v>
      </c>
      <c r="B1347" s="6" t="s">
        <v>1496</v>
      </c>
    </row>
    <row r="1348" spans="1:2" ht="15.75" customHeight="1" x14ac:dyDescent="0.25">
      <c r="A1348" s="6">
        <v>42039</v>
      </c>
      <c r="B1348" s="6" t="s">
        <v>1522</v>
      </c>
    </row>
    <row r="1349" spans="1:2" ht="15.75" customHeight="1" x14ac:dyDescent="0.25">
      <c r="A1349" s="6">
        <v>42040</v>
      </c>
      <c r="B1349" s="6" t="s">
        <v>1514</v>
      </c>
    </row>
    <row r="1350" spans="1:2" ht="15.75" customHeight="1" x14ac:dyDescent="0.25">
      <c r="A1350" s="6">
        <v>42041</v>
      </c>
      <c r="B1350" s="6" t="s">
        <v>1498</v>
      </c>
    </row>
    <row r="1351" spans="1:2" ht="15.75" customHeight="1" x14ac:dyDescent="0.25">
      <c r="A1351" s="6">
        <v>42042</v>
      </c>
      <c r="B1351" s="6" t="s">
        <v>1524</v>
      </c>
    </row>
    <row r="1352" spans="1:2" ht="15.75" customHeight="1" x14ac:dyDescent="0.25">
      <c r="A1352" s="6">
        <v>42043</v>
      </c>
      <c r="B1352" s="6" t="s">
        <v>1476</v>
      </c>
    </row>
    <row r="1353" spans="1:2" ht="15.75" customHeight="1" x14ac:dyDescent="0.25">
      <c r="A1353" s="6">
        <v>42044</v>
      </c>
      <c r="B1353" s="6" t="s">
        <v>1477</v>
      </c>
    </row>
    <row r="1354" spans="1:2" ht="15.75" customHeight="1" x14ac:dyDescent="0.25">
      <c r="A1354" s="6">
        <v>42045</v>
      </c>
      <c r="B1354" s="6" t="s">
        <v>1475</v>
      </c>
    </row>
    <row r="1355" spans="1:2" ht="15.75" customHeight="1" x14ac:dyDescent="0.25">
      <c r="A1355" s="6">
        <v>42046</v>
      </c>
      <c r="B1355" s="6" t="s">
        <v>1650</v>
      </c>
    </row>
    <row r="1356" spans="1:2" ht="15.75" customHeight="1" x14ac:dyDescent="0.25">
      <c r="A1356" s="6">
        <v>42047</v>
      </c>
      <c r="B1356" s="6" t="s">
        <v>1651</v>
      </c>
    </row>
    <row r="1357" spans="1:2" ht="15.75" customHeight="1" x14ac:dyDescent="0.25">
      <c r="A1357" s="6">
        <v>42048</v>
      </c>
      <c r="B1357" s="6" t="s">
        <v>1652</v>
      </c>
    </row>
    <row r="1358" spans="1:2" ht="15.75" customHeight="1" x14ac:dyDescent="0.25">
      <c r="A1358" s="6">
        <v>42049</v>
      </c>
      <c r="B1358" s="6" t="s">
        <v>1653</v>
      </c>
    </row>
    <row r="1359" spans="1:2" ht="15.75" customHeight="1" x14ac:dyDescent="0.25">
      <c r="A1359" s="6">
        <v>42050</v>
      </c>
      <c r="B1359" s="6" t="s">
        <v>2012</v>
      </c>
    </row>
    <row r="1360" spans="1:2" ht="15.75" customHeight="1" x14ac:dyDescent="0.25">
      <c r="A1360" s="6">
        <v>43007</v>
      </c>
      <c r="B1360" s="6" t="s">
        <v>1605</v>
      </c>
    </row>
    <row r="1361" spans="1:2" ht="15.75" customHeight="1" x14ac:dyDescent="0.25">
      <c r="A1361" s="6">
        <v>43010</v>
      </c>
      <c r="B1361" s="6" t="s">
        <v>842</v>
      </c>
    </row>
    <row r="1362" spans="1:2" ht="15.75" customHeight="1" x14ac:dyDescent="0.25">
      <c r="A1362" s="6">
        <v>43011</v>
      </c>
      <c r="B1362" s="6" t="s">
        <v>850</v>
      </c>
    </row>
    <row r="1363" spans="1:2" ht="15.75" customHeight="1" x14ac:dyDescent="0.25">
      <c r="A1363" s="6">
        <v>43012</v>
      </c>
      <c r="B1363" s="6" t="s">
        <v>830</v>
      </c>
    </row>
    <row r="1364" spans="1:2" ht="15.75" customHeight="1" x14ac:dyDescent="0.25">
      <c r="A1364" s="6">
        <v>43013</v>
      </c>
      <c r="B1364" s="6" t="s">
        <v>833</v>
      </c>
    </row>
    <row r="1365" spans="1:2" ht="15.75" customHeight="1" x14ac:dyDescent="0.25">
      <c r="A1365" s="6">
        <v>43014</v>
      </c>
      <c r="B1365" s="6" t="s">
        <v>1448</v>
      </c>
    </row>
    <row r="1366" spans="1:2" ht="15.75" customHeight="1" x14ac:dyDescent="0.25">
      <c r="A1366" s="6">
        <v>45001</v>
      </c>
      <c r="B1366" s="6" t="s">
        <v>1009</v>
      </c>
    </row>
    <row r="1367" spans="1:2" ht="15.75" customHeight="1" x14ac:dyDescent="0.25">
      <c r="A1367" s="6">
        <v>45002</v>
      </c>
      <c r="B1367" s="6" t="s">
        <v>1006</v>
      </c>
    </row>
    <row r="1368" spans="1:2" ht="15.75" customHeight="1" x14ac:dyDescent="0.25">
      <c r="A1368" s="6">
        <v>45003</v>
      </c>
      <c r="B1368" s="6" t="s">
        <v>1007</v>
      </c>
    </row>
    <row r="1369" spans="1:2" ht="15.75" customHeight="1" x14ac:dyDescent="0.25">
      <c r="A1369" s="6">
        <v>45004</v>
      </c>
      <c r="B1369" s="6" t="s">
        <v>1008</v>
      </c>
    </row>
    <row r="1370" spans="1:2" ht="15.75" customHeight="1" x14ac:dyDescent="0.25">
      <c r="A1370" s="6">
        <v>45005</v>
      </c>
      <c r="B1370" s="6" t="s">
        <v>1010</v>
      </c>
    </row>
    <row r="1371" spans="1:2" ht="15.75" customHeight="1" x14ac:dyDescent="0.25">
      <c r="A1371" s="6">
        <v>45006</v>
      </c>
      <c r="B1371" s="6" t="s">
        <v>1536</v>
      </c>
    </row>
    <row r="1372" spans="1:2" ht="15.75" customHeight="1" x14ac:dyDescent="0.25">
      <c r="A1372" s="6">
        <v>45007</v>
      </c>
      <c r="B1372" s="6" t="s">
        <v>1533</v>
      </c>
    </row>
    <row r="1373" spans="1:2" ht="15.75" customHeight="1" x14ac:dyDescent="0.25">
      <c r="A1373" s="6">
        <v>45008</v>
      </c>
      <c r="B1373" s="6" t="s">
        <v>1534</v>
      </c>
    </row>
    <row r="1374" spans="1:2" ht="15.75" customHeight="1" x14ac:dyDescent="0.25">
      <c r="A1374" s="6">
        <v>45009</v>
      </c>
      <c r="B1374" s="6" t="s">
        <v>1535</v>
      </c>
    </row>
    <row r="1375" spans="1:2" ht="15.75" customHeight="1" x14ac:dyDescent="0.25">
      <c r="A1375" s="6">
        <v>45010</v>
      </c>
      <c r="B1375" s="6" t="s">
        <v>1537</v>
      </c>
    </row>
    <row r="1376" spans="1:2" ht="15.75" customHeight="1" x14ac:dyDescent="0.25">
      <c r="A1376" s="6">
        <v>45011</v>
      </c>
      <c r="B1376" s="6" t="s">
        <v>1462</v>
      </c>
    </row>
    <row r="1377" spans="1:2" ht="15.75" customHeight="1" x14ac:dyDescent="0.25">
      <c r="A1377" s="6">
        <v>45012</v>
      </c>
      <c r="B1377" s="6" t="s">
        <v>1113</v>
      </c>
    </row>
    <row r="1378" spans="1:2" ht="15.75" customHeight="1" x14ac:dyDescent="0.25">
      <c r="A1378" s="6">
        <v>45013</v>
      </c>
      <c r="B1378" s="6" t="s">
        <v>690</v>
      </c>
    </row>
    <row r="1379" spans="1:2" ht="15.75" customHeight="1" x14ac:dyDescent="0.25">
      <c r="A1379" s="6">
        <v>45014</v>
      </c>
      <c r="B1379" s="6" t="s">
        <v>688</v>
      </c>
    </row>
    <row r="1380" spans="1:2" ht="15.75" customHeight="1" x14ac:dyDescent="0.25">
      <c r="A1380" s="6">
        <v>45015</v>
      </c>
      <c r="B1380" s="6" t="s">
        <v>689</v>
      </c>
    </row>
    <row r="1381" spans="1:2" ht="15.75" customHeight="1" x14ac:dyDescent="0.25">
      <c r="A1381" s="6">
        <v>45016</v>
      </c>
      <c r="B1381" s="6" t="s">
        <v>680</v>
      </c>
    </row>
    <row r="1382" spans="1:2" ht="15.75" customHeight="1" x14ac:dyDescent="0.25">
      <c r="A1382" s="6">
        <v>45017</v>
      </c>
      <c r="B1382" s="6" t="s">
        <v>678</v>
      </c>
    </row>
    <row r="1383" spans="1:2" ht="15.75" customHeight="1" x14ac:dyDescent="0.25">
      <c r="A1383" s="6">
        <v>45018</v>
      </c>
      <c r="B1383" s="6" t="s">
        <v>679</v>
      </c>
    </row>
    <row r="1384" spans="1:2" ht="15.75" customHeight="1" x14ac:dyDescent="0.25">
      <c r="A1384" s="6">
        <v>45019</v>
      </c>
      <c r="B1384" s="6" t="s">
        <v>1051</v>
      </c>
    </row>
    <row r="1385" spans="1:2" ht="15.75" customHeight="1" x14ac:dyDescent="0.25">
      <c r="A1385" s="6">
        <v>45020</v>
      </c>
      <c r="B1385" s="6" t="s">
        <v>1049</v>
      </c>
    </row>
    <row r="1386" spans="1:2" ht="15.75" customHeight="1" x14ac:dyDescent="0.25">
      <c r="A1386" s="6">
        <v>45021</v>
      </c>
      <c r="B1386" s="6" t="s">
        <v>1050</v>
      </c>
    </row>
    <row r="1387" spans="1:2" ht="15.75" customHeight="1" x14ac:dyDescent="0.25">
      <c r="A1387" s="6">
        <v>45022</v>
      </c>
      <c r="B1387" s="6" t="s">
        <v>1216</v>
      </c>
    </row>
    <row r="1388" spans="1:2" ht="15.75" customHeight="1" x14ac:dyDescent="0.25">
      <c r="A1388" s="6">
        <v>45023</v>
      </c>
      <c r="B1388" s="6" t="s">
        <v>1214</v>
      </c>
    </row>
    <row r="1389" spans="1:2" ht="15.75" customHeight="1" x14ac:dyDescent="0.25">
      <c r="A1389" s="6">
        <v>45024</v>
      </c>
      <c r="B1389" s="6" t="s">
        <v>1215</v>
      </c>
    </row>
    <row r="1390" spans="1:2" ht="15.75" customHeight="1" x14ac:dyDescent="0.25">
      <c r="A1390" s="6">
        <v>45025</v>
      </c>
      <c r="B1390" s="6" t="s">
        <v>1301</v>
      </c>
    </row>
    <row r="1391" spans="1:2" ht="15.75" customHeight="1" x14ac:dyDescent="0.25">
      <c r="A1391" s="6">
        <v>45026</v>
      </c>
      <c r="B1391" s="6" t="s">
        <v>1298</v>
      </c>
    </row>
    <row r="1392" spans="1:2" ht="15.75" customHeight="1" x14ac:dyDescent="0.25">
      <c r="A1392" s="6">
        <v>45027</v>
      </c>
      <c r="B1392" s="6" t="s">
        <v>1299</v>
      </c>
    </row>
    <row r="1393" spans="1:2" ht="15.75" customHeight="1" x14ac:dyDescent="0.25">
      <c r="A1393" s="6">
        <v>45028</v>
      </c>
      <c r="B1393" s="6" t="s">
        <v>1300</v>
      </c>
    </row>
    <row r="1394" spans="1:2" ht="15.75" customHeight="1" x14ac:dyDescent="0.25">
      <c r="A1394" s="6">
        <v>45029</v>
      </c>
      <c r="B1394" s="6" t="s">
        <v>1439</v>
      </c>
    </row>
    <row r="1395" spans="1:2" ht="15.75" customHeight="1" x14ac:dyDescent="0.25">
      <c r="A1395" s="6">
        <v>45030</v>
      </c>
      <c r="B1395" s="6" t="s">
        <v>1437</v>
      </c>
    </row>
    <row r="1396" spans="1:2" ht="15.75" customHeight="1" x14ac:dyDescent="0.25">
      <c r="A1396" s="6">
        <v>45031</v>
      </c>
      <c r="B1396" s="6" t="s">
        <v>1438</v>
      </c>
    </row>
    <row r="1397" spans="1:2" ht="15.75" customHeight="1" x14ac:dyDescent="0.25">
      <c r="A1397" s="6">
        <v>45032</v>
      </c>
      <c r="B1397" s="6" t="s">
        <v>705</v>
      </c>
    </row>
    <row r="1398" spans="1:2" ht="15.75" customHeight="1" x14ac:dyDescent="0.25">
      <c r="A1398" s="6">
        <v>45033</v>
      </c>
      <c r="B1398" s="6" t="s">
        <v>702</v>
      </c>
    </row>
    <row r="1399" spans="1:2" ht="15.75" customHeight="1" x14ac:dyDescent="0.25">
      <c r="A1399" s="6">
        <v>45034</v>
      </c>
      <c r="B1399" s="6" t="s">
        <v>703</v>
      </c>
    </row>
    <row r="1400" spans="1:2" ht="15.75" customHeight="1" x14ac:dyDescent="0.25">
      <c r="A1400" s="6">
        <v>45035</v>
      </c>
      <c r="B1400" s="6" t="s">
        <v>704</v>
      </c>
    </row>
    <row r="1401" spans="1:2" ht="15.75" customHeight="1" x14ac:dyDescent="0.25">
      <c r="A1401" s="6">
        <v>45036</v>
      </c>
      <c r="B1401" s="6" t="s">
        <v>1150</v>
      </c>
    </row>
    <row r="1402" spans="1:2" ht="15.75" customHeight="1" x14ac:dyDescent="0.25">
      <c r="A1402" s="6">
        <v>45037</v>
      </c>
      <c r="B1402" s="6" t="s">
        <v>1148</v>
      </c>
    </row>
    <row r="1403" spans="1:2" ht="15.75" customHeight="1" x14ac:dyDescent="0.25">
      <c r="A1403" s="6">
        <v>45038</v>
      </c>
      <c r="B1403" s="6" t="s">
        <v>1149</v>
      </c>
    </row>
    <row r="1404" spans="1:2" ht="15.75" customHeight="1" x14ac:dyDescent="0.25">
      <c r="A1404" s="6">
        <v>45039</v>
      </c>
      <c r="B1404" s="6" t="s">
        <v>1464</v>
      </c>
    </row>
    <row r="1405" spans="1:2" ht="15.75" customHeight="1" x14ac:dyDescent="0.25">
      <c r="A1405" s="6">
        <v>45040</v>
      </c>
      <c r="B1405" s="6" t="s">
        <v>1463</v>
      </c>
    </row>
    <row r="1406" spans="1:2" ht="15.75" customHeight="1" x14ac:dyDescent="0.25">
      <c r="A1406" s="6">
        <v>45041</v>
      </c>
      <c r="B1406" s="6" t="s">
        <v>1109</v>
      </c>
    </row>
    <row r="1407" spans="1:2" ht="15.75" customHeight="1" x14ac:dyDescent="0.25">
      <c r="A1407" s="6">
        <v>45042</v>
      </c>
      <c r="B1407" s="6" t="s">
        <v>1110</v>
      </c>
    </row>
    <row r="1408" spans="1:2" ht="15.75" customHeight="1" x14ac:dyDescent="0.25">
      <c r="A1408" s="6">
        <v>45043</v>
      </c>
      <c r="B1408" s="6" t="s">
        <v>1112</v>
      </c>
    </row>
    <row r="1409" spans="1:2" ht="15.75" customHeight="1" x14ac:dyDescent="0.25">
      <c r="A1409" s="6">
        <v>45044</v>
      </c>
      <c r="B1409" s="6" t="s">
        <v>821</v>
      </c>
    </row>
    <row r="1410" spans="1:2" ht="15.75" customHeight="1" x14ac:dyDescent="0.25">
      <c r="A1410" s="6">
        <v>45045</v>
      </c>
      <c r="B1410" s="6" t="s">
        <v>819</v>
      </c>
    </row>
    <row r="1411" spans="1:2" ht="15.75" customHeight="1" x14ac:dyDescent="0.25">
      <c r="A1411" s="6">
        <v>45046</v>
      </c>
      <c r="B1411" s="6" t="s">
        <v>820</v>
      </c>
    </row>
    <row r="1412" spans="1:2" ht="15.75" customHeight="1" x14ac:dyDescent="0.25">
      <c r="A1412" s="6">
        <v>45047</v>
      </c>
      <c r="B1412" s="6" t="s">
        <v>873</v>
      </c>
    </row>
    <row r="1413" spans="1:2" ht="15.75" customHeight="1" x14ac:dyDescent="0.25">
      <c r="A1413" s="6">
        <v>45048</v>
      </c>
      <c r="B1413" s="6" t="s">
        <v>874</v>
      </c>
    </row>
    <row r="1414" spans="1:2" ht="15.75" customHeight="1" x14ac:dyDescent="0.25">
      <c r="A1414" s="6">
        <v>45049</v>
      </c>
      <c r="B1414" s="6" t="s">
        <v>871</v>
      </c>
    </row>
    <row r="1415" spans="1:2" ht="15.75" customHeight="1" x14ac:dyDescent="0.25">
      <c r="A1415" s="6">
        <v>45050</v>
      </c>
      <c r="B1415" s="6" t="s">
        <v>872</v>
      </c>
    </row>
    <row r="1416" spans="1:2" ht="15.75" customHeight="1" x14ac:dyDescent="0.25">
      <c r="A1416" s="6">
        <v>45051</v>
      </c>
      <c r="B1416" s="6" t="s">
        <v>672</v>
      </c>
    </row>
    <row r="1417" spans="1:2" ht="15.75" customHeight="1" x14ac:dyDescent="0.25">
      <c r="A1417" s="6">
        <v>45052</v>
      </c>
      <c r="B1417" s="6" t="s">
        <v>670</v>
      </c>
    </row>
    <row r="1418" spans="1:2" ht="15.75" customHeight="1" x14ac:dyDescent="0.25">
      <c r="A1418" s="6">
        <v>45053</v>
      </c>
      <c r="B1418" s="6" t="s">
        <v>671</v>
      </c>
    </row>
    <row r="1419" spans="1:2" ht="15.75" customHeight="1" x14ac:dyDescent="0.25">
      <c r="A1419" s="6">
        <v>45054</v>
      </c>
      <c r="B1419" s="6" t="s">
        <v>878</v>
      </c>
    </row>
    <row r="1420" spans="1:2" ht="15.75" customHeight="1" x14ac:dyDescent="0.25">
      <c r="A1420" s="6">
        <v>45055</v>
      </c>
      <c r="B1420" s="6" t="s">
        <v>875</v>
      </c>
    </row>
    <row r="1421" spans="1:2" ht="15.75" customHeight="1" x14ac:dyDescent="0.25">
      <c r="A1421" s="6">
        <v>45056</v>
      </c>
      <c r="B1421" s="6" t="s">
        <v>876</v>
      </c>
    </row>
    <row r="1422" spans="1:2" ht="15.75" customHeight="1" x14ac:dyDescent="0.25">
      <c r="A1422" s="6">
        <v>45057</v>
      </c>
      <c r="B1422" s="6" t="s">
        <v>877</v>
      </c>
    </row>
    <row r="1423" spans="1:2" ht="15.75" customHeight="1" x14ac:dyDescent="0.25">
      <c r="A1423" s="6">
        <v>45058</v>
      </c>
      <c r="B1423" s="6" t="s">
        <v>1166</v>
      </c>
    </row>
    <row r="1424" spans="1:2" ht="15.75" customHeight="1" x14ac:dyDescent="0.25">
      <c r="A1424" s="6">
        <v>45059</v>
      </c>
      <c r="B1424" s="6" t="s">
        <v>1164</v>
      </c>
    </row>
    <row r="1425" spans="1:2" ht="15.75" customHeight="1" x14ac:dyDescent="0.25">
      <c r="A1425" s="6">
        <v>45060</v>
      </c>
      <c r="B1425" s="6" t="s">
        <v>1165</v>
      </c>
    </row>
    <row r="1426" spans="1:2" ht="15.75" customHeight="1" x14ac:dyDescent="0.25">
      <c r="A1426" s="6">
        <v>45061</v>
      </c>
      <c r="B1426" s="6" t="s">
        <v>687</v>
      </c>
    </row>
    <row r="1427" spans="1:2" ht="15.75" customHeight="1" x14ac:dyDescent="0.25">
      <c r="A1427" s="6">
        <v>45062</v>
      </c>
      <c r="B1427" s="6" t="s">
        <v>686</v>
      </c>
    </row>
    <row r="1428" spans="1:2" ht="15.75" customHeight="1" x14ac:dyDescent="0.25">
      <c r="A1428" s="6">
        <v>45064</v>
      </c>
      <c r="B1428" s="6" t="s">
        <v>1111</v>
      </c>
    </row>
    <row r="1429" spans="1:2" ht="15.75" customHeight="1" x14ac:dyDescent="0.25">
      <c r="A1429" s="6">
        <v>446001</v>
      </c>
      <c r="B1429" s="6" t="s">
        <v>1611</v>
      </c>
    </row>
    <row r="1430" spans="1:2" ht="15.75" customHeight="1" x14ac:dyDescent="0.25">
      <c r="A1430" s="6">
        <v>446002</v>
      </c>
      <c r="B1430" s="6" t="s">
        <v>1608</v>
      </c>
    </row>
    <row r="1431" spans="1:2" ht="15.75" customHeight="1" x14ac:dyDescent="0.25">
      <c r="A1431" s="6">
        <v>446003</v>
      </c>
      <c r="B1431" s="6" t="s">
        <v>1610</v>
      </c>
    </row>
    <row r="1432" spans="1:2" ht="15.75" customHeight="1" x14ac:dyDescent="0.25">
      <c r="A1432" s="6">
        <v>446004</v>
      </c>
      <c r="B1432" s="6" t="s">
        <v>1609</v>
      </c>
    </row>
    <row r="1433" spans="1:2" ht="15.75" customHeight="1" x14ac:dyDescent="0.25">
      <c r="A1433" s="6">
        <v>48001</v>
      </c>
      <c r="B1433" s="6" t="s">
        <v>115</v>
      </c>
    </row>
    <row r="1434" spans="1:2" ht="15.75" customHeight="1" x14ac:dyDescent="0.25">
      <c r="A1434" s="6">
        <v>48002</v>
      </c>
      <c r="B1434" s="6" t="s">
        <v>903</v>
      </c>
    </row>
    <row r="1435" spans="1:2" ht="15.75" customHeight="1" x14ac:dyDescent="0.25">
      <c r="A1435" s="6">
        <v>48003</v>
      </c>
      <c r="B1435" s="6" t="s">
        <v>1367</v>
      </c>
    </row>
    <row r="1436" spans="1:2" ht="15.75" customHeight="1" x14ac:dyDescent="0.25">
      <c r="A1436" s="6">
        <v>48004</v>
      </c>
      <c r="B1436" s="6" t="s">
        <v>1368</v>
      </c>
    </row>
    <row r="1437" spans="1:2" ht="15.75" customHeight="1" x14ac:dyDescent="0.25">
      <c r="A1437" s="6">
        <v>48005</v>
      </c>
      <c r="B1437" s="6" t="s">
        <v>1440</v>
      </c>
    </row>
    <row r="1438" spans="1:2" ht="15.75" customHeight="1" x14ac:dyDescent="0.25">
      <c r="A1438" s="6">
        <v>49001</v>
      </c>
      <c r="B1438" s="6" t="s">
        <v>1064</v>
      </c>
    </row>
    <row r="1439" spans="1:2" ht="15.75" customHeight="1" x14ac:dyDescent="0.25">
      <c r="A1439" s="6">
        <v>49002</v>
      </c>
      <c r="B1439" s="6" t="s">
        <v>1060</v>
      </c>
    </row>
    <row r="1440" spans="1:2" ht="15.75" customHeight="1" x14ac:dyDescent="0.25">
      <c r="A1440" s="6">
        <v>49003</v>
      </c>
      <c r="B1440" s="6" t="s">
        <v>1219</v>
      </c>
    </row>
    <row r="1441" spans="1:2" ht="15.75" customHeight="1" x14ac:dyDescent="0.25">
      <c r="A1441" s="6">
        <v>49004</v>
      </c>
      <c r="B1441" s="6" t="s">
        <v>1217</v>
      </c>
    </row>
    <row r="1442" spans="1:2" ht="15.75" customHeight="1" x14ac:dyDescent="0.25">
      <c r="A1442" s="6">
        <v>49005</v>
      </c>
      <c r="B1442" s="6" t="s">
        <v>1218</v>
      </c>
    </row>
    <row r="1443" spans="1:2" ht="15.75" customHeight="1" x14ac:dyDescent="0.25">
      <c r="A1443" s="6">
        <v>49006</v>
      </c>
      <c r="B1443" s="6" t="s">
        <v>1063</v>
      </c>
    </row>
    <row r="1444" spans="1:2" ht="15.75" customHeight="1" x14ac:dyDescent="0.25">
      <c r="A1444" s="6">
        <v>49007</v>
      </c>
      <c r="B1444" s="6" t="s">
        <v>1061</v>
      </c>
    </row>
    <row r="1445" spans="1:2" ht="15.75" customHeight="1" x14ac:dyDescent="0.25">
      <c r="A1445" s="6">
        <v>49008</v>
      </c>
      <c r="B1445" s="6" t="s">
        <v>1062</v>
      </c>
    </row>
    <row r="1446" spans="1:2" ht="15.75" customHeight="1" x14ac:dyDescent="0.25">
      <c r="A1446" s="6">
        <v>50001</v>
      </c>
      <c r="B1446" s="6" t="s">
        <v>1527</v>
      </c>
    </row>
    <row r="1447" spans="1:2" ht="15.75" customHeight="1" x14ac:dyDescent="0.25">
      <c r="A1447" s="6">
        <v>51001</v>
      </c>
      <c r="B1447" s="6" t="s">
        <v>1361</v>
      </c>
    </row>
    <row r="1448" spans="1:2" ht="15.75" customHeight="1" x14ac:dyDescent="0.25">
      <c r="A1448" s="6">
        <v>52001</v>
      </c>
      <c r="B1448" s="6" t="s">
        <v>768</v>
      </c>
    </row>
    <row r="1449" spans="1:2" ht="15.75" customHeight="1" x14ac:dyDescent="0.25">
      <c r="A1449" s="6">
        <v>52002</v>
      </c>
      <c r="B1449" s="6" t="s">
        <v>901</v>
      </c>
    </row>
    <row r="1450" spans="1:2" ht="15.75" customHeight="1" x14ac:dyDescent="0.25">
      <c r="A1450" s="6">
        <v>52003</v>
      </c>
      <c r="B1450" s="6" t="s">
        <v>1352</v>
      </c>
    </row>
    <row r="1451" spans="1:2" ht="15.75" customHeight="1" x14ac:dyDescent="0.25">
      <c r="A1451" s="6">
        <v>53001</v>
      </c>
      <c r="B1451" s="6" t="s">
        <v>683</v>
      </c>
    </row>
    <row r="1452" spans="1:2" ht="15.75" customHeight="1" x14ac:dyDescent="0.25">
      <c r="A1452" s="6">
        <v>53002</v>
      </c>
      <c r="B1452" s="6" t="s">
        <v>684</v>
      </c>
    </row>
    <row r="1453" spans="1:2" ht="15.75" customHeight="1" x14ac:dyDescent="0.25">
      <c r="A1453" s="6">
        <v>53003</v>
      </c>
      <c r="B1453" s="6" t="s">
        <v>681</v>
      </c>
    </row>
    <row r="1454" spans="1:2" ht="15.75" customHeight="1" x14ac:dyDescent="0.25">
      <c r="A1454" s="6">
        <v>53004</v>
      </c>
      <c r="B1454" s="6" t="s">
        <v>682</v>
      </c>
    </row>
    <row r="1455" spans="1:2" ht="15.75" customHeight="1" x14ac:dyDescent="0.25">
      <c r="A1455" s="6">
        <v>53005</v>
      </c>
      <c r="B1455" s="6" t="s">
        <v>1044</v>
      </c>
    </row>
    <row r="1456" spans="1:2" ht="15.75" customHeight="1" x14ac:dyDescent="0.25">
      <c r="A1456" s="6">
        <v>53006</v>
      </c>
      <c r="B1456" s="6" t="s">
        <v>1045</v>
      </c>
    </row>
    <row r="1457" spans="1:2" ht="15.75" customHeight="1" x14ac:dyDescent="0.25">
      <c r="A1457" s="6">
        <v>53007</v>
      </c>
      <c r="B1457" s="6" t="s">
        <v>1042</v>
      </c>
    </row>
    <row r="1458" spans="1:2" ht="15.75" customHeight="1" x14ac:dyDescent="0.25">
      <c r="A1458" s="6">
        <v>53008</v>
      </c>
      <c r="B1458" s="6" t="s">
        <v>1043</v>
      </c>
    </row>
    <row r="1459" spans="1:2" ht="15.75" customHeight="1" x14ac:dyDescent="0.25">
      <c r="A1459" s="6">
        <v>53009</v>
      </c>
      <c r="B1459" s="6" t="s">
        <v>693</v>
      </c>
    </row>
    <row r="1460" spans="1:2" ht="15.75" customHeight="1" x14ac:dyDescent="0.25">
      <c r="A1460" s="6">
        <v>53010</v>
      </c>
      <c r="B1460" s="6" t="s">
        <v>694</v>
      </c>
    </row>
    <row r="1461" spans="1:2" ht="15.75" customHeight="1" x14ac:dyDescent="0.25">
      <c r="A1461" s="6">
        <v>53011</v>
      </c>
      <c r="B1461" s="6" t="s">
        <v>691</v>
      </c>
    </row>
    <row r="1462" spans="1:2" ht="15.75" customHeight="1" x14ac:dyDescent="0.25">
      <c r="A1462" s="6">
        <v>53012</v>
      </c>
      <c r="B1462" s="6" t="s">
        <v>692</v>
      </c>
    </row>
    <row r="1463" spans="1:2" ht="15.75" customHeight="1" x14ac:dyDescent="0.25">
      <c r="A1463" s="6">
        <v>53013</v>
      </c>
      <c r="B1463" s="6" t="s">
        <v>824</v>
      </c>
    </row>
    <row r="1464" spans="1:2" ht="15.75" customHeight="1" x14ac:dyDescent="0.25">
      <c r="A1464" s="6">
        <v>53014</v>
      </c>
      <c r="B1464" s="6" t="s">
        <v>825</v>
      </c>
    </row>
    <row r="1465" spans="1:2" ht="15.75" customHeight="1" x14ac:dyDescent="0.25">
      <c r="A1465" s="6">
        <v>53015</v>
      </c>
      <c r="B1465" s="6" t="s">
        <v>822</v>
      </c>
    </row>
    <row r="1466" spans="1:2" ht="15.75" customHeight="1" x14ac:dyDescent="0.25">
      <c r="A1466" s="6">
        <v>53016</v>
      </c>
      <c r="B1466" s="6" t="s">
        <v>823</v>
      </c>
    </row>
    <row r="1467" spans="1:2" ht="15.75" customHeight="1" x14ac:dyDescent="0.25">
      <c r="A1467" s="6">
        <v>53017</v>
      </c>
      <c r="B1467" s="6" t="s">
        <v>745</v>
      </c>
    </row>
    <row r="1468" spans="1:2" ht="15.75" customHeight="1" x14ac:dyDescent="0.25">
      <c r="A1468" s="6">
        <v>53018</v>
      </c>
      <c r="B1468" s="6" t="s">
        <v>746</v>
      </c>
    </row>
    <row r="1469" spans="1:2" ht="15.75" customHeight="1" x14ac:dyDescent="0.25">
      <c r="A1469" s="6">
        <v>53019</v>
      </c>
      <c r="B1469" s="6" t="s">
        <v>743</v>
      </c>
    </row>
    <row r="1470" spans="1:2" ht="15.75" customHeight="1" x14ac:dyDescent="0.25">
      <c r="A1470" s="6">
        <v>53020</v>
      </c>
      <c r="B1470" s="6" t="s">
        <v>744</v>
      </c>
    </row>
    <row r="1471" spans="1:2" ht="15.75" customHeight="1" x14ac:dyDescent="0.25">
      <c r="A1471" s="6">
        <v>53021</v>
      </c>
      <c r="B1471" s="6" t="s">
        <v>960</v>
      </c>
    </row>
    <row r="1472" spans="1:2" ht="15.75" customHeight="1" x14ac:dyDescent="0.25">
      <c r="A1472" s="6">
        <v>53022</v>
      </c>
      <c r="B1472" s="6" t="s">
        <v>961</v>
      </c>
    </row>
    <row r="1473" spans="1:2" ht="15.75" customHeight="1" x14ac:dyDescent="0.25">
      <c r="A1473" s="6">
        <v>53023</v>
      </c>
      <c r="B1473" s="6" t="s">
        <v>958</v>
      </c>
    </row>
    <row r="1474" spans="1:2" ht="15.75" customHeight="1" x14ac:dyDescent="0.25">
      <c r="A1474" s="6">
        <v>53024</v>
      </c>
      <c r="B1474" s="6" t="s">
        <v>959</v>
      </c>
    </row>
    <row r="1475" spans="1:2" ht="15.75" customHeight="1" x14ac:dyDescent="0.25">
      <c r="A1475" s="6">
        <v>53025</v>
      </c>
      <c r="B1475" s="6" t="s">
        <v>1428</v>
      </c>
    </row>
    <row r="1476" spans="1:2" ht="15.75" customHeight="1" x14ac:dyDescent="0.25">
      <c r="A1476" s="6">
        <v>53026</v>
      </c>
      <c r="B1476" s="6" t="s">
        <v>1429</v>
      </c>
    </row>
    <row r="1477" spans="1:2" ht="15.75" customHeight="1" x14ac:dyDescent="0.25">
      <c r="A1477" s="6">
        <v>53027</v>
      </c>
      <c r="B1477" s="6" t="s">
        <v>1426</v>
      </c>
    </row>
    <row r="1478" spans="1:2" ht="15.75" customHeight="1" x14ac:dyDescent="0.25">
      <c r="A1478" s="6">
        <v>53028</v>
      </c>
      <c r="B1478" s="6" t="s">
        <v>1427</v>
      </c>
    </row>
    <row r="1479" spans="1:2" ht="15.75" customHeight="1" x14ac:dyDescent="0.25">
      <c r="A1479" s="6">
        <v>53029</v>
      </c>
      <c r="B1479" s="6" t="s">
        <v>763</v>
      </c>
    </row>
    <row r="1480" spans="1:2" ht="15.75" customHeight="1" x14ac:dyDescent="0.25">
      <c r="A1480" s="6">
        <v>53030</v>
      </c>
      <c r="B1480" s="6" t="s">
        <v>759</v>
      </c>
    </row>
    <row r="1481" spans="1:2" ht="15.75" customHeight="1" x14ac:dyDescent="0.25">
      <c r="A1481" s="6">
        <v>53031</v>
      </c>
      <c r="B1481" s="6" t="s">
        <v>758</v>
      </c>
    </row>
    <row r="1482" spans="1:2" ht="15.75" customHeight="1" x14ac:dyDescent="0.25">
      <c r="A1482" s="6">
        <v>53032</v>
      </c>
      <c r="B1482" s="6" t="s">
        <v>761</v>
      </c>
    </row>
    <row r="1483" spans="1:2" ht="15.75" customHeight="1" x14ac:dyDescent="0.25">
      <c r="A1483" s="6">
        <v>53033</v>
      </c>
      <c r="B1483" s="6" t="s">
        <v>764</v>
      </c>
    </row>
    <row r="1484" spans="1:2" ht="15.75" customHeight="1" x14ac:dyDescent="0.25">
      <c r="A1484" s="6">
        <v>53034</v>
      </c>
      <c r="B1484" s="6" t="s">
        <v>767</v>
      </c>
    </row>
    <row r="1485" spans="1:2" ht="15.75" customHeight="1" x14ac:dyDescent="0.25">
      <c r="A1485" s="6">
        <v>53035</v>
      </c>
      <c r="B1485" s="6" t="s">
        <v>765</v>
      </c>
    </row>
    <row r="1486" spans="1:2" ht="15.75" customHeight="1" x14ac:dyDescent="0.25">
      <c r="A1486" s="6">
        <v>53036</v>
      </c>
      <c r="B1486" s="6" t="s">
        <v>766</v>
      </c>
    </row>
    <row r="1487" spans="1:2" ht="15.75" customHeight="1" x14ac:dyDescent="0.25">
      <c r="A1487" s="6">
        <v>53037</v>
      </c>
      <c r="B1487" s="6" t="s">
        <v>762</v>
      </c>
    </row>
    <row r="1488" spans="1:2" ht="15.75" customHeight="1" x14ac:dyDescent="0.25">
      <c r="A1488" s="6">
        <v>53038</v>
      </c>
      <c r="B1488" s="6" t="s">
        <v>760</v>
      </c>
    </row>
    <row r="1489" spans="1:2" ht="15.75" customHeight="1" x14ac:dyDescent="0.25">
      <c r="A1489" s="6">
        <v>53039</v>
      </c>
      <c r="B1489" s="6" t="s">
        <v>740</v>
      </c>
    </row>
    <row r="1490" spans="1:2" ht="15.75" customHeight="1" x14ac:dyDescent="0.25">
      <c r="A1490" s="6">
        <v>53040</v>
      </c>
      <c r="B1490" s="6" t="s">
        <v>741</v>
      </c>
    </row>
    <row r="1491" spans="1:2" ht="15.75" customHeight="1" x14ac:dyDescent="0.25">
      <c r="A1491" s="6">
        <v>53041</v>
      </c>
      <c r="B1491" s="6" t="s">
        <v>738</v>
      </c>
    </row>
    <row r="1492" spans="1:2" ht="15.75" customHeight="1" x14ac:dyDescent="0.25">
      <c r="A1492" s="6">
        <v>53042</v>
      </c>
      <c r="B1492" s="6" t="s">
        <v>739</v>
      </c>
    </row>
    <row r="1493" spans="1:2" ht="15.75" customHeight="1" x14ac:dyDescent="0.25">
      <c r="A1493" s="6">
        <v>53043</v>
      </c>
      <c r="B1493" s="6" t="s">
        <v>1264</v>
      </c>
    </row>
    <row r="1494" spans="1:2" ht="15.75" customHeight="1" x14ac:dyDescent="0.25">
      <c r="A1494" s="6">
        <v>53044</v>
      </c>
      <c r="B1494" s="6" t="s">
        <v>1265</v>
      </c>
    </row>
    <row r="1495" spans="1:2" ht="15.75" customHeight="1" x14ac:dyDescent="0.25">
      <c r="A1495" s="6">
        <v>53045</v>
      </c>
      <c r="B1495" s="6" t="s">
        <v>1262</v>
      </c>
    </row>
    <row r="1496" spans="1:2" ht="15.75" customHeight="1" x14ac:dyDescent="0.25">
      <c r="A1496" s="6">
        <v>53046</v>
      </c>
      <c r="B1496" s="6" t="s">
        <v>1263</v>
      </c>
    </row>
    <row r="1497" spans="1:2" ht="15.75" customHeight="1" x14ac:dyDescent="0.25">
      <c r="A1497" s="6">
        <v>53047</v>
      </c>
      <c r="B1497" s="6" t="s">
        <v>1445</v>
      </c>
    </row>
    <row r="1498" spans="1:2" ht="15.75" customHeight="1" x14ac:dyDescent="0.25">
      <c r="A1498" s="6">
        <v>53048</v>
      </c>
      <c r="B1498" s="6" t="s">
        <v>1446</v>
      </c>
    </row>
    <row r="1499" spans="1:2" ht="15.75" customHeight="1" x14ac:dyDescent="0.25">
      <c r="A1499" s="6">
        <v>53049</v>
      </c>
      <c r="B1499" s="6" t="s">
        <v>1443</v>
      </c>
    </row>
    <row r="1500" spans="1:2" ht="15.75" customHeight="1" x14ac:dyDescent="0.25">
      <c r="A1500" s="6">
        <v>53050</v>
      </c>
      <c r="B1500" s="6" t="s">
        <v>1444</v>
      </c>
    </row>
    <row r="1501" spans="1:2" ht="15.75" customHeight="1" x14ac:dyDescent="0.25">
      <c r="A1501" s="6">
        <v>53051</v>
      </c>
      <c r="B1501" s="6" t="s">
        <v>1572</v>
      </c>
    </row>
    <row r="1502" spans="1:2" ht="15.75" customHeight="1" x14ac:dyDescent="0.25">
      <c r="A1502" s="6">
        <v>53052</v>
      </c>
      <c r="B1502" s="6" t="s">
        <v>1573</v>
      </c>
    </row>
    <row r="1503" spans="1:2" ht="15.75" customHeight="1" x14ac:dyDescent="0.25">
      <c r="A1503" s="6">
        <v>53053</v>
      </c>
      <c r="B1503" s="6" t="s">
        <v>1570</v>
      </c>
    </row>
    <row r="1504" spans="1:2" ht="15.75" customHeight="1" x14ac:dyDescent="0.25">
      <c r="A1504" s="6">
        <v>53054</v>
      </c>
      <c r="B1504" s="6" t="s">
        <v>1571</v>
      </c>
    </row>
    <row r="1505" spans="1:2" ht="15.75" customHeight="1" x14ac:dyDescent="0.25">
      <c r="A1505" s="6">
        <v>53055</v>
      </c>
      <c r="B1505" s="6" t="s">
        <v>1118</v>
      </c>
    </row>
    <row r="1506" spans="1:2" ht="15.75" customHeight="1" x14ac:dyDescent="0.25">
      <c r="A1506" s="6">
        <v>53056</v>
      </c>
      <c r="B1506" s="6" t="s">
        <v>1119</v>
      </c>
    </row>
    <row r="1507" spans="1:2" ht="15.75" customHeight="1" x14ac:dyDescent="0.25">
      <c r="A1507" s="6">
        <v>53057</v>
      </c>
      <c r="B1507" s="6" t="s">
        <v>1116</v>
      </c>
    </row>
    <row r="1508" spans="1:2" ht="15.75" customHeight="1" x14ac:dyDescent="0.25">
      <c r="A1508" s="6">
        <v>53058</v>
      </c>
      <c r="B1508" s="6" t="s">
        <v>1117</v>
      </c>
    </row>
    <row r="1509" spans="1:2" ht="15.75" customHeight="1" x14ac:dyDescent="0.25">
      <c r="A1509" s="6">
        <v>53059</v>
      </c>
      <c r="B1509" s="6" t="s">
        <v>1355</v>
      </c>
    </row>
    <row r="1510" spans="1:2" ht="15.75" customHeight="1" x14ac:dyDescent="0.25">
      <c r="A1510" s="6">
        <v>53060</v>
      </c>
      <c r="B1510" s="6" t="s">
        <v>1356</v>
      </c>
    </row>
    <row r="1511" spans="1:2" ht="15.75" customHeight="1" x14ac:dyDescent="0.25">
      <c r="A1511" s="6">
        <v>53061</v>
      </c>
      <c r="B1511" s="6" t="s">
        <v>1353</v>
      </c>
    </row>
    <row r="1512" spans="1:2" ht="15.75" customHeight="1" x14ac:dyDescent="0.25">
      <c r="A1512" s="6">
        <v>53062</v>
      </c>
      <c r="B1512" s="6" t="s">
        <v>1354</v>
      </c>
    </row>
    <row r="1513" spans="1:2" ht="15.75" customHeight="1" x14ac:dyDescent="0.25">
      <c r="A1513" s="6">
        <v>53063</v>
      </c>
      <c r="B1513" s="6" t="s">
        <v>676</v>
      </c>
    </row>
    <row r="1514" spans="1:2" ht="15.75" customHeight="1" x14ac:dyDescent="0.25">
      <c r="A1514" s="6">
        <v>53064</v>
      </c>
      <c r="B1514" s="6" t="s">
        <v>677</v>
      </c>
    </row>
    <row r="1515" spans="1:2" ht="15.75" customHeight="1" x14ac:dyDescent="0.25">
      <c r="A1515" s="6">
        <v>53065</v>
      </c>
      <c r="B1515" s="6" t="s">
        <v>674</v>
      </c>
    </row>
    <row r="1516" spans="1:2" ht="15.75" customHeight="1" x14ac:dyDescent="0.25">
      <c r="A1516" s="6">
        <v>53066</v>
      </c>
      <c r="B1516" s="6" t="s">
        <v>675</v>
      </c>
    </row>
    <row r="1517" spans="1:2" ht="15.75" customHeight="1" x14ac:dyDescent="0.25">
      <c r="A1517" s="6">
        <v>53067</v>
      </c>
      <c r="B1517" s="6" t="s">
        <v>1057</v>
      </c>
    </row>
    <row r="1518" spans="1:2" ht="15.75" customHeight="1" x14ac:dyDescent="0.25">
      <c r="A1518" s="6">
        <v>53068</v>
      </c>
      <c r="B1518" s="6" t="s">
        <v>1058</v>
      </c>
    </row>
    <row r="1519" spans="1:2" ht="15.75" customHeight="1" x14ac:dyDescent="0.25">
      <c r="A1519" s="6">
        <v>53069</v>
      </c>
      <c r="B1519" s="6" t="s">
        <v>1055</v>
      </c>
    </row>
    <row r="1520" spans="1:2" ht="15.75" customHeight="1" x14ac:dyDescent="0.25">
      <c r="A1520" s="6">
        <v>53070</v>
      </c>
      <c r="B1520" s="6" t="s">
        <v>1056</v>
      </c>
    </row>
    <row r="1521" spans="1:2" ht="15.75" customHeight="1" x14ac:dyDescent="0.25">
      <c r="A1521" s="6">
        <v>53071</v>
      </c>
      <c r="B1521" s="6" t="s">
        <v>1400</v>
      </c>
    </row>
    <row r="1522" spans="1:2" ht="15.75" customHeight="1" x14ac:dyDescent="0.25">
      <c r="A1522" s="6">
        <v>53072</v>
      </c>
      <c r="B1522" s="6" t="s">
        <v>1398</v>
      </c>
    </row>
    <row r="1523" spans="1:2" ht="15.75" customHeight="1" x14ac:dyDescent="0.25">
      <c r="A1523" s="6">
        <v>53073</v>
      </c>
      <c r="B1523" s="6" t="s">
        <v>1401</v>
      </c>
    </row>
    <row r="1524" spans="1:2" ht="15.75" customHeight="1" x14ac:dyDescent="0.25">
      <c r="A1524" s="6">
        <v>53074</v>
      </c>
      <c r="B1524" s="6" t="s">
        <v>1399</v>
      </c>
    </row>
    <row r="1525" spans="1:2" ht="15.75" customHeight="1" x14ac:dyDescent="0.25">
      <c r="A1525" s="6">
        <v>53075</v>
      </c>
      <c r="B1525" s="6" t="s">
        <v>1488</v>
      </c>
    </row>
    <row r="1526" spans="1:2" ht="15.75" customHeight="1" x14ac:dyDescent="0.25">
      <c r="A1526" s="6">
        <v>53076</v>
      </c>
      <c r="B1526" s="6" t="s">
        <v>1489</v>
      </c>
    </row>
    <row r="1527" spans="1:2" ht="15.75" customHeight="1" x14ac:dyDescent="0.25">
      <c r="A1527" s="6">
        <v>53077</v>
      </c>
      <c r="B1527" s="6" t="s">
        <v>1486</v>
      </c>
    </row>
    <row r="1528" spans="1:2" ht="15.75" customHeight="1" x14ac:dyDescent="0.25">
      <c r="A1528" s="6">
        <v>53078</v>
      </c>
      <c r="B1528" s="6" t="s">
        <v>1487</v>
      </c>
    </row>
    <row r="1529" spans="1:2" ht="15.75" customHeight="1" x14ac:dyDescent="0.25">
      <c r="A1529" s="6">
        <v>53079</v>
      </c>
      <c r="B1529" s="6" t="s">
        <v>808</v>
      </c>
    </row>
    <row r="1530" spans="1:2" ht="15.75" customHeight="1" x14ac:dyDescent="0.25">
      <c r="A1530" s="6">
        <v>53080</v>
      </c>
      <c r="B1530" s="6" t="s">
        <v>809</v>
      </c>
    </row>
    <row r="1531" spans="1:2" ht="15.75" customHeight="1" x14ac:dyDescent="0.25">
      <c r="A1531" s="6">
        <v>53081</v>
      </c>
      <c r="B1531" s="6" t="s">
        <v>806</v>
      </c>
    </row>
    <row r="1532" spans="1:2" ht="15.75" customHeight="1" x14ac:dyDescent="0.25">
      <c r="A1532" s="6">
        <v>53082</v>
      </c>
      <c r="B1532" s="6" t="s">
        <v>807</v>
      </c>
    </row>
    <row r="1533" spans="1:2" ht="15.75" customHeight="1" x14ac:dyDescent="0.25">
      <c r="A1533" s="6">
        <v>53083</v>
      </c>
      <c r="B1533" s="6" t="s">
        <v>1070</v>
      </c>
    </row>
    <row r="1534" spans="1:2" ht="15.75" customHeight="1" x14ac:dyDescent="0.25">
      <c r="A1534" s="6">
        <v>53084</v>
      </c>
      <c r="B1534" s="6" t="s">
        <v>1071</v>
      </c>
    </row>
    <row r="1535" spans="1:2" ht="15.75" customHeight="1" x14ac:dyDescent="0.25">
      <c r="A1535" s="6">
        <v>53085</v>
      </c>
      <c r="B1535" s="6" t="s">
        <v>1068</v>
      </c>
    </row>
    <row r="1536" spans="1:2" ht="15.75" customHeight="1" x14ac:dyDescent="0.25">
      <c r="A1536" s="6">
        <v>53086</v>
      </c>
      <c r="B1536" s="6" t="s">
        <v>1069</v>
      </c>
    </row>
    <row r="1537" spans="1:2" ht="15.75" customHeight="1" x14ac:dyDescent="0.25">
      <c r="A1537" s="6">
        <v>53087</v>
      </c>
      <c r="B1537" s="6" t="s">
        <v>1103</v>
      </c>
    </row>
    <row r="1538" spans="1:2" ht="15.75" customHeight="1" x14ac:dyDescent="0.25">
      <c r="A1538" s="6">
        <v>53088</v>
      </c>
      <c r="B1538" s="6" t="s">
        <v>1104</v>
      </c>
    </row>
    <row r="1539" spans="1:2" ht="15.75" customHeight="1" x14ac:dyDescent="0.25">
      <c r="A1539" s="6">
        <v>53089</v>
      </c>
      <c r="B1539" s="6" t="s">
        <v>1101</v>
      </c>
    </row>
    <row r="1540" spans="1:2" ht="15.75" customHeight="1" x14ac:dyDescent="0.25">
      <c r="A1540" s="6">
        <v>53090</v>
      </c>
      <c r="B1540" s="6" t="s">
        <v>1102</v>
      </c>
    </row>
    <row r="1541" spans="1:2" ht="15.75" customHeight="1" x14ac:dyDescent="0.25">
      <c r="A1541" s="6">
        <v>53091</v>
      </c>
      <c r="B1541" s="6" t="s">
        <v>555</v>
      </c>
    </row>
    <row r="1542" spans="1:2" ht="15.75" customHeight="1" x14ac:dyDescent="0.25">
      <c r="A1542" s="6">
        <v>53092</v>
      </c>
      <c r="B1542" s="6" t="s">
        <v>552</v>
      </c>
    </row>
    <row r="1543" spans="1:2" ht="15.75" customHeight="1" x14ac:dyDescent="0.25">
      <c r="A1543" s="6">
        <v>53093</v>
      </c>
      <c r="B1543" s="6" t="s">
        <v>561</v>
      </c>
    </row>
    <row r="1544" spans="1:2" ht="15.75" customHeight="1" x14ac:dyDescent="0.25">
      <c r="A1544" s="6">
        <v>53094</v>
      </c>
      <c r="B1544" s="6" t="s">
        <v>558</v>
      </c>
    </row>
    <row r="1545" spans="1:2" ht="15.75" customHeight="1" x14ac:dyDescent="0.25">
      <c r="A1545" s="6">
        <v>53095</v>
      </c>
      <c r="B1545" s="6" t="s">
        <v>897</v>
      </c>
    </row>
    <row r="1546" spans="1:2" ht="15.75" customHeight="1" x14ac:dyDescent="0.25">
      <c r="A1546" s="6">
        <v>53096</v>
      </c>
      <c r="B1546" s="6" t="s">
        <v>898</v>
      </c>
    </row>
    <row r="1547" spans="1:2" ht="15.75" customHeight="1" x14ac:dyDescent="0.25">
      <c r="A1547" s="6">
        <v>53097</v>
      </c>
      <c r="B1547" s="6" t="s">
        <v>895</v>
      </c>
    </row>
    <row r="1548" spans="1:2" ht="15.75" customHeight="1" x14ac:dyDescent="0.25">
      <c r="A1548" s="6">
        <v>53098</v>
      </c>
      <c r="B1548" s="6" t="s">
        <v>896</v>
      </c>
    </row>
    <row r="1549" spans="1:2" ht="15.75" customHeight="1" x14ac:dyDescent="0.25">
      <c r="A1549" s="6">
        <v>53099</v>
      </c>
      <c r="B1549" s="6" t="s">
        <v>976</v>
      </c>
    </row>
    <row r="1550" spans="1:2" ht="15.75" customHeight="1" x14ac:dyDescent="0.25">
      <c r="A1550" s="6">
        <v>53100</v>
      </c>
      <c r="B1550" s="6" t="s">
        <v>977</v>
      </c>
    </row>
    <row r="1551" spans="1:2" ht="15.75" customHeight="1" x14ac:dyDescent="0.25">
      <c r="A1551" s="6">
        <v>53101</v>
      </c>
      <c r="B1551" s="6" t="s">
        <v>974</v>
      </c>
    </row>
    <row r="1552" spans="1:2" ht="15.75" customHeight="1" x14ac:dyDescent="0.25">
      <c r="A1552" s="6">
        <v>53102</v>
      </c>
      <c r="B1552" s="6" t="s">
        <v>975</v>
      </c>
    </row>
    <row r="1553" spans="1:2" ht="15.75" customHeight="1" x14ac:dyDescent="0.25">
      <c r="A1553" s="6">
        <v>53103</v>
      </c>
      <c r="B1553" s="6" t="s">
        <v>1541</v>
      </c>
    </row>
    <row r="1554" spans="1:2" ht="15.75" customHeight="1" x14ac:dyDescent="0.25">
      <c r="A1554" s="6">
        <v>53104</v>
      </c>
      <c r="B1554" s="6" t="s">
        <v>1542</v>
      </c>
    </row>
    <row r="1555" spans="1:2" ht="15.75" customHeight="1" x14ac:dyDescent="0.25">
      <c r="A1555" s="6">
        <v>53105</v>
      </c>
      <c r="B1555" s="6" t="s">
        <v>1539</v>
      </c>
    </row>
    <row r="1556" spans="1:2" ht="15.75" customHeight="1" x14ac:dyDescent="0.25">
      <c r="A1556" s="6">
        <v>53106</v>
      </c>
      <c r="B1556" s="6" t="s">
        <v>1540</v>
      </c>
    </row>
    <row r="1557" spans="1:2" ht="15.75" customHeight="1" x14ac:dyDescent="0.25">
      <c r="A1557" s="6">
        <v>53107</v>
      </c>
      <c r="B1557" s="6" t="s">
        <v>1659</v>
      </c>
    </row>
    <row r="1558" spans="1:2" ht="15.75" customHeight="1" x14ac:dyDescent="0.25">
      <c r="A1558" s="6">
        <v>53108</v>
      </c>
      <c r="B1558" s="6" t="s">
        <v>1660</v>
      </c>
    </row>
    <row r="1559" spans="1:2" ht="15.75" customHeight="1" x14ac:dyDescent="0.25">
      <c r="A1559" s="6">
        <v>53109</v>
      </c>
      <c r="B1559" s="6" t="s">
        <v>1661</v>
      </c>
    </row>
    <row r="1560" spans="1:2" ht="15.75" customHeight="1" x14ac:dyDescent="0.25">
      <c r="A1560" s="6">
        <v>53110</v>
      </c>
      <c r="B1560" s="6" t="s">
        <v>1662</v>
      </c>
    </row>
    <row r="1561" spans="1:2" ht="15.75" customHeight="1" x14ac:dyDescent="0.25">
      <c r="A1561" s="6">
        <v>53111</v>
      </c>
      <c r="B1561" s="6" t="s">
        <v>1663</v>
      </c>
    </row>
    <row r="1562" spans="1:2" ht="15.75" customHeight="1" x14ac:dyDescent="0.25">
      <c r="A1562" s="6">
        <v>53112</v>
      </c>
      <c r="B1562" s="6" t="s">
        <v>1664</v>
      </c>
    </row>
    <row r="1563" spans="1:2" ht="15.75" customHeight="1" x14ac:dyDescent="0.25">
      <c r="A1563" s="6">
        <v>53113</v>
      </c>
      <c r="B1563" s="6" t="s">
        <v>1665</v>
      </c>
    </row>
    <row r="1564" spans="1:2" ht="15.75" customHeight="1" x14ac:dyDescent="0.25">
      <c r="A1564" s="6">
        <v>53114</v>
      </c>
      <c r="B1564" s="6" t="s">
        <v>1666</v>
      </c>
    </row>
    <row r="1565" spans="1:2" ht="15.75" customHeight="1" x14ac:dyDescent="0.25">
      <c r="A1565" s="6">
        <v>53115</v>
      </c>
      <c r="B1565" s="6" t="s">
        <v>1702</v>
      </c>
    </row>
    <row r="1566" spans="1:2" ht="15.75" customHeight="1" x14ac:dyDescent="0.25">
      <c r="A1566" s="6">
        <v>53116</v>
      </c>
      <c r="B1566" s="6" t="s">
        <v>1703</v>
      </c>
    </row>
    <row r="1567" spans="1:2" ht="15.75" customHeight="1" x14ac:dyDescent="0.25">
      <c r="A1567" s="6">
        <v>53117</v>
      </c>
      <c r="B1567" s="6" t="s">
        <v>1704</v>
      </c>
    </row>
    <row r="1568" spans="1:2" ht="15.75" customHeight="1" x14ac:dyDescent="0.25">
      <c r="A1568" s="6">
        <v>53118</v>
      </c>
      <c r="B1568" s="6" t="s">
        <v>1705</v>
      </c>
    </row>
    <row r="1569" spans="1:2" ht="15.75" customHeight="1" x14ac:dyDescent="0.25">
      <c r="A1569" s="6">
        <v>53119</v>
      </c>
      <c r="B1569" s="6" t="s">
        <v>2013</v>
      </c>
    </row>
    <row r="1570" spans="1:2" ht="15.75" customHeight="1" x14ac:dyDescent="0.25">
      <c r="A1570" s="6">
        <v>54001</v>
      </c>
      <c r="B1570" s="6" t="s">
        <v>1550</v>
      </c>
    </row>
    <row r="1571" spans="1:2" ht="15.75" customHeight="1" x14ac:dyDescent="0.25">
      <c r="A1571" s="6">
        <v>55001</v>
      </c>
      <c r="B1571" s="6" t="s">
        <v>893</v>
      </c>
    </row>
    <row r="1572" spans="1:2" ht="15.75" customHeight="1" x14ac:dyDescent="0.25">
      <c r="A1572" s="6">
        <v>55002</v>
      </c>
      <c r="B1572" s="6" t="s">
        <v>894</v>
      </c>
    </row>
    <row r="1573" spans="1:2" ht="15.75" customHeight="1" x14ac:dyDescent="0.25">
      <c r="A1573" s="6">
        <v>55003</v>
      </c>
      <c r="B1573" s="6" t="s">
        <v>949</v>
      </c>
    </row>
    <row r="1574" spans="1:2" ht="15.75" customHeight="1" x14ac:dyDescent="0.25">
      <c r="A1574" s="6">
        <v>55004</v>
      </c>
      <c r="B1574" s="6" t="s">
        <v>948</v>
      </c>
    </row>
    <row r="1575" spans="1:2" ht="15.75" customHeight="1" x14ac:dyDescent="0.25">
      <c r="A1575" s="6">
        <v>55005</v>
      </c>
      <c r="B1575" s="6" t="s">
        <v>650</v>
      </c>
    </row>
    <row r="1576" spans="1:2" ht="15.75" customHeight="1" x14ac:dyDescent="0.25">
      <c r="A1576" s="6">
        <v>55006</v>
      </c>
      <c r="B1576" s="6" t="s">
        <v>1015</v>
      </c>
    </row>
    <row r="1577" spans="1:2" ht="15.75" customHeight="1" x14ac:dyDescent="0.25">
      <c r="A1577" s="6">
        <v>456001</v>
      </c>
      <c r="B1577" s="6" t="s">
        <v>1667</v>
      </c>
    </row>
    <row r="1578" spans="1:2" ht="15.75" customHeight="1" x14ac:dyDescent="0.25">
      <c r="A1578" s="6">
        <v>456002</v>
      </c>
      <c r="B1578" s="6" t="s">
        <v>1668</v>
      </c>
    </row>
    <row r="1579" spans="1:2" ht="15.75" customHeight="1" x14ac:dyDescent="0.25">
      <c r="A1579" s="6">
        <v>456003</v>
      </c>
      <c r="B1579" s="6" t="s">
        <v>1669</v>
      </c>
    </row>
    <row r="1580" spans="1:2" ht="15.75" customHeight="1" x14ac:dyDescent="0.25">
      <c r="A1580" s="6">
        <v>456004</v>
      </c>
      <c r="B1580" s="6" t="s">
        <v>1670</v>
      </c>
    </row>
    <row r="1581" spans="1:2" ht="15.75" customHeight="1" x14ac:dyDescent="0.25">
      <c r="A1581" s="6">
        <v>456005</v>
      </c>
      <c r="B1581" s="6" t="s">
        <v>1671</v>
      </c>
    </row>
    <row r="1582" spans="1:2" ht="15.75" customHeight="1" x14ac:dyDescent="0.25">
      <c r="A1582" s="6">
        <v>59001</v>
      </c>
      <c r="B1582" s="6" t="s">
        <v>1673</v>
      </c>
    </row>
    <row r="1583" spans="1:2" ht="15.75" customHeight="1" x14ac:dyDescent="0.25">
      <c r="A1583" s="6">
        <v>59002</v>
      </c>
      <c r="B1583" s="6" t="s">
        <v>1738</v>
      </c>
    </row>
    <row r="1584" spans="1:2" ht="15.75" customHeight="1" x14ac:dyDescent="0.25">
      <c r="A1584" s="6">
        <v>59003</v>
      </c>
      <c r="B1584" s="6" t="s">
        <v>1739</v>
      </c>
    </row>
    <row r="1585" spans="1:2" ht="15.75" customHeight="1" x14ac:dyDescent="0.25">
      <c r="A1585" s="6">
        <v>462007</v>
      </c>
      <c r="B1585" s="6" t="s">
        <v>1824</v>
      </c>
    </row>
    <row r="1586" spans="1:2" ht="15.75" customHeight="1" x14ac:dyDescent="0.25">
      <c r="A1586" s="6">
        <v>462008</v>
      </c>
      <c r="B1586" s="6" t="s">
        <v>1825</v>
      </c>
    </row>
    <row r="1587" spans="1:2" ht="15.75" customHeight="1" x14ac:dyDescent="0.25">
      <c r="A1587" s="6">
        <v>462009</v>
      </c>
      <c r="B1587" s="6" t="s">
        <v>1826</v>
      </c>
    </row>
    <row r="1588" spans="1:2" ht="15.75" customHeight="1" x14ac:dyDescent="0.25">
      <c r="A1588" s="6">
        <v>462010</v>
      </c>
      <c r="B1588" s="6" t="s">
        <v>1827</v>
      </c>
    </row>
    <row r="1589" spans="1:2" ht="15.75" customHeight="1" x14ac:dyDescent="0.25">
      <c r="A1589" s="6">
        <v>462011</v>
      </c>
      <c r="B1589" s="6" t="s">
        <v>1828</v>
      </c>
    </row>
    <row r="1590" spans="1:2" ht="15.75" customHeight="1" x14ac:dyDescent="0.25">
      <c r="A1590" s="6">
        <v>462012</v>
      </c>
      <c r="B1590" s="6" t="s">
        <v>1829</v>
      </c>
    </row>
    <row r="1591" spans="1:2" ht="15.75" customHeight="1" x14ac:dyDescent="0.25">
      <c r="A1591" s="6">
        <v>462013</v>
      </c>
      <c r="B1591" s="6" t="s">
        <v>1830</v>
      </c>
    </row>
  </sheetData>
  <autoFilter ref="A1:B1591" xr:uid="{00000000-0009-0000-0000-000005000000}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734"/>
  <sheetViews>
    <sheetView workbookViewId="0"/>
  </sheetViews>
  <sheetFormatPr defaultColWidth="14.42578125" defaultRowHeight="15" customHeight="1" x14ac:dyDescent="0.25"/>
  <cols>
    <col min="1" max="3" width="10.7109375" customWidth="1"/>
    <col min="4" max="4" width="11.42578125" customWidth="1"/>
    <col min="5" max="26" width="10.7109375" customWidth="1"/>
  </cols>
  <sheetData>
    <row r="1" spans="1:2" x14ac:dyDescent="0.25">
      <c r="A1" s="6">
        <v>55005</v>
      </c>
      <c r="B1" s="6" t="s">
        <v>650</v>
      </c>
    </row>
    <row r="2" spans="1:2" x14ac:dyDescent="0.25">
      <c r="A2" s="6">
        <v>446006</v>
      </c>
      <c r="B2" s="6" t="s">
        <v>651</v>
      </c>
    </row>
    <row r="3" spans="1:2" x14ac:dyDescent="0.25">
      <c r="A3" s="6">
        <v>446008</v>
      </c>
      <c r="B3" s="6" t="s">
        <v>652</v>
      </c>
    </row>
    <row r="4" spans="1:2" x14ac:dyDescent="0.25">
      <c r="A4" s="6">
        <v>446009</v>
      </c>
      <c r="B4" s="6" t="s">
        <v>653</v>
      </c>
    </row>
    <row r="5" spans="1:2" x14ac:dyDescent="0.25">
      <c r="A5" s="6">
        <v>446012</v>
      </c>
      <c r="B5" s="6" t="s">
        <v>654</v>
      </c>
    </row>
    <row r="6" spans="1:2" x14ac:dyDescent="0.25">
      <c r="A6" s="6">
        <v>446011</v>
      </c>
      <c r="B6" s="6" t="s">
        <v>655</v>
      </c>
    </row>
    <row r="7" spans="1:2" x14ac:dyDescent="0.25">
      <c r="A7" s="6">
        <v>446016</v>
      </c>
      <c r="B7" s="6" t="s">
        <v>656</v>
      </c>
    </row>
    <row r="8" spans="1:2" x14ac:dyDescent="0.25">
      <c r="A8" s="6">
        <v>446010</v>
      </c>
      <c r="B8" s="6" t="s">
        <v>657</v>
      </c>
    </row>
    <row r="9" spans="1:2" x14ac:dyDescent="0.25">
      <c r="A9" s="6">
        <v>446017</v>
      </c>
      <c r="B9" s="6" t="s">
        <v>658</v>
      </c>
    </row>
    <row r="10" spans="1:2" x14ac:dyDescent="0.25">
      <c r="A10" s="6">
        <v>446015</v>
      </c>
      <c r="B10" s="6" t="s">
        <v>659</v>
      </c>
    </row>
    <row r="11" spans="1:2" x14ac:dyDescent="0.25">
      <c r="A11" s="6">
        <v>446007</v>
      </c>
      <c r="B11" s="6" t="s">
        <v>660</v>
      </c>
    </row>
    <row r="12" spans="1:2" x14ac:dyDescent="0.25">
      <c r="A12" s="6">
        <v>446014</v>
      </c>
      <c r="B12" s="6" t="s">
        <v>661</v>
      </c>
    </row>
    <row r="13" spans="1:2" x14ac:dyDescent="0.25">
      <c r="A13" s="6">
        <v>446013</v>
      </c>
      <c r="B13" s="6" t="s">
        <v>662</v>
      </c>
    </row>
    <row r="14" spans="1:2" x14ac:dyDescent="0.25">
      <c r="A14" s="6">
        <v>446005</v>
      </c>
      <c r="B14" s="6" t="s">
        <v>663</v>
      </c>
    </row>
    <row r="15" spans="1:2" x14ac:dyDescent="0.25">
      <c r="A15" s="6">
        <v>446018</v>
      </c>
      <c r="B15" s="6" t="s">
        <v>664</v>
      </c>
    </row>
    <row r="16" spans="1:2" x14ac:dyDescent="0.25">
      <c r="A16" s="6">
        <v>446019</v>
      </c>
      <c r="B16" s="6" t="s">
        <v>665</v>
      </c>
    </row>
    <row r="17" spans="1:2" x14ac:dyDescent="0.25">
      <c r="A17" s="6">
        <v>462013</v>
      </c>
      <c r="B17" s="6" t="s">
        <v>1830</v>
      </c>
    </row>
    <row r="18" spans="1:2" x14ac:dyDescent="0.25">
      <c r="A18" s="6">
        <v>460008</v>
      </c>
      <c r="B18" s="6" t="s">
        <v>1747</v>
      </c>
    </row>
    <row r="19" spans="1:2" x14ac:dyDescent="0.25">
      <c r="A19" s="6">
        <v>460009</v>
      </c>
      <c r="B19" s="6" t="s">
        <v>1748</v>
      </c>
    </row>
    <row r="20" spans="1:2" x14ac:dyDescent="0.25">
      <c r="A20" s="6">
        <v>460005</v>
      </c>
      <c r="B20" s="6" t="s">
        <v>1744</v>
      </c>
    </row>
    <row r="21" spans="1:2" ht="15.75" customHeight="1" x14ac:dyDescent="0.25">
      <c r="A21" s="6">
        <v>460004</v>
      </c>
      <c r="B21" s="6" t="s">
        <v>1743</v>
      </c>
    </row>
    <row r="22" spans="1:2" ht="15.75" customHeight="1" x14ac:dyDescent="0.25">
      <c r="A22" s="6">
        <v>460003</v>
      </c>
      <c r="B22" s="6" t="s">
        <v>1742</v>
      </c>
    </row>
    <row r="23" spans="1:2" ht="15.75" customHeight="1" x14ac:dyDescent="0.25">
      <c r="A23" s="6">
        <v>460006</v>
      </c>
      <c r="B23" s="6" t="s">
        <v>1745</v>
      </c>
    </row>
    <row r="24" spans="1:2" ht="15.75" customHeight="1" x14ac:dyDescent="0.25">
      <c r="A24" s="6">
        <v>460007</v>
      </c>
      <c r="B24" s="6" t="s">
        <v>1746</v>
      </c>
    </row>
    <row r="25" spans="1:2" ht="15.75" customHeight="1" x14ac:dyDescent="0.25">
      <c r="A25" s="6">
        <v>460010</v>
      </c>
      <c r="B25" s="6" t="s">
        <v>1749</v>
      </c>
    </row>
    <row r="26" spans="1:2" ht="15.75" customHeight="1" x14ac:dyDescent="0.25">
      <c r="A26" s="6">
        <v>460012</v>
      </c>
      <c r="B26" s="6" t="s">
        <v>1751</v>
      </c>
    </row>
    <row r="27" spans="1:2" ht="15.75" customHeight="1" x14ac:dyDescent="0.25">
      <c r="A27" s="6">
        <v>460013</v>
      </c>
      <c r="B27" s="6" t="s">
        <v>1752</v>
      </c>
    </row>
    <row r="28" spans="1:2" ht="15.75" customHeight="1" x14ac:dyDescent="0.25">
      <c r="A28" s="6">
        <v>460011</v>
      </c>
      <c r="B28" s="6" t="s">
        <v>1750</v>
      </c>
    </row>
    <row r="29" spans="1:2" ht="15.75" customHeight="1" x14ac:dyDescent="0.25">
      <c r="A29" s="6">
        <v>460023</v>
      </c>
      <c r="B29" s="6" t="s">
        <v>1762</v>
      </c>
    </row>
    <row r="30" spans="1:2" ht="15.75" customHeight="1" x14ac:dyDescent="0.25">
      <c r="A30" s="6">
        <v>460021</v>
      </c>
      <c r="B30" s="6" t="s">
        <v>1760</v>
      </c>
    </row>
    <row r="31" spans="1:2" ht="15.75" customHeight="1" x14ac:dyDescent="0.25">
      <c r="A31" s="6">
        <v>460016</v>
      </c>
      <c r="B31" s="6" t="s">
        <v>1755</v>
      </c>
    </row>
    <row r="32" spans="1:2" ht="15.75" customHeight="1" x14ac:dyDescent="0.25">
      <c r="A32" s="6">
        <v>460014</v>
      </c>
      <c r="B32" s="6" t="s">
        <v>1753</v>
      </c>
    </row>
    <row r="33" spans="1:2" ht="15.75" customHeight="1" x14ac:dyDescent="0.25">
      <c r="A33" s="6">
        <v>460019</v>
      </c>
      <c r="B33" s="6" t="s">
        <v>1758</v>
      </c>
    </row>
    <row r="34" spans="1:2" ht="15.75" customHeight="1" x14ac:dyDescent="0.25">
      <c r="A34" s="6">
        <v>460018</v>
      </c>
      <c r="B34" s="6" t="s">
        <v>1757</v>
      </c>
    </row>
    <row r="35" spans="1:2" ht="15.75" customHeight="1" x14ac:dyDescent="0.25">
      <c r="A35" s="6">
        <v>460015</v>
      </c>
      <c r="B35" s="6" t="s">
        <v>1754</v>
      </c>
    </row>
    <row r="36" spans="1:2" ht="15.75" customHeight="1" x14ac:dyDescent="0.25">
      <c r="A36" s="6">
        <v>460020</v>
      </c>
      <c r="B36" s="6" t="s">
        <v>1759</v>
      </c>
    </row>
    <row r="37" spans="1:2" ht="15.75" customHeight="1" x14ac:dyDescent="0.25">
      <c r="A37" s="6">
        <v>460017</v>
      </c>
      <c r="B37" s="6" t="s">
        <v>1756</v>
      </c>
    </row>
    <row r="38" spans="1:2" ht="15.75" customHeight="1" x14ac:dyDescent="0.25">
      <c r="A38" s="6">
        <v>460022</v>
      </c>
      <c r="B38" s="6" t="s">
        <v>1761</v>
      </c>
    </row>
    <row r="39" spans="1:2" ht="15.75" customHeight="1" x14ac:dyDescent="0.25">
      <c r="A39" s="6">
        <v>460001</v>
      </c>
      <c r="B39" s="6" t="s">
        <v>1740</v>
      </c>
    </row>
    <row r="40" spans="1:2" ht="15.75" customHeight="1" x14ac:dyDescent="0.25">
      <c r="A40" s="6">
        <v>460002</v>
      </c>
      <c r="B40" s="6" t="s">
        <v>1741</v>
      </c>
    </row>
    <row r="41" spans="1:2" ht="15.75" customHeight="1" x14ac:dyDescent="0.25">
      <c r="A41" s="6">
        <v>265003</v>
      </c>
      <c r="B41" s="6" t="s">
        <v>1959</v>
      </c>
    </row>
    <row r="42" spans="1:2" ht="15.75" customHeight="1" x14ac:dyDescent="0.25">
      <c r="A42" s="6">
        <v>472011</v>
      </c>
      <c r="B42" s="6" t="s">
        <v>2099</v>
      </c>
    </row>
    <row r="43" spans="1:2" ht="15.75" customHeight="1" x14ac:dyDescent="0.25">
      <c r="A43" s="6">
        <v>265034</v>
      </c>
      <c r="B43" s="6" t="s">
        <v>1990</v>
      </c>
    </row>
    <row r="44" spans="1:2" ht="15.75" customHeight="1" x14ac:dyDescent="0.25">
      <c r="A44" s="6">
        <v>472082</v>
      </c>
      <c r="B44" s="6" t="s">
        <v>1990</v>
      </c>
    </row>
    <row r="45" spans="1:2" ht="15.75" customHeight="1" x14ac:dyDescent="0.25">
      <c r="A45" s="6">
        <v>265033</v>
      </c>
      <c r="B45" s="6" t="s">
        <v>1989</v>
      </c>
    </row>
    <row r="46" spans="1:2" ht="15.75" customHeight="1" x14ac:dyDescent="0.25">
      <c r="A46" s="6">
        <v>472081</v>
      </c>
      <c r="B46" s="6" t="s">
        <v>1989</v>
      </c>
    </row>
    <row r="47" spans="1:2" ht="15.75" customHeight="1" x14ac:dyDescent="0.25">
      <c r="A47" s="6">
        <v>265035</v>
      </c>
      <c r="B47" s="6" t="s">
        <v>1991</v>
      </c>
    </row>
    <row r="48" spans="1:2" ht="15.75" customHeight="1" x14ac:dyDescent="0.25">
      <c r="A48" s="6">
        <v>472083</v>
      </c>
      <c r="B48" s="6" t="s">
        <v>1991</v>
      </c>
    </row>
    <row r="49" spans="1:2" ht="15.75" customHeight="1" x14ac:dyDescent="0.25">
      <c r="A49" s="6">
        <v>265037</v>
      </c>
      <c r="B49" s="6" t="s">
        <v>1993</v>
      </c>
    </row>
    <row r="50" spans="1:2" ht="15.75" customHeight="1" x14ac:dyDescent="0.25">
      <c r="A50" s="6">
        <v>472085</v>
      </c>
      <c r="B50" s="6" t="s">
        <v>1993</v>
      </c>
    </row>
    <row r="51" spans="1:2" ht="15.75" customHeight="1" x14ac:dyDescent="0.25">
      <c r="A51" s="6">
        <v>265036</v>
      </c>
      <c r="B51" s="6" t="s">
        <v>1992</v>
      </c>
    </row>
    <row r="52" spans="1:2" ht="15.75" customHeight="1" x14ac:dyDescent="0.25">
      <c r="A52" s="6">
        <v>472084</v>
      </c>
      <c r="B52" s="6" t="s">
        <v>1992</v>
      </c>
    </row>
    <row r="53" spans="1:2" ht="15.75" customHeight="1" x14ac:dyDescent="0.25">
      <c r="A53" s="6">
        <v>265039</v>
      </c>
      <c r="B53" s="6" t="s">
        <v>1995</v>
      </c>
    </row>
    <row r="54" spans="1:2" ht="15.75" customHeight="1" x14ac:dyDescent="0.25">
      <c r="A54" s="6">
        <v>472087</v>
      </c>
      <c r="B54" s="6" t="s">
        <v>1995</v>
      </c>
    </row>
    <row r="55" spans="1:2" ht="15.75" customHeight="1" x14ac:dyDescent="0.25">
      <c r="A55" s="6">
        <v>265038</v>
      </c>
      <c r="B55" s="6" t="s">
        <v>1994</v>
      </c>
    </row>
    <row r="56" spans="1:2" ht="15.75" customHeight="1" x14ac:dyDescent="0.25">
      <c r="A56" s="6">
        <v>472086</v>
      </c>
      <c r="B56" s="6" t="s">
        <v>1994</v>
      </c>
    </row>
    <row r="57" spans="1:2" ht="15.75" customHeight="1" x14ac:dyDescent="0.25">
      <c r="A57" s="6">
        <v>265040</v>
      </c>
      <c r="B57" s="6" t="s">
        <v>1996</v>
      </c>
    </row>
    <row r="58" spans="1:2" ht="15.75" customHeight="1" x14ac:dyDescent="0.25">
      <c r="A58" s="6">
        <v>472088</v>
      </c>
      <c r="B58" s="6" t="s">
        <v>1996</v>
      </c>
    </row>
    <row r="59" spans="1:2" ht="15.75" customHeight="1" x14ac:dyDescent="0.25">
      <c r="A59" s="6">
        <v>265041</v>
      </c>
      <c r="B59" s="6" t="s">
        <v>1997</v>
      </c>
    </row>
    <row r="60" spans="1:2" ht="15.75" customHeight="1" x14ac:dyDescent="0.25">
      <c r="A60" s="6">
        <v>472089</v>
      </c>
      <c r="B60" s="6" t="s">
        <v>1997</v>
      </c>
    </row>
    <row r="61" spans="1:2" ht="15.75" customHeight="1" x14ac:dyDescent="0.25">
      <c r="A61" s="6">
        <v>265042</v>
      </c>
      <c r="B61" s="6" t="s">
        <v>1998</v>
      </c>
    </row>
    <row r="62" spans="1:2" ht="15.75" customHeight="1" x14ac:dyDescent="0.25">
      <c r="A62" s="6">
        <v>472090</v>
      </c>
      <c r="B62" s="6" t="s">
        <v>1998</v>
      </c>
    </row>
    <row r="63" spans="1:2" ht="15.75" customHeight="1" x14ac:dyDescent="0.25">
      <c r="A63" s="6">
        <v>265043</v>
      </c>
      <c r="B63" s="6" t="s">
        <v>1999</v>
      </c>
    </row>
    <row r="64" spans="1:2" ht="15.75" customHeight="1" x14ac:dyDescent="0.25">
      <c r="A64" s="6">
        <v>472091</v>
      </c>
      <c r="B64" s="6" t="s">
        <v>1999</v>
      </c>
    </row>
    <row r="65" spans="1:2" ht="15.75" customHeight="1" x14ac:dyDescent="0.25">
      <c r="A65" s="6">
        <v>265044</v>
      </c>
      <c r="B65" s="6" t="s">
        <v>2000</v>
      </c>
    </row>
    <row r="66" spans="1:2" ht="15.75" customHeight="1" x14ac:dyDescent="0.25">
      <c r="A66" s="6">
        <v>472092</v>
      </c>
      <c r="B66" s="6" t="s">
        <v>2000</v>
      </c>
    </row>
    <row r="67" spans="1:2" ht="15.75" customHeight="1" x14ac:dyDescent="0.25">
      <c r="A67" s="6">
        <v>265045</v>
      </c>
      <c r="B67" s="6" t="s">
        <v>2001</v>
      </c>
    </row>
    <row r="68" spans="1:2" ht="15.75" customHeight="1" x14ac:dyDescent="0.25">
      <c r="A68" s="6">
        <v>472093</v>
      </c>
      <c r="B68" s="6" t="s">
        <v>2001</v>
      </c>
    </row>
    <row r="69" spans="1:2" ht="15.75" customHeight="1" x14ac:dyDescent="0.25">
      <c r="A69" s="6">
        <v>265046</v>
      </c>
      <c r="B69" s="6" t="s">
        <v>2002</v>
      </c>
    </row>
    <row r="70" spans="1:2" ht="15.75" customHeight="1" x14ac:dyDescent="0.25">
      <c r="A70" s="6">
        <v>472094</v>
      </c>
      <c r="B70" s="6" t="s">
        <v>2002</v>
      </c>
    </row>
    <row r="71" spans="1:2" ht="15.75" customHeight="1" x14ac:dyDescent="0.25">
      <c r="A71" s="6">
        <v>265048</v>
      </c>
      <c r="B71" s="6" t="s">
        <v>2004</v>
      </c>
    </row>
    <row r="72" spans="1:2" ht="15.75" customHeight="1" x14ac:dyDescent="0.25">
      <c r="A72" s="6">
        <v>472096</v>
      </c>
      <c r="B72" s="6" t="s">
        <v>2004</v>
      </c>
    </row>
    <row r="73" spans="1:2" ht="15.75" customHeight="1" x14ac:dyDescent="0.25">
      <c r="A73" s="6">
        <v>265047</v>
      </c>
      <c r="B73" s="6" t="s">
        <v>2003</v>
      </c>
    </row>
    <row r="74" spans="1:2" ht="15.75" customHeight="1" x14ac:dyDescent="0.25">
      <c r="A74" s="6">
        <v>472095</v>
      </c>
      <c r="B74" s="6" t="s">
        <v>2003</v>
      </c>
    </row>
    <row r="75" spans="1:2" ht="15.75" customHeight="1" x14ac:dyDescent="0.25">
      <c r="A75" s="6">
        <v>265049</v>
      </c>
      <c r="B75" s="6" t="s">
        <v>2005</v>
      </c>
    </row>
    <row r="76" spans="1:2" ht="15.75" customHeight="1" x14ac:dyDescent="0.25">
      <c r="A76" s="6">
        <v>472097</v>
      </c>
      <c r="B76" s="6" t="s">
        <v>2005</v>
      </c>
    </row>
    <row r="77" spans="1:2" ht="15.75" customHeight="1" x14ac:dyDescent="0.25">
      <c r="A77" s="6">
        <v>101004</v>
      </c>
      <c r="B77" s="6" t="s">
        <v>24</v>
      </c>
    </row>
    <row r="78" spans="1:2" ht="15.75" customHeight="1" x14ac:dyDescent="0.25">
      <c r="A78" s="6">
        <v>1048</v>
      </c>
      <c r="B78" s="6" t="s">
        <v>666</v>
      </c>
    </row>
    <row r="79" spans="1:2" ht="15.75" customHeight="1" x14ac:dyDescent="0.25">
      <c r="A79" s="6">
        <v>101001</v>
      </c>
      <c r="B79" s="6" t="s">
        <v>667</v>
      </c>
    </row>
    <row r="80" spans="1:2" ht="15.75" customHeight="1" x14ac:dyDescent="0.25">
      <c r="A80" s="6">
        <v>264002</v>
      </c>
      <c r="B80" s="6" t="s">
        <v>1908</v>
      </c>
    </row>
    <row r="81" spans="1:2" ht="15.75" customHeight="1" x14ac:dyDescent="0.25">
      <c r="A81" s="6">
        <v>472002</v>
      </c>
      <c r="B81" s="6" t="s">
        <v>1908</v>
      </c>
    </row>
    <row r="82" spans="1:2" ht="15.75" customHeight="1" x14ac:dyDescent="0.25">
      <c r="A82" s="6">
        <v>264045</v>
      </c>
      <c r="B82" s="6" t="s">
        <v>1950</v>
      </c>
    </row>
    <row r="83" spans="1:2" ht="15.75" customHeight="1" x14ac:dyDescent="0.25">
      <c r="A83" s="6">
        <v>472051</v>
      </c>
      <c r="B83" s="6" t="s">
        <v>1950</v>
      </c>
    </row>
    <row r="84" spans="1:2" ht="15.75" customHeight="1" x14ac:dyDescent="0.25">
      <c r="A84" s="6">
        <v>264046</v>
      </c>
      <c r="B84" s="6" t="s">
        <v>1951</v>
      </c>
    </row>
    <row r="85" spans="1:2" ht="15.75" customHeight="1" x14ac:dyDescent="0.25">
      <c r="A85" s="6">
        <v>472052</v>
      </c>
      <c r="B85" s="6" t="s">
        <v>1951</v>
      </c>
    </row>
    <row r="86" spans="1:2" ht="15.75" customHeight="1" x14ac:dyDescent="0.25">
      <c r="A86" s="6">
        <v>264047</v>
      </c>
      <c r="B86" s="6" t="s">
        <v>1952</v>
      </c>
    </row>
    <row r="87" spans="1:2" ht="15.75" customHeight="1" x14ac:dyDescent="0.25">
      <c r="A87" s="6">
        <v>264049</v>
      </c>
      <c r="B87" s="6" t="s">
        <v>1954</v>
      </c>
    </row>
    <row r="88" spans="1:2" ht="15.75" customHeight="1" x14ac:dyDescent="0.25">
      <c r="A88" s="6">
        <v>264048</v>
      </c>
      <c r="B88" s="6" t="s">
        <v>1953</v>
      </c>
    </row>
    <row r="89" spans="1:2" ht="15.75" customHeight="1" x14ac:dyDescent="0.25">
      <c r="A89" s="6">
        <v>218001</v>
      </c>
      <c r="B89" s="6" t="s">
        <v>668</v>
      </c>
    </row>
    <row r="90" spans="1:2" ht="15.75" customHeight="1" x14ac:dyDescent="0.25">
      <c r="A90" s="6">
        <v>101012</v>
      </c>
      <c r="B90" s="6" t="s">
        <v>669</v>
      </c>
    </row>
    <row r="91" spans="1:2" ht="15.75" customHeight="1" x14ac:dyDescent="0.25">
      <c r="A91" s="6">
        <v>45052</v>
      </c>
      <c r="B91" s="6" t="s">
        <v>670</v>
      </c>
    </row>
    <row r="92" spans="1:2" ht="15.75" customHeight="1" x14ac:dyDescent="0.25">
      <c r="A92" s="6">
        <v>45053</v>
      </c>
      <c r="B92" s="6" t="s">
        <v>671</v>
      </c>
    </row>
    <row r="93" spans="1:2" ht="15.75" customHeight="1" x14ac:dyDescent="0.25">
      <c r="A93" s="6">
        <v>45051</v>
      </c>
      <c r="B93" s="6" t="s">
        <v>672</v>
      </c>
    </row>
    <row r="94" spans="1:2" ht="15.75" customHeight="1" x14ac:dyDescent="0.25">
      <c r="A94" s="6">
        <v>311001</v>
      </c>
      <c r="B94" s="6" t="s">
        <v>673</v>
      </c>
    </row>
    <row r="95" spans="1:2" ht="15.75" customHeight="1" x14ac:dyDescent="0.25">
      <c r="A95" s="6">
        <v>53065</v>
      </c>
      <c r="B95" s="6" t="s">
        <v>674</v>
      </c>
    </row>
    <row r="96" spans="1:2" ht="15.75" customHeight="1" x14ac:dyDescent="0.25">
      <c r="A96" s="6">
        <v>53066</v>
      </c>
      <c r="B96" s="6" t="s">
        <v>675</v>
      </c>
    </row>
    <row r="97" spans="1:2" ht="15.75" customHeight="1" x14ac:dyDescent="0.25">
      <c r="A97" s="6">
        <v>53063</v>
      </c>
      <c r="B97" s="6" t="s">
        <v>676</v>
      </c>
    </row>
    <row r="98" spans="1:2" ht="15.75" customHeight="1" x14ac:dyDescent="0.25">
      <c r="A98" s="6">
        <v>53064</v>
      </c>
      <c r="B98" s="6" t="s">
        <v>677</v>
      </c>
    </row>
    <row r="99" spans="1:2" ht="15.75" customHeight="1" x14ac:dyDescent="0.25">
      <c r="A99" s="6">
        <v>45017</v>
      </c>
      <c r="B99" s="6" t="s">
        <v>678</v>
      </c>
    </row>
    <row r="100" spans="1:2" ht="15.75" customHeight="1" x14ac:dyDescent="0.25">
      <c r="A100" s="6">
        <v>45018</v>
      </c>
      <c r="B100" s="6" t="s">
        <v>679</v>
      </c>
    </row>
    <row r="101" spans="1:2" ht="15.75" customHeight="1" x14ac:dyDescent="0.25">
      <c r="A101" s="6">
        <v>45016</v>
      </c>
      <c r="B101" s="6" t="s">
        <v>680</v>
      </c>
    </row>
    <row r="102" spans="1:2" ht="15.75" customHeight="1" x14ac:dyDescent="0.25">
      <c r="A102" s="6">
        <v>53003</v>
      </c>
      <c r="B102" s="6" t="s">
        <v>681</v>
      </c>
    </row>
    <row r="103" spans="1:2" ht="15.75" customHeight="1" x14ac:dyDescent="0.25">
      <c r="A103" s="6">
        <v>53004</v>
      </c>
      <c r="B103" s="6" t="s">
        <v>682</v>
      </c>
    </row>
    <row r="104" spans="1:2" ht="15.75" customHeight="1" x14ac:dyDescent="0.25">
      <c r="A104" s="6">
        <v>53001</v>
      </c>
      <c r="B104" s="6" t="s">
        <v>683</v>
      </c>
    </row>
    <row r="105" spans="1:2" ht="15.75" customHeight="1" x14ac:dyDescent="0.25">
      <c r="A105" s="6">
        <v>53002</v>
      </c>
      <c r="B105" s="6" t="s">
        <v>684</v>
      </c>
    </row>
    <row r="106" spans="1:2" ht="15.75" customHeight="1" x14ac:dyDescent="0.25">
      <c r="A106" s="6">
        <v>208019</v>
      </c>
      <c r="B106" s="6" t="s">
        <v>685</v>
      </c>
    </row>
    <row r="107" spans="1:2" ht="15.75" customHeight="1" x14ac:dyDescent="0.25">
      <c r="A107" s="6">
        <v>45062</v>
      </c>
      <c r="B107" s="6" t="s">
        <v>686</v>
      </c>
    </row>
    <row r="108" spans="1:2" ht="15.75" customHeight="1" x14ac:dyDescent="0.25">
      <c r="A108" s="6">
        <v>45061</v>
      </c>
      <c r="B108" s="6" t="s">
        <v>687</v>
      </c>
    </row>
    <row r="109" spans="1:2" ht="15.75" customHeight="1" x14ac:dyDescent="0.25">
      <c r="A109" s="6">
        <v>45014</v>
      </c>
      <c r="B109" s="6" t="s">
        <v>688</v>
      </c>
    </row>
    <row r="110" spans="1:2" ht="15.75" customHeight="1" x14ac:dyDescent="0.25">
      <c r="A110" s="6">
        <v>45015</v>
      </c>
      <c r="B110" s="6" t="s">
        <v>689</v>
      </c>
    </row>
    <row r="111" spans="1:2" ht="15.75" customHeight="1" x14ac:dyDescent="0.25">
      <c r="A111" s="6">
        <v>45013</v>
      </c>
      <c r="B111" s="6" t="s">
        <v>690</v>
      </c>
    </row>
    <row r="112" spans="1:2" ht="15.75" customHeight="1" x14ac:dyDescent="0.25">
      <c r="A112" s="6">
        <v>53011</v>
      </c>
      <c r="B112" s="6" t="s">
        <v>691</v>
      </c>
    </row>
    <row r="113" spans="1:2" ht="15.75" customHeight="1" x14ac:dyDescent="0.25">
      <c r="A113" s="6">
        <v>53012</v>
      </c>
      <c r="B113" s="6" t="s">
        <v>692</v>
      </c>
    </row>
    <row r="114" spans="1:2" ht="15.75" customHeight="1" x14ac:dyDescent="0.25">
      <c r="A114" s="6">
        <v>53009</v>
      </c>
      <c r="B114" s="6" t="s">
        <v>693</v>
      </c>
    </row>
    <row r="115" spans="1:2" ht="15.75" customHeight="1" x14ac:dyDescent="0.25">
      <c r="A115" s="6">
        <v>53010</v>
      </c>
      <c r="B115" s="6" t="s">
        <v>694</v>
      </c>
    </row>
    <row r="116" spans="1:2" ht="15.75" customHeight="1" x14ac:dyDescent="0.25">
      <c r="A116" s="6">
        <v>208002</v>
      </c>
      <c r="B116" s="6" t="s">
        <v>695</v>
      </c>
    </row>
    <row r="117" spans="1:2" ht="15.75" customHeight="1" x14ac:dyDescent="0.25">
      <c r="A117" s="6">
        <v>434001</v>
      </c>
      <c r="B117" s="6" t="s">
        <v>696</v>
      </c>
    </row>
    <row r="118" spans="1:2" ht="15.75" customHeight="1" x14ac:dyDescent="0.25">
      <c r="A118" s="6">
        <v>211002</v>
      </c>
      <c r="B118" s="6" t="s">
        <v>697</v>
      </c>
    </row>
    <row r="119" spans="1:2" ht="15.75" customHeight="1" x14ac:dyDescent="0.25">
      <c r="A119" s="6">
        <v>462001</v>
      </c>
      <c r="B119" s="6" t="s">
        <v>697</v>
      </c>
    </row>
    <row r="120" spans="1:2" ht="15.75" customHeight="1" x14ac:dyDescent="0.25">
      <c r="A120" s="6">
        <v>73013</v>
      </c>
      <c r="B120" s="6" t="s">
        <v>2100</v>
      </c>
    </row>
    <row r="121" spans="1:2" ht="15.75" customHeight="1" x14ac:dyDescent="0.25">
      <c r="A121" s="6">
        <v>73011</v>
      </c>
      <c r="B121" s="6" t="s">
        <v>2101</v>
      </c>
    </row>
    <row r="122" spans="1:2" ht="15.75" customHeight="1" x14ac:dyDescent="0.25">
      <c r="A122" s="6">
        <v>73012</v>
      </c>
      <c r="B122" s="6" t="s">
        <v>2102</v>
      </c>
    </row>
    <row r="123" spans="1:2" ht="15.75" customHeight="1" x14ac:dyDescent="0.25">
      <c r="A123" s="6">
        <v>209027</v>
      </c>
      <c r="B123" s="6" t="s">
        <v>698</v>
      </c>
    </row>
    <row r="124" spans="1:2" ht="15.75" customHeight="1" x14ac:dyDescent="0.25">
      <c r="A124" s="6">
        <v>409034</v>
      </c>
      <c r="B124" s="6" t="s">
        <v>698</v>
      </c>
    </row>
    <row r="125" spans="1:2" ht="15.75" customHeight="1" x14ac:dyDescent="0.25">
      <c r="A125" s="6">
        <v>208010</v>
      </c>
      <c r="B125" s="6" t="s">
        <v>699</v>
      </c>
    </row>
    <row r="126" spans="1:2" ht="15.75" customHeight="1" x14ac:dyDescent="0.25">
      <c r="A126" s="6">
        <v>37001</v>
      </c>
      <c r="B126" s="6" t="s">
        <v>700</v>
      </c>
    </row>
    <row r="127" spans="1:2" ht="15.75" customHeight="1" x14ac:dyDescent="0.25">
      <c r="A127" s="6">
        <v>37011</v>
      </c>
      <c r="B127" s="6" t="s">
        <v>701</v>
      </c>
    </row>
    <row r="128" spans="1:2" ht="15.75" customHeight="1" x14ac:dyDescent="0.25">
      <c r="A128" s="6">
        <v>45033</v>
      </c>
      <c r="B128" s="6" t="s">
        <v>702</v>
      </c>
    </row>
    <row r="129" spans="1:2" ht="15.75" customHeight="1" x14ac:dyDescent="0.25">
      <c r="A129" s="6">
        <v>45034</v>
      </c>
      <c r="B129" s="6" t="s">
        <v>703</v>
      </c>
    </row>
    <row r="130" spans="1:2" ht="15.75" customHeight="1" x14ac:dyDescent="0.25">
      <c r="A130" s="6">
        <v>45035</v>
      </c>
      <c r="B130" s="6" t="s">
        <v>704</v>
      </c>
    </row>
    <row r="131" spans="1:2" ht="15.75" customHeight="1" x14ac:dyDescent="0.25">
      <c r="A131" s="6">
        <v>45032</v>
      </c>
      <c r="B131" s="6" t="s">
        <v>705</v>
      </c>
    </row>
    <row r="132" spans="1:2" ht="15.75" customHeight="1" x14ac:dyDescent="0.25">
      <c r="A132" s="6">
        <v>32071</v>
      </c>
      <c r="B132" s="6" t="s">
        <v>706</v>
      </c>
    </row>
    <row r="133" spans="1:2" ht="15.75" customHeight="1" x14ac:dyDescent="0.25">
      <c r="A133" s="6">
        <v>32162</v>
      </c>
      <c r="B133" s="6" t="s">
        <v>707</v>
      </c>
    </row>
    <row r="134" spans="1:2" ht="15.75" customHeight="1" x14ac:dyDescent="0.25">
      <c r="A134" s="6">
        <v>32005</v>
      </c>
      <c r="B134" s="6" t="s">
        <v>708</v>
      </c>
    </row>
    <row r="135" spans="1:2" ht="15.75" customHeight="1" x14ac:dyDescent="0.25">
      <c r="A135" s="6">
        <v>440045</v>
      </c>
      <c r="B135" s="6" t="s">
        <v>709</v>
      </c>
    </row>
    <row r="136" spans="1:2" ht="15.75" customHeight="1" x14ac:dyDescent="0.25">
      <c r="A136" s="6">
        <v>441045</v>
      </c>
      <c r="B136" s="6" t="s">
        <v>709</v>
      </c>
    </row>
    <row r="137" spans="1:2" ht="15.75" customHeight="1" x14ac:dyDescent="0.25">
      <c r="A137" s="6">
        <v>440037</v>
      </c>
      <c r="B137" s="6" t="s">
        <v>710</v>
      </c>
    </row>
    <row r="138" spans="1:2" ht="15.75" customHeight="1" x14ac:dyDescent="0.25">
      <c r="A138" s="6">
        <v>441037</v>
      </c>
      <c r="B138" s="6" t="s">
        <v>710</v>
      </c>
    </row>
    <row r="139" spans="1:2" ht="15.75" customHeight="1" x14ac:dyDescent="0.25">
      <c r="A139" s="6">
        <v>440039</v>
      </c>
      <c r="B139" s="6" t="s">
        <v>711</v>
      </c>
    </row>
    <row r="140" spans="1:2" ht="15.75" customHeight="1" x14ac:dyDescent="0.25">
      <c r="A140" s="6">
        <v>441039</v>
      </c>
      <c r="B140" s="6" t="s">
        <v>711</v>
      </c>
    </row>
    <row r="141" spans="1:2" ht="15.75" customHeight="1" x14ac:dyDescent="0.25">
      <c r="A141" s="6">
        <v>440036</v>
      </c>
      <c r="B141" s="6" t="s">
        <v>712</v>
      </c>
    </row>
    <row r="142" spans="1:2" ht="15.75" customHeight="1" x14ac:dyDescent="0.25">
      <c r="A142" s="6">
        <v>441036</v>
      </c>
      <c r="B142" s="6" t="s">
        <v>712</v>
      </c>
    </row>
    <row r="143" spans="1:2" ht="15.75" customHeight="1" x14ac:dyDescent="0.25">
      <c r="A143" s="6">
        <v>440043</v>
      </c>
      <c r="B143" s="6" t="s">
        <v>713</v>
      </c>
    </row>
    <row r="144" spans="1:2" ht="15.75" customHeight="1" x14ac:dyDescent="0.25">
      <c r="A144" s="6">
        <v>441043</v>
      </c>
      <c r="B144" s="6" t="s">
        <v>713</v>
      </c>
    </row>
    <row r="145" spans="1:2" ht="15.75" customHeight="1" x14ac:dyDescent="0.25">
      <c r="A145" s="6">
        <v>440044</v>
      </c>
      <c r="B145" s="6" t="s">
        <v>714</v>
      </c>
    </row>
    <row r="146" spans="1:2" ht="15.75" customHeight="1" x14ac:dyDescent="0.25">
      <c r="A146" s="6">
        <v>441044</v>
      </c>
      <c r="B146" s="6" t="s">
        <v>714</v>
      </c>
    </row>
    <row r="147" spans="1:2" ht="15.75" customHeight="1" x14ac:dyDescent="0.25">
      <c r="A147" s="6">
        <v>440040</v>
      </c>
      <c r="B147" s="6" t="s">
        <v>715</v>
      </c>
    </row>
    <row r="148" spans="1:2" ht="15.75" customHeight="1" x14ac:dyDescent="0.25">
      <c r="A148" s="6">
        <v>441040</v>
      </c>
      <c r="B148" s="6" t="s">
        <v>715</v>
      </c>
    </row>
    <row r="149" spans="1:2" ht="15.75" customHeight="1" x14ac:dyDescent="0.25">
      <c r="A149" s="6">
        <v>440038</v>
      </c>
      <c r="B149" s="6" t="s">
        <v>716</v>
      </c>
    </row>
    <row r="150" spans="1:2" ht="15.75" customHeight="1" x14ac:dyDescent="0.25">
      <c r="A150" s="6">
        <v>441038</v>
      </c>
      <c r="B150" s="6" t="s">
        <v>716</v>
      </c>
    </row>
    <row r="151" spans="1:2" ht="15.75" customHeight="1" x14ac:dyDescent="0.25">
      <c r="A151" s="6">
        <v>440042</v>
      </c>
      <c r="B151" s="6" t="s">
        <v>717</v>
      </c>
    </row>
    <row r="152" spans="1:2" ht="15.75" customHeight="1" x14ac:dyDescent="0.25">
      <c r="A152" s="6">
        <v>441042</v>
      </c>
      <c r="B152" s="6" t="s">
        <v>717</v>
      </c>
    </row>
    <row r="153" spans="1:2" ht="15.75" customHeight="1" x14ac:dyDescent="0.25">
      <c r="A153" s="6">
        <v>440041</v>
      </c>
      <c r="B153" s="6" t="s">
        <v>718</v>
      </c>
    </row>
    <row r="154" spans="1:2" ht="15.75" customHeight="1" x14ac:dyDescent="0.25">
      <c r="A154" s="6">
        <v>441041</v>
      </c>
      <c r="B154" s="6" t="s">
        <v>718</v>
      </c>
    </row>
    <row r="155" spans="1:2" ht="15.75" customHeight="1" x14ac:dyDescent="0.25">
      <c r="A155" s="6">
        <v>220033</v>
      </c>
      <c r="B155" s="6" t="s">
        <v>719</v>
      </c>
    </row>
    <row r="156" spans="1:2" ht="15.75" customHeight="1" x14ac:dyDescent="0.25">
      <c r="A156" s="6">
        <v>208011</v>
      </c>
      <c r="B156" s="6" t="s">
        <v>720</v>
      </c>
    </row>
    <row r="157" spans="1:2" ht="15.75" customHeight="1" x14ac:dyDescent="0.25">
      <c r="A157" s="6">
        <v>32024</v>
      </c>
      <c r="B157" s="6" t="s">
        <v>721</v>
      </c>
    </row>
    <row r="158" spans="1:2" ht="15.75" customHeight="1" x14ac:dyDescent="0.25">
      <c r="A158" s="6">
        <v>32211</v>
      </c>
      <c r="B158" s="6" t="s">
        <v>722</v>
      </c>
    </row>
    <row r="159" spans="1:2" ht="15.75" customHeight="1" x14ac:dyDescent="0.25">
      <c r="A159" s="6">
        <v>32205</v>
      </c>
      <c r="B159" s="6" t="s">
        <v>723</v>
      </c>
    </row>
    <row r="160" spans="1:2" ht="15.75" customHeight="1" x14ac:dyDescent="0.25">
      <c r="A160" s="6">
        <v>32119</v>
      </c>
      <c r="B160" s="6" t="s">
        <v>724</v>
      </c>
    </row>
    <row r="161" spans="1:2" ht="15.75" customHeight="1" x14ac:dyDescent="0.25">
      <c r="A161" s="6">
        <v>32120</v>
      </c>
      <c r="B161" s="6" t="s">
        <v>725</v>
      </c>
    </row>
    <row r="162" spans="1:2" ht="15.75" customHeight="1" x14ac:dyDescent="0.25">
      <c r="A162" s="6">
        <v>32118</v>
      </c>
      <c r="B162" s="6" t="s">
        <v>726</v>
      </c>
    </row>
    <row r="163" spans="1:2" ht="15.75" customHeight="1" x14ac:dyDescent="0.25">
      <c r="A163" s="6">
        <v>32147</v>
      </c>
      <c r="B163" s="6" t="s">
        <v>727</v>
      </c>
    </row>
    <row r="164" spans="1:2" ht="15.75" customHeight="1" x14ac:dyDescent="0.25">
      <c r="A164" s="6">
        <v>32190</v>
      </c>
      <c r="B164" s="6" t="s">
        <v>728</v>
      </c>
    </row>
    <row r="165" spans="1:2" ht="15.75" customHeight="1" x14ac:dyDescent="0.25">
      <c r="A165" s="6">
        <v>32030</v>
      </c>
      <c r="B165" s="6" t="s">
        <v>729</v>
      </c>
    </row>
    <row r="166" spans="1:2" ht="15.75" customHeight="1" x14ac:dyDescent="0.25">
      <c r="A166" s="6">
        <v>32148</v>
      </c>
      <c r="B166" s="6" t="s">
        <v>730</v>
      </c>
    </row>
    <row r="167" spans="1:2" ht="15.75" customHeight="1" x14ac:dyDescent="0.25">
      <c r="A167" s="6">
        <v>32177</v>
      </c>
      <c r="B167" s="6" t="s">
        <v>731</v>
      </c>
    </row>
    <row r="168" spans="1:2" ht="15.75" customHeight="1" x14ac:dyDescent="0.25">
      <c r="A168" s="6">
        <v>32151</v>
      </c>
      <c r="B168" s="6" t="s">
        <v>732</v>
      </c>
    </row>
    <row r="169" spans="1:2" ht="15.75" customHeight="1" x14ac:dyDescent="0.25">
      <c r="A169" s="6">
        <v>32150</v>
      </c>
      <c r="B169" s="6" t="s">
        <v>733</v>
      </c>
    </row>
    <row r="170" spans="1:2" ht="15.75" customHeight="1" x14ac:dyDescent="0.25">
      <c r="A170" s="6">
        <v>32168</v>
      </c>
      <c r="B170" s="6" t="s">
        <v>734</v>
      </c>
    </row>
    <row r="171" spans="1:2" ht="15.75" customHeight="1" x14ac:dyDescent="0.25">
      <c r="A171" s="6">
        <v>32204</v>
      </c>
      <c r="B171" s="6" t="s">
        <v>735</v>
      </c>
    </row>
    <row r="172" spans="1:2" ht="15.75" customHeight="1" x14ac:dyDescent="0.25">
      <c r="A172" s="6">
        <v>32156</v>
      </c>
      <c r="B172" s="6" t="s">
        <v>736</v>
      </c>
    </row>
    <row r="173" spans="1:2" ht="15.75" customHeight="1" x14ac:dyDescent="0.25">
      <c r="A173" s="6">
        <v>32155</v>
      </c>
      <c r="B173" s="6" t="s">
        <v>737</v>
      </c>
    </row>
    <row r="174" spans="1:2" ht="15.75" customHeight="1" x14ac:dyDescent="0.25">
      <c r="A174" s="6">
        <v>32270</v>
      </c>
      <c r="B174" s="6" t="s">
        <v>2103</v>
      </c>
    </row>
    <row r="175" spans="1:2" ht="15.75" customHeight="1" x14ac:dyDescent="0.25">
      <c r="A175" s="6">
        <v>32272</v>
      </c>
      <c r="B175" s="6" t="s">
        <v>2104</v>
      </c>
    </row>
    <row r="176" spans="1:2" ht="15.75" customHeight="1" x14ac:dyDescent="0.25">
      <c r="A176" s="6">
        <v>32271</v>
      </c>
      <c r="B176" s="6" t="s">
        <v>2105</v>
      </c>
    </row>
    <row r="177" spans="1:2" ht="15.75" customHeight="1" x14ac:dyDescent="0.25">
      <c r="A177" s="6">
        <v>32269</v>
      </c>
      <c r="B177" s="6" t="s">
        <v>2106</v>
      </c>
    </row>
    <row r="178" spans="1:2" ht="15.75" customHeight="1" x14ac:dyDescent="0.25">
      <c r="A178" s="6">
        <v>32267</v>
      </c>
      <c r="B178" s="6" t="s">
        <v>2053</v>
      </c>
    </row>
    <row r="179" spans="1:2" ht="15.75" customHeight="1" x14ac:dyDescent="0.25">
      <c r="A179" s="6">
        <v>32268</v>
      </c>
      <c r="B179" s="6" t="s">
        <v>2054</v>
      </c>
    </row>
    <row r="180" spans="1:2" ht="15.75" customHeight="1" x14ac:dyDescent="0.25">
      <c r="A180" s="6">
        <v>32266</v>
      </c>
      <c r="B180" s="6" t="s">
        <v>2052</v>
      </c>
    </row>
    <row r="181" spans="1:2" ht="15.75" customHeight="1" x14ac:dyDescent="0.25">
      <c r="A181" s="6">
        <v>53041</v>
      </c>
      <c r="B181" s="6" t="s">
        <v>738</v>
      </c>
    </row>
    <row r="182" spans="1:2" ht="15.75" customHeight="1" x14ac:dyDescent="0.25">
      <c r="A182" s="6">
        <v>53042</v>
      </c>
      <c r="B182" s="6" t="s">
        <v>739</v>
      </c>
    </row>
    <row r="183" spans="1:2" ht="15.75" customHeight="1" x14ac:dyDescent="0.25">
      <c r="A183" s="6">
        <v>53039</v>
      </c>
      <c r="B183" s="6" t="s">
        <v>740</v>
      </c>
    </row>
    <row r="184" spans="1:2" ht="15.75" customHeight="1" x14ac:dyDescent="0.25">
      <c r="A184" s="6">
        <v>53040</v>
      </c>
      <c r="B184" s="6" t="s">
        <v>741</v>
      </c>
    </row>
    <row r="185" spans="1:2" ht="15.75" customHeight="1" x14ac:dyDescent="0.25">
      <c r="A185" s="6">
        <v>408034</v>
      </c>
      <c r="B185" s="6" t="s">
        <v>742</v>
      </c>
    </row>
    <row r="186" spans="1:2" ht="15.75" customHeight="1" x14ac:dyDescent="0.25">
      <c r="A186" s="6">
        <v>53019</v>
      </c>
      <c r="B186" s="6" t="s">
        <v>743</v>
      </c>
    </row>
    <row r="187" spans="1:2" ht="15.75" customHeight="1" x14ac:dyDescent="0.25">
      <c r="A187" s="6">
        <v>53020</v>
      </c>
      <c r="B187" s="6" t="s">
        <v>744</v>
      </c>
    </row>
    <row r="188" spans="1:2" ht="15.75" customHeight="1" x14ac:dyDescent="0.25">
      <c r="A188" s="6">
        <v>53017</v>
      </c>
      <c r="B188" s="6" t="s">
        <v>745</v>
      </c>
    </row>
    <row r="189" spans="1:2" ht="15.75" customHeight="1" x14ac:dyDescent="0.25">
      <c r="A189" s="6">
        <v>53018</v>
      </c>
      <c r="B189" s="6" t="s">
        <v>746</v>
      </c>
    </row>
    <row r="190" spans="1:2" ht="15.75" customHeight="1" x14ac:dyDescent="0.25">
      <c r="A190" s="6">
        <v>235012</v>
      </c>
      <c r="B190" s="6" t="s">
        <v>747</v>
      </c>
    </row>
    <row r="191" spans="1:2" ht="15.75" customHeight="1" x14ac:dyDescent="0.25">
      <c r="A191" s="6">
        <v>235013</v>
      </c>
      <c r="B191" s="6" t="s">
        <v>748</v>
      </c>
    </row>
    <row r="192" spans="1:2" ht="15.75" customHeight="1" x14ac:dyDescent="0.25">
      <c r="A192" s="6">
        <v>235011</v>
      </c>
      <c r="B192" s="6" t="s">
        <v>749</v>
      </c>
    </row>
    <row r="193" spans="1:2" ht="15.75" customHeight="1" x14ac:dyDescent="0.25">
      <c r="A193" s="6">
        <v>209020</v>
      </c>
      <c r="B193" s="6" t="s">
        <v>750</v>
      </c>
    </row>
    <row r="194" spans="1:2" ht="15.75" customHeight="1" x14ac:dyDescent="0.25">
      <c r="A194" s="6">
        <v>472013</v>
      </c>
      <c r="B194" s="6" t="s">
        <v>2107</v>
      </c>
    </row>
    <row r="195" spans="1:2" ht="15.75" customHeight="1" x14ac:dyDescent="0.25">
      <c r="A195" s="6">
        <v>61012</v>
      </c>
      <c r="B195" s="6" t="s">
        <v>1815</v>
      </c>
    </row>
    <row r="196" spans="1:2" ht="15.75" customHeight="1" x14ac:dyDescent="0.25">
      <c r="A196" s="6">
        <v>61014</v>
      </c>
      <c r="B196" s="6" t="s">
        <v>1817</v>
      </c>
    </row>
    <row r="197" spans="1:2" ht="15.75" customHeight="1" x14ac:dyDescent="0.25">
      <c r="A197" s="6">
        <v>61013</v>
      </c>
      <c r="B197" s="6" t="s">
        <v>1816</v>
      </c>
    </row>
    <row r="198" spans="1:2" ht="15.75" customHeight="1" x14ac:dyDescent="0.25">
      <c r="A198" s="6">
        <v>1129</v>
      </c>
      <c r="B198" s="6" t="s">
        <v>751</v>
      </c>
    </row>
    <row r="199" spans="1:2" ht="15.75" customHeight="1" x14ac:dyDescent="0.25">
      <c r="A199" s="6">
        <v>1130</v>
      </c>
      <c r="B199" s="6" t="s">
        <v>752</v>
      </c>
    </row>
    <row r="200" spans="1:2" ht="15.75" customHeight="1" x14ac:dyDescent="0.25">
      <c r="A200" s="6">
        <v>220001</v>
      </c>
      <c r="B200" s="6" t="s">
        <v>753</v>
      </c>
    </row>
    <row r="201" spans="1:2" ht="15.75" customHeight="1" x14ac:dyDescent="0.25">
      <c r="A201" s="6">
        <v>1174</v>
      </c>
      <c r="B201" s="6" t="s">
        <v>754</v>
      </c>
    </row>
    <row r="202" spans="1:2" ht="15.75" customHeight="1" x14ac:dyDescent="0.25">
      <c r="A202" s="6">
        <v>1173</v>
      </c>
      <c r="B202" s="6" t="s">
        <v>755</v>
      </c>
    </row>
    <row r="203" spans="1:2" ht="15.75" customHeight="1" x14ac:dyDescent="0.25">
      <c r="A203" s="6">
        <v>309003</v>
      </c>
      <c r="B203" s="6" t="s">
        <v>756</v>
      </c>
    </row>
    <row r="204" spans="1:2" ht="15.75" customHeight="1" x14ac:dyDescent="0.25">
      <c r="A204" s="6">
        <v>32103</v>
      </c>
      <c r="B204" s="6" t="s">
        <v>757</v>
      </c>
    </row>
    <row r="205" spans="1:2" ht="15.75" customHeight="1" x14ac:dyDescent="0.25">
      <c r="A205" s="6">
        <v>53031</v>
      </c>
      <c r="B205" s="6" t="s">
        <v>758</v>
      </c>
    </row>
    <row r="206" spans="1:2" ht="15.75" customHeight="1" x14ac:dyDescent="0.25">
      <c r="A206" s="6">
        <v>53030</v>
      </c>
      <c r="B206" s="6" t="s">
        <v>759</v>
      </c>
    </row>
    <row r="207" spans="1:2" ht="15.75" customHeight="1" x14ac:dyDescent="0.25">
      <c r="A207" s="6">
        <v>53038</v>
      </c>
      <c r="B207" s="6" t="s">
        <v>760</v>
      </c>
    </row>
    <row r="208" spans="1:2" ht="15.75" customHeight="1" x14ac:dyDescent="0.25">
      <c r="A208" s="6">
        <v>53032</v>
      </c>
      <c r="B208" s="6" t="s">
        <v>761</v>
      </c>
    </row>
    <row r="209" spans="1:2" ht="15.75" customHeight="1" x14ac:dyDescent="0.25">
      <c r="A209" s="6">
        <v>53037</v>
      </c>
      <c r="B209" s="6" t="s">
        <v>762</v>
      </c>
    </row>
    <row r="210" spans="1:2" ht="15.75" customHeight="1" x14ac:dyDescent="0.25">
      <c r="A210" s="6">
        <v>53029</v>
      </c>
      <c r="B210" s="6" t="s">
        <v>763</v>
      </c>
    </row>
    <row r="211" spans="1:2" ht="15.75" customHeight="1" x14ac:dyDescent="0.25">
      <c r="A211" s="6">
        <v>53033</v>
      </c>
      <c r="B211" s="6" t="s">
        <v>764</v>
      </c>
    </row>
    <row r="212" spans="1:2" ht="15.75" customHeight="1" x14ac:dyDescent="0.25">
      <c r="A212" s="6">
        <v>53035</v>
      </c>
      <c r="B212" s="6" t="s">
        <v>765</v>
      </c>
    </row>
    <row r="213" spans="1:2" ht="15.75" customHeight="1" x14ac:dyDescent="0.25">
      <c r="A213" s="6">
        <v>53036</v>
      </c>
      <c r="B213" s="6" t="s">
        <v>766</v>
      </c>
    </row>
    <row r="214" spans="1:2" ht="15.75" customHeight="1" x14ac:dyDescent="0.25">
      <c r="A214" s="6">
        <v>53034</v>
      </c>
      <c r="B214" s="6" t="s">
        <v>767</v>
      </c>
    </row>
    <row r="215" spans="1:2" ht="15.75" customHeight="1" x14ac:dyDescent="0.25">
      <c r="A215" s="6">
        <v>52001</v>
      </c>
      <c r="B215" s="6" t="s">
        <v>768</v>
      </c>
    </row>
    <row r="216" spans="1:2" ht="15.75" customHeight="1" x14ac:dyDescent="0.25">
      <c r="A216" s="6">
        <v>462005</v>
      </c>
      <c r="B216" s="6" t="s">
        <v>1822</v>
      </c>
    </row>
    <row r="217" spans="1:2" ht="15.75" customHeight="1" x14ac:dyDescent="0.25">
      <c r="A217" s="6">
        <v>338008</v>
      </c>
      <c r="B217" s="6" t="s">
        <v>769</v>
      </c>
    </row>
    <row r="218" spans="1:2" ht="15.75" customHeight="1" x14ac:dyDescent="0.25">
      <c r="A218" s="6">
        <v>440028</v>
      </c>
      <c r="B218" s="6" t="s">
        <v>770</v>
      </c>
    </row>
    <row r="219" spans="1:2" ht="15.75" customHeight="1" x14ac:dyDescent="0.25">
      <c r="A219" s="6">
        <v>441028</v>
      </c>
      <c r="B219" s="6" t="s">
        <v>770</v>
      </c>
    </row>
    <row r="220" spans="1:2" ht="15.75" customHeight="1" x14ac:dyDescent="0.25">
      <c r="A220" s="6">
        <v>440030</v>
      </c>
      <c r="B220" s="6" t="s">
        <v>771</v>
      </c>
    </row>
    <row r="221" spans="1:2" ht="15.75" customHeight="1" x14ac:dyDescent="0.25">
      <c r="A221" s="6">
        <v>441030</v>
      </c>
      <c r="B221" s="6" t="s">
        <v>771</v>
      </c>
    </row>
    <row r="222" spans="1:2" ht="15.75" customHeight="1" x14ac:dyDescent="0.25">
      <c r="A222" s="6">
        <v>440031</v>
      </c>
      <c r="B222" s="6" t="s">
        <v>772</v>
      </c>
    </row>
    <row r="223" spans="1:2" ht="15.75" customHeight="1" x14ac:dyDescent="0.25">
      <c r="A223" s="6">
        <v>441031</v>
      </c>
      <c r="B223" s="6" t="s">
        <v>772</v>
      </c>
    </row>
    <row r="224" spans="1:2" ht="15.75" customHeight="1" x14ac:dyDescent="0.25">
      <c r="A224" s="6">
        <v>440035</v>
      </c>
      <c r="B224" s="6" t="s">
        <v>773</v>
      </c>
    </row>
    <row r="225" spans="1:2" ht="15.75" customHeight="1" x14ac:dyDescent="0.25">
      <c r="A225" s="6">
        <v>441035</v>
      </c>
      <c r="B225" s="6" t="s">
        <v>773</v>
      </c>
    </row>
    <row r="226" spans="1:2" ht="15.75" customHeight="1" x14ac:dyDescent="0.25">
      <c r="A226" s="6">
        <v>440033</v>
      </c>
      <c r="B226" s="6" t="s">
        <v>774</v>
      </c>
    </row>
    <row r="227" spans="1:2" ht="15.75" customHeight="1" x14ac:dyDescent="0.25">
      <c r="A227" s="6">
        <v>441033</v>
      </c>
      <c r="B227" s="6" t="s">
        <v>774</v>
      </c>
    </row>
    <row r="228" spans="1:2" ht="15.75" customHeight="1" x14ac:dyDescent="0.25">
      <c r="A228" s="6">
        <v>440029</v>
      </c>
      <c r="B228" s="6" t="s">
        <v>775</v>
      </c>
    </row>
    <row r="229" spans="1:2" ht="15.75" customHeight="1" x14ac:dyDescent="0.25">
      <c r="A229" s="6">
        <v>441029</v>
      </c>
      <c r="B229" s="6" t="s">
        <v>775</v>
      </c>
    </row>
    <row r="230" spans="1:2" ht="15.75" customHeight="1" x14ac:dyDescent="0.25">
      <c r="A230" s="6">
        <v>440034</v>
      </c>
      <c r="B230" s="6" t="s">
        <v>776</v>
      </c>
    </row>
    <row r="231" spans="1:2" ht="15.75" customHeight="1" x14ac:dyDescent="0.25">
      <c r="A231" s="6">
        <v>441034</v>
      </c>
      <c r="B231" s="6" t="s">
        <v>776</v>
      </c>
    </row>
    <row r="232" spans="1:2" ht="15.75" customHeight="1" x14ac:dyDescent="0.25">
      <c r="A232" s="6">
        <v>440032</v>
      </c>
      <c r="B232" s="6" t="s">
        <v>777</v>
      </c>
    </row>
    <row r="233" spans="1:2" ht="15.75" customHeight="1" x14ac:dyDescent="0.25">
      <c r="A233" s="6">
        <v>441032</v>
      </c>
      <c r="B233" s="6" t="s">
        <v>777</v>
      </c>
    </row>
    <row r="234" spans="1:2" ht="15.75" customHeight="1" x14ac:dyDescent="0.25">
      <c r="A234" s="6">
        <v>440019</v>
      </c>
      <c r="B234" s="6" t="s">
        <v>778</v>
      </c>
    </row>
    <row r="235" spans="1:2" ht="15.75" customHeight="1" x14ac:dyDescent="0.25">
      <c r="A235" s="6">
        <v>441019</v>
      </c>
      <c r="B235" s="6" t="s">
        <v>778</v>
      </c>
    </row>
    <row r="236" spans="1:2" ht="15.75" customHeight="1" x14ac:dyDescent="0.25">
      <c r="A236" s="6">
        <v>440021</v>
      </c>
      <c r="B236" s="6" t="s">
        <v>779</v>
      </c>
    </row>
    <row r="237" spans="1:2" ht="15.75" customHeight="1" x14ac:dyDescent="0.25">
      <c r="A237" s="6">
        <v>441021</v>
      </c>
      <c r="B237" s="6" t="s">
        <v>779</v>
      </c>
    </row>
    <row r="238" spans="1:2" ht="15.75" customHeight="1" x14ac:dyDescent="0.25">
      <c r="A238" s="6">
        <v>440022</v>
      </c>
      <c r="B238" s="6" t="s">
        <v>780</v>
      </c>
    </row>
    <row r="239" spans="1:2" ht="15.75" customHeight="1" x14ac:dyDescent="0.25">
      <c r="A239" s="6">
        <v>441022</v>
      </c>
      <c r="B239" s="6" t="s">
        <v>780</v>
      </c>
    </row>
    <row r="240" spans="1:2" ht="15.75" customHeight="1" x14ac:dyDescent="0.25">
      <c r="A240" s="6">
        <v>440026</v>
      </c>
      <c r="B240" s="6" t="s">
        <v>781</v>
      </c>
    </row>
    <row r="241" spans="1:2" ht="15.75" customHeight="1" x14ac:dyDescent="0.25">
      <c r="A241" s="6">
        <v>441026</v>
      </c>
      <c r="B241" s="6" t="s">
        <v>781</v>
      </c>
    </row>
    <row r="242" spans="1:2" ht="15.75" customHeight="1" x14ac:dyDescent="0.25">
      <c r="A242" s="6">
        <v>440027</v>
      </c>
      <c r="B242" s="6" t="s">
        <v>782</v>
      </c>
    </row>
    <row r="243" spans="1:2" ht="15.75" customHeight="1" x14ac:dyDescent="0.25">
      <c r="A243" s="6">
        <v>441027</v>
      </c>
      <c r="B243" s="6" t="s">
        <v>782</v>
      </c>
    </row>
    <row r="244" spans="1:2" ht="15.75" customHeight="1" x14ac:dyDescent="0.25">
      <c r="A244" s="6">
        <v>440024</v>
      </c>
      <c r="B244" s="6" t="s">
        <v>783</v>
      </c>
    </row>
    <row r="245" spans="1:2" ht="15.75" customHeight="1" x14ac:dyDescent="0.25">
      <c r="A245" s="6">
        <v>441024</v>
      </c>
      <c r="B245" s="6" t="s">
        <v>783</v>
      </c>
    </row>
    <row r="246" spans="1:2" ht="15.75" customHeight="1" x14ac:dyDescent="0.25">
      <c r="A246" s="6">
        <v>440020</v>
      </c>
      <c r="B246" s="6" t="s">
        <v>784</v>
      </c>
    </row>
    <row r="247" spans="1:2" ht="15.75" customHeight="1" x14ac:dyDescent="0.25">
      <c r="A247" s="6">
        <v>441020</v>
      </c>
      <c r="B247" s="6" t="s">
        <v>784</v>
      </c>
    </row>
    <row r="248" spans="1:2" ht="15.75" customHeight="1" x14ac:dyDescent="0.25">
      <c r="A248" s="6">
        <v>440025</v>
      </c>
      <c r="B248" s="6" t="s">
        <v>785</v>
      </c>
    </row>
    <row r="249" spans="1:2" ht="15.75" customHeight="1" x14ac:dyDescent="0.25">
      <c r="A249" s="6">
        <v>441025</v>
      </c>
      <c r="B249" s="6" t="s">
        <v>785</v>
      </c>
    </row>
    <row r="250" spans="1:2" ht="15.75" customHeight="1" x14ac:dyDescent="0.25">
      <c r="A250" s="6">
        <v>440023</v>
      </c>
      <c r="B250" s="6" t="s">
        <v>786</v>
      </c>
    </row>
    <row r="251" spans="1:2" ht="15.75" customHeight="1" x14ac:dyDescent="0.25">
      <c r="A251" s="6">
        <v>441023</v>
      </c>
      <c r="B251" s="6" t="s">
        <v>786</v>
      </c>
    </row>
    <row r="252" spans="1:2" ht="15.75" customHeight="1" x14ac:dyDescent="0.25">
      <c r="A252" s="6">
        <v>440010</v>
      </c>
      <c r="B252" s="6" t="s">
        <v>787</v>
      </c>
    </row>
    <row r="253" spans="1:2" ht="15.75" customHeight="1" x14ac:dyDescent="0.25">
      <c r="A253" s="6">
        <v>441010</v>
      </c>
      <c r="B253" s="6" t="s">
        <v>787</v>
      </c>
    </row>
    <row r="254" spans="1:2" ht="15.75" customHeight="1" x14ac:dyDescent="0.25">
      <c r="A254" s="6">
        <v>440012</v>
      </c>
      <c r="B254" s="6" t="s">
        <v>788</v>
      </c>
    </row>
    <row r="255" spans="1:2" ht="15.75" customHeight="1" x14ac:dyDescent="0.25">
      <c r="A255" s="6">
        <v>441012</v>
      </c>
      <c r="B255" s="6" t="s">
        <v>788</v>
      </c>
    </row>
    <row r="256" spans="1:2" ht="15.75" customHeight="1" x14ac:dyDescent="0.25">
      <c r="A256" s="6">
        <v>440013</v>
      </c>
      <c r="B256" s="6" t="s">
        <v>789</v>
      </c>
    </row>
    <row r="257" spans="1:2" ht="15.75" customHeight="1" x14ac:dyDescent="0.25">
      <c r="A257" s="6">
        <v>441013</v>
      </c>
      <c r="B257" s="6" t="s">
        <v>789</v>
      </c>
    </row>
    <row r="258" spans="1:2" ht="15.75" customHeight="1" x14ac:dyDescent="0.25">
      <c r="A258" s="6">
        <v>440017</v>
      </c>
      <c r="B258" s="6" t="s">
        <v>790</v>
      </c>
    </row>
    <row r="259" spans="1:2" ht="15.75" customHeight="1" x14ac:dyDescent="0.25">
      <c r="A259" s="6">
        <v>441017</v>
      </c>
      <c r="B259" s="6" t="s">
        <v>790</v>
      </c>
    </row>
    <row r="260" spans="1:2" ht="15.75" customHeight="1" x14ac:dyDescent="0.25">
      <c r="A260" s="6">
        <v>440018</v>
      </c>
      <c r="B260" s="6" t="s">
        <v>791</v>
      </c>
    </row>
    <row r="261" spans="1:2" ht="15.75" customHeight="1" x14ac:dyDescent="0.25">
      <c r="A261" s="6">
        <v>441018</v>
      </c>
      <c r="B261" s="6" t="s">
        <v>791</v>
      </c>
    </row>
    <row r="262" spans="1:2" ht="15.75" customHeight="1" x14ac:dyDescent="0.25">
      <c r="A262" s="6">
        <v>440015</v>
      </c>
      <c r="B262" s="6" t="s">
        <v>792</v>
      </c>
    </row>
    <row r="263" spans="1:2" ht="15.75" customHeight="1" x14ac:dyDescent="0.25">
      <c r="A263" s="6">
        <v>441015</v>
      </c>
      <c r="B263" s="6" t="s">
        <v>792</v>
      </c>
    </row>
    <row r="264" spans="1:2" ht="15.75" customHeight="1" x14ac:dyDescent="0.25">
      <c r="A264" s="6">
        <v>440011</v>
      </c>
      <c r="B264" s="6" t="s">
        <v>793</v>
      </c>
    </row>
    <row r="265" spans="1:2" ht="15.75" customHeight="1" x14ac:dyDescent="0.25">
      <c r="A265" s="6">
        <v>441011</v>
      </c>
      <c r="B265" s="6" t="s">
        <v>793</v>
      </c>
    </row>
    <row r="266" spans="1:2" ht="15.75" customHeight="1" x14ac:dyDescent="0.25">
      <c r="A266" s="6">
        <v>440016</v>
      </c>
      <c r="B266" s="6" t="s">
        <v>794</v>
      </c>
    </row>
    <row r="267" spans="1:2" ht="15.75" customHeight="1" x14ac:dyDescent="0.25">
      <c r="A267" s="6">
        <v>441016</v>
      </c>
      <c r="B267" s="6" t="s">
        <v>794</v>
      </c>
    </row>
    <row r="268" spans="1:2" ht="15.75" customHeight="1" x14ac:dyDescent="0.25">
      <c r="A268" s="6">
        <v>440014</v>
      </c>
      <c r="B268" s="6" t="s">
        <v>795</v>
      </c>
    </row>
    <row r="269" spans="1:2" ht="15.75" customHeight="1" x14ac:dyDescent="0.25">
      <c r="A269" s="6">
        <v>441014</v>
      </c>
      <c r="B269" s="6" t="s">
        <v>795</v>
      </c>
    </row>
    <row r="270" spans="1:2" ht="15.75" customHeight="1" x14ac:dyDescent="0.25">
      <c r="A270" s="6">
        <v>440001</v>
      </c>
      <c r="B270" s="6" t="s">
        <v>796</v>
      </c>
    </row>
    <row r="271" spans="1:2" ht="15.75" customHeight="1" x14ac:dyDescent="0.25">
      <c r="A271" s="6">
        <v>441001</v>
      </c>
      <c r="B271" s="6" t="s">
        <v>796</v>
      </c>
    </row>
    <row r="272" spans="1:2" ht="15.75" customHeight="1" x14ac:dyDescent="0.25">
      <c r="A272" s="6">
        <v>440003</v>
      </c>
      <c r="B272" s="6" t="s">
        <v>797</v>
      </c>
    </row>
    <row r="273" spans="1:2" ht="15.75" customHeight="1" x14ac:dyDescent="0.25">
      <c r="A273" s="6">
        <v>441003</v>
      </c>
      <c r="B273" s="6" t="s">
        <v>797</v>
      </c>
    </row>
    <row r="274" spans="1:2" ht="15.75" customHeight="1" x14ac:dyDescent="0.25">
      <c r="A274" s="6">
        <v>440004</v>
      </c>
      <c r="B274" s="6" t="s">
        <v>798</v>
      </c>
    </row>
    <row r="275" spans="1:2" ht="15.75" customHeight="1" x14ac:dyDescent="0.25">
      <c r="A275" s="6">
        <v>441004</v>
      </c>
      <c r="B275" s="6" t="s">
        <v>798</v>
      </c>
    </row>
    <row r="276" spans="1:2" ht="15.75" customHeight="1" x14ac:dyDescent="0.25">
      <c r="A276" s="6">
        <v>440008</v>
      </c>
      <c r="B276" s="6" t="s">
        <v>799</v>
      </c>
    </row>
    <row r="277" spans="1:2" ht="15.75" customHeight="1" x14ac:dyDescent="0.25">
      <c r="A277" s="6">
        <v>441008</v>
      </c>
      <c r="B277" s="6" t="s">
        <v>799</v>
      </c>
    </row>
    <row r="278" spans="1:2" ht="15.75" customHeight="1" x14ac:dyDescent="0.25">
      <c r="A278" s="6">
        <v>440009</v>
      </c>
      <c r="B278" s="6" t="s">
        <v>800</v>
      </c>
    </row>
    <row r="279" spans="1:2" ht="15.75" customHeight="1" x14ac:dyDescent="0.25">
      <c r="A279" s="6">
        <v>441009</v>
      </c>
      <c r="B279" s="6" t="s">
        <v>800</v>
      </c>
    </row>
    <row r="280" spans="1:2" ht="15.75" customHeight="1" x14ac:dyDescent="0.25">
      <c r="A280" s="6">
        <v>440006</v>
      </c>
      <c r="B280" s="6" t="s">
        <v>801</v>
      </c>
    </row>
    <row r="281" spans="1:2" ht="15.75" customHeight="1" x14ac:dyDescent="0.25">
      <c r="A281" s="6">
        <v>441006</v>
      </c>
      <c r="B281" s="6" t="s">
        <v>801</v>
      </c>
    </row>
    <row r="282" spans="1:2" ht="15.75" customHeight="1" x14ac:dyDescent="0.25">
      <c r="A282" s="6">
        <v>440002</v>
      </c>
      <c r="B282" s="6" t="s">
        <v>802</v>
      </c>
    </row>
    <row r="283" spans="1:2" ht="15.75" customHeight="1" x14ac:dyDescent="0.25">
      <c r="A283" s="6">
        <v>441002</v>
      </c>
      <c r="B283" s="6" t="s">
        <v>802</v>
      </c>
    </row>
    <row r="284" spans="1:2" ht="15.75" customHeight="1" x14ac:dyDescent="0.25">
      <c r="A284" s="6">
        <v>440007</v>
      </c>
      <c r="B284" s="6" t="s">
        <v>803</v>
      </c>
    </row>
    <row r="285" spans="1:2" ht="15.75" customHeight="1" x14ac:dyDescent="0.25">
      <c r="A285" s="6">
        <v>441007</v>
      </c>
      <c r="B285" s="6" t="s">
        <v>803</v>
      </c>
    </row>
    <row r="286" spans="1:2" ht="15.75" customHeight="1" x14ac:dyDescent="0.25">
      <c r="A286" s="6">
        <v>440005</v>
      </c>
      <c r="B286" s="6" t="s">
        <v>804</v>
      </c>
    </row>
    <row r="287" spans="1:2" ht="15.75" customHeight="1" x14ac:dyDescent="0.25">
      <c r="A287" s="6">
        <v>441005</v>
      </c>
      <c r="B287" s="6" t="s">
        <v>804</v>
      </c>
    </row>
    <row r="288" spans="1:2" ht="15.75" customHeight="1" x14ac:dyDescent="0.25">
      <c r="A288" s="6">
        <v>409035</v>
      </c>
      <c r="B288" s="6" t="s">
        <v>1841</v>
      </c>
    </row>
    <row r="289" spans="1:2" ht="15.75" customHeight="1" x14ac:dyDescent="0.25">
      <c r="A289" s="6">
        <v>409001</v>
      </c>
      <c r="B289" s="6" t="s">
        <v>805</v>
      </c>
    </row>
    <row r="290" spans="1:2" ht="15.75" customHeight="1" x14ac:dyDescent="0.25">
      <c r="A290" s="6">
        <v>53081</v>
      </c>
      <c r="B290" s="6" t="s">
        <v>806</v>
      </c>
    </row>
    <row r="291" spans="1:2" ht="15.75" customHeight="1" x14ac:dyDescent="0.25">
      <c r="A291" s="6">
        <v>53082</v>
      </c>
      <c r="B291" s="6" t="s">
        <v>807</v>
      </c>
    </row>
    <row r="292" spans="1:2" ht="15.75" customHeight="1" x14ac:dyDescent="0.25">
      <c r="A292" s="6">
        <v>53079</v>
      </c>
      <c r="B292" s="6" t="s">
        <v>808</v>
      </c>
    </row>
    <row r="293" spans="1:2" ht="15.75" customHeight="1" x14ac:dyDescent="0.25">
      <c r="A293" s="6">
        <v>53080</v>
      </c>
      <c r="B293" s="6" t="s">
        <v>809</v>
      </c>
    </row>
    <row r="294" spans="1:2" ht="15.75" customHeight="1" x14ac:dyDescent="0.25">
      <c r="A294" s="6">
        <v>220002</v>
      </c>
      <c r="B294" s="6" t="s">
        <v>810</v>
      </c>
    </row>
    <row r="295" spans="1:2" ht="15.75" customHeight="1" x14ac:dyDescent="0.25">
      <c r="A295" s="6">
        <v>235005</v>
      </c>
      <c r="B295" s="6" t="s">
        <v>811</v>
      </c>
    </row>
    <row r="296" spans="1:2" ht="15.75" customHeight="1" x14ac:dyDescent="0.25">
      <c r="A296" s="6">
        <v>235004</v>
      </c>
      <c r="B296" s="6" t="s">
        <v>812</v>
      </c>
    </row>
    <row r="297" spans="1:2" ht="15.75" customHeight="1" x14ac:dyDescent="0.25">
      <c r="A297" s="6">
        <v>235007</v>
      </c>
      <c r="B297" s="6" t="s">
        <v>813</v>
      </c>
    </row>
    <row r="298" spans="1:2" ht="15.75" customHeight="1" x14ac:dyDescent="0.25">
      <c r="A298" s="6">
        <v>235006</v>
      </c>
      <c r="B298" s="6" t="s">
        <v>814</v>
      </c>
    </row>
    <row r="299" spans="1:2" ht="15.75" customHeight="1" x14ac:dyDescent="0.25">
      <c r="A299" s="6">
        <v>235009</v>
      </c>
      <c r="B299" s="6" t="s">
        <v>815</v>
      </c>
    </row>
    <row r="300" spans="1:2" ht="15.75" customHeight="1" x14ac:dyDescent="0.25">
      <c r="A300" s="6">
        <v>235010</v>
      </c>
      <c r="B300" s="6" t="s">
        <v>816</v>
      </c>
    </row>
    <row r="301" spans="1:2" ht="15.75" customHeight="1" x14ac:dyDescent="0.25">
      <c r="A301" s="6">
        <v>235008</v>
      </c>
      <c r="B301" s="6" t="s">
        <v>817</v>
      </c>
    </row>
    <row r="302" spans="1:2" ht="15.75" customHeight="1" x14ac:dyDescent="0.25">
      <c r="A302" s="6">
        <v>235003</v>
      </c>
      <c r="B302" s="6" t="s">
        <v>818</v>
      </c>
    </row>
    <row r="303" spans="1:2" ht="15.75" customHeight="1" x14ac:dyDescent="0.25">
      <c r="A303" s="6">
        <v>460066</v>
      </c>
      <c r="B303" s="6" t="s">
        <v>1870</v>
      </c>
    </row>
    <row r="304" spans="1:2" ht="15.75" customHeight="1" x14ac:dyDescent="0.25">
      <c r="A304" s="6">
        <v>460067</v>
      </c>
      <c r="B304" s="6" t="s">
        <v>1871</v>
      </c>
    </row>
    <row r="305" spans="1:2" ht="15.75" customHeight="1" x14ac:dyDescent="0.25">
      <c r="A305" s="6">
        <v>460068</v>
      </c>
      <c r="B305" s="6" t="s">
        <v>1872</v>
      </c>
    </row>
    <row r="306" spans="1:2" ht="15.75" customHeight="1" x14ac:dyDescent="0.25">
      <c r="A306" s="6">
        <v>460069</v>
      </c>
      <c r="B306" s="6" t="s">
        <v>1873</v>
      </c>
    </row>
    <row r="307" spans="1:2" ht="15.75" customHeight="1" x14ac:dyDescent="0.25">
      <c r="A307" s="6">
        <v>460070</v>
      </c>
      <c r="B307" s="6" t="s">
        <v>1874</v>
      </c>
    </row>
    <row r="308" spans="1:2" ht="15.75" customHeight="1" x14ac:dyDescent="0.25">
      <c r="A308" s="6">
        <v>45045</v>
      </c>
      <c r="B308" s="6" t="s">
        <v>819</v>
      </c>
    </row>
    <row r="309" spans="1:2" ht="15.75" customHeight="1" x14ac:dyDescent="0.25">
      <c r="A309" s="6">
        <v>45046</v>
      </c>
      <c r="B309" s="6" t="s">
        <v>820</v>
      </c>
    </row>
    <row r="310" spans="1:2" ht="15.75" customHeight="1" x14ac:dyDescent="0.25">
      <c r="A310" s="6">
        <v>45044</v>
      </c>
      <c r="B310" s="6" t="s">
        <v>821</v>
      </c>
    </row>
    <row r="311" spans="1:2" ht="15.75" customHeight="1" x14ac:dyDescent="0.25">
      <c r="A311" s="6">
        <v>53015</v>
      </c>
      <c r="B311" s="6" t="s">
        <v>822</v>
      </c>
    </row>
    <row r="312" spans="1:2" ht="15.75" customHeight="1" x14ac:dyDescent="0.25">
      <c r="A312" s="6">
        <v>53016</v>
      </c>
      <c r="B312" s="6" t="s">
        <v>823</v>
      </c>
    </row>
    <row r="313" spans="1:2" ht="15.75" customHeight="1" x14ac:dyDescent="0.25">
      <c r="A313" s="6">
        <v>53013</v>
      </c>
      <c r="B313" s="6" t="s">
        <v>824</v>
      </c>
    </row>
    <row r="314" spans="1:2" ht="15.75" customHeight="1" x14ac:dyDescent="0.25">
      <c r="A314" s="6">
        <v>53014</v>
      </c>
      <c r="B314" s="6" t="s">
        <v>825</v>
      </c>
    </row>
    <row r="315" spans="1:2" ht="15.75" customHeight="1" x14ac:dyDescent="0.25">
      <c r="A315" s="6">
        <v>409013</v>
      </c>
      <c r="B315" s="6" t="s">
        <v>826</v>
      </c>
    </row>
    <row r="316" spans="1:2" ht="15.75" customHeight="1" x14ac:dyDescent="0.25">
      <c r="A316" s="6">
        <v>1014</v>
      </c>
      <c r="B316" s="6" t="s">
        <v>827</v>
      </c>
    </row>
    <row r="317" spans="1:2" ht="15.75" customHeight="1" x14ac:dyDescent="0.25">
      <c r="A317" s="6">
        <v>1141</v>
      </c>
      <c r="B317" s="6" t="s">
        <v>828</v>
      </c>
    </row>
    <row r="318" spans="1:2" ht="15.75" customHeight="1" x14ac:dyDescent="0.25">
      <c r="A318" s="6">
        <v>43016</v>
      </c>
      <c r="B318" s="6" t="s">
        <v>1655</v>
      </c>
    </row>
    <row r="319" spans="1:2" ht="15.75" customHeight="1" x14ac:dyDescent="0.25">
      <c r="A319" s="6">
        <v>1146</v>
      </c>
      <c r="B319" s="6" t="s">
        <v>829</v>
      </c>
    </row>
    <row r="320" spans="1:2" ht="15.75" customHeight="1" x14ac:dyDescent="0.25">
      <c r="A320" s="6">
        <v>43012</v>
      </c>
      <c r="B320" s="6" t="s">
        <v>830</v>
      </c>
    </row>
    <row r="321" spans="1:2" ht="15.75" customHeight="1" x14ac:dyDescent="0.25">
      <c r="A321" s="6">
        <v>43027</v>
      </c>
      <c r="B321" s="6" t="s">
        <v>1868</v>
      </c>
    </row>
    <row r="322" spans="1:2" ht="15.75" customHeight="1" x14ac:dyDescent="0.25">
      <c r="A322" s="6">
        <v>1142</v>
      </c>
      <c r="B322" s="6" t="s">
        <v>831</v>
      </c>
    </row>
    <row r="323" spans="1:2" ht="15.75" customHeight="1" x14ac:dyDescent="0.25">
      <c r="A323" s="6">
        <v>1147</v>
      </c>
      <c r="B323" s="6" t="s">
        <v>832</v>
      </c>
    </row>
    <row r="324" spans="1:2" ht="15.75" customHeight="1" x14ac:dyDescent="0.25">
      <c r="A324" s="6">
        <v>43023</v>
      </c>
      <c r="B324" s="6" t="s">
        <v>1695</v>
      </c>
    </row>
    <row r="325" spans="1:2" ht="15.75" customHeight="1" x14ac:dyDescent="0.25">
      <c r="A325" s="6">
        <v>43026</v>
      </c>
      <c r="B325" s="6" t="s">
        <v>1867</v>
      </c>
    </row>
    <row r="326" spans="1:2" ht="15.75" customHeight="1" x14ac:dyDescent="0.25">
      <c r="A326" s="6">
        <v>43013</v>
      </c>
      <c r="B326" s="6" t="s">
        <v>833</v>
      </c>
    </row>
    <row r="327" spans="1:2" ht="15.75" customHeight="1" x14ac:dyDescent="0.25">
      <c r="A327" s="6">
        <v>1107</v>
      </c>
      <c r="B327" s="6" t="s">
        <v>834</v>
      </c>
    </row>
    <row r="328" spans="1:2" ht="15.75" customHeight="1" x14ac:dyDescent="0.25">
      <c r="A328" s="6">
        <v>43015</v>
      </c>
      <c r="B328" s="6" t="s">
        <v>1654</v>
      </c>
    </row>
    <row r="329" spans="1:2" ht="15.75" customHeight="1" x14ac:dyDescent="0.25">
      <c r="A329" s="6">
        <v>1015</v>
      </c>
      <c r="B329" s="6" t="s">
        <v>835</v>
      </c>
    </row>
    <row r="330" spans="1:2" ht="15.75" customHeight="1" x14ac:dyDescent="0.25">
      <c r="A330" s="6">
        <v>1084</v>
      </c>
      <c r="B330" s="6" t="s">
        <v>836</v>
      </c>
    </row>
    <row r="331" spans="1:2" ht="15.75" customHeight="1" x14ac:dyDescent="0.25">
      <c r="A331" s="6">
        <v>1085</v>
      </c>
      <c r="B331" s="6" t="s">
        <v>837</v>
      </c>
    </row>
    <row r="332" spans="1:2" ht="15.75" customHeight="1" x14ac:dyDescent="0.25">
      <c r="A332" s="6">
        <v>1128</v>
      </c>
      <c r="B332" s="6" t="s">
        <v>838</v>
      </c>
    </row>
    <row r="333" spans="1:2" ht="15.75" customHeight="1" x14ac:dyDescent="0.25">
      <c r="A333" s="6">
        <v>1117</v>
      </c>
      <c r="B333" s="6" t="s">
        <v>839</v>
      </c>
    </row>
    <row r="334" spans="1:2" ht="15.75" customHeight="1" x14ac:dyDescent="0.25">
      <c r="A334" s="6">
        <v>43017</v>
      </c>
      <c r="B334" s="6" t="s">
        <v>1656</v>
      </c>
    </row>
    <row r="335" spans="1:2" ht="15.75" customHeight="1" x14ac:dyDescent="0.25">
      <c r="A335" s="6">
        <v>1124</v>
      </c>
      <c r="B335" s="6" t="s">
        <v>840</v>
      </c>
    </row>
    <row r="336" spans="1:2" ht="15.75" customHeight="1" x14ac:dyDescent="0.25">
      <c r="A336" s="6">
        <v>1155</v>
      </c>
      <c r="B336" s="6" t="s">
        <v>841</v>
      </c>
    </row>
    <row r="337" spans="1:2" ht="15.75" customHeight="1" x14ac:dyDescent="0.25">
      <c r="A337" s="6">
        <v>43010</v>
      </c>
      <c r="B337" s="6" t="s">
        <v>842</v>
      </c>
    </row>
    <row r="338" spans="1:2" ht="15.75" customHeight="1" x14ac:dyDescent="0.25">
      <c r="A338" s="6">
        <v>43009</v>
      </c>
      <c r="B338" s="6" t="s">
        <v>843</v>
      </c>
    </row>
    <row r="339" spans="1:2" ht="15.75" customHeight="1" x14ac:dyDescent="0.25">
      <c r="A339" s="6">
        <v>43008</v>
      </c>
      <c r="B339" s="6" t="s">
        <v>844</v>
      </c>
    </row>
    <row r="340" spans="1:2" ht="15.75" customHeight="1" x14ac:dyDescent="0.25">
      <c r="A340" s="6">
        <v>43028</v>
      </c>
      <c r="B340" s="6" t="s">
        <v>2055</v>
      </c>
    </row>
    <row r="341" spans="1:2" ht="15.75" customHeight="1" x14ac:dyDescent="0.25">
      <c r="A341" s="6">
        <v>43035</v>
      </c>
      <c r="B341" s="6" t="s">
        <v>2108</v>
      </c>
    </row>
    <row r="342" spans="1:2" ht="15.75" customHeight="1" x14ac:dyDescent="0.25">
      <c r="A342" s="6">
        <v>1077</v>
      </c>
      <c r="B342" s="6" t="s">
        <v>845</v>
      </c>
    </row>
    <row r="343" spans="1:2" ht="15.75" customHeight="1" x14ac:dyDescent="0.25">
      <c r="A343" s="6">
        <v>1020</v>
      </c>
      <c r="B343" s="6" t="s">
        <v>846</v>
      </c>
    </row>
    <row r="344" spans="1:2" ht="15.75" customHeight="1" x14ac:dyDescent="0.25">
      <c r="A344" s="6">
        <v>1022</v>
      </c>
      <c r="B344" s="6" t="s">
        <v>847</v>
      </c>
    </row>
    <row r="345" spans="1:2" ht="15.75" customHeight="1" x14ac:dyDescent="0.25">
      <c r="A345" s="6">
        <v>43019</v>
      </c>
      <c r="B345" s="6" t="s">
        <v>1658</v>
      </c>
    </row>
    <row r="346" spans="1:2" ht="15.75" customHeight="1" x14ac:dyDescent="0.25">
      <c r="A346" s="6">
        <v>1111</v>
      </c>
      <c r="B346" s="6" t="s">
        <v>848</v>
      </c>
    </row>
    <row r="347" spans="1:2" ht="15.75" customHeight="1" x14ac:dyDescent="0.25">
      <c r="A347" s="6">
        <v>1016</v>
      </c>
      <c r="B347" s="6" t="s">
        <v>849</v>
      </c>
    </row>
    <row r="348" spans="1:2" ht="15.75" customHeight="1" x14ac:dyDescent="0.25">
      <c r="A348" s="6">
        <v>43034</v>
      </c>
      <c r="B348" s="6" t="s">
        <v>2109</v>
      </c>
    </row>
    <row r="349" spans="1:2" ht="15.75" customHeight="1" x14ac:dyDescent="0.25">
      <c r="A349" s="6">
        <v>43011</v>
      </c>
      <c r="B349" s="6" t="s">
        <v>850</v>
      </c>
    </row>
    <row r="350" spans="1:2" ht="15.75" customHeight="1" x14ac:dyDescent="0.25">
      <c r="A350" s="6">
        <v>1029</v>
      </c>
      <c r="B350" s="6" t="s">
        <v>851</v>
      </c>
    </row>
    <row r="351" spans="1:2" ht="15.75" customHeight="1" x14ac:dyDescent="0.25">
      <c r="A351" s="6">
        <v>43022</v>
      </c>
      <c r="B351" s="6" t="s">
        <v>1694</v>
      </c>
    </row>
    <row r="352" spans="1:2" ht="15.75" customHeight="1" x14ac:dyDescent="0.25">
      <c r="A352" s="6">
        <v>43021</v>
      </c>
      <c r="B352" s="6" t="s">
        <v>1693</v>
      </c>
    </row>
    <row r="353" spans="1:2" ht="15.75" customHeight="1" x14ac:dyDescent="0.25">
      <c r="A353" s="6">
        <v>219002</v>
      </c>
      <c r="B353" s="6" t="s">
        <v>852</v>
      </c>
    </row>
    <row r="354" spans="1:2" ht="15.75" customHeight="1" x14ac:dyDescent="0.25">
      <c r="A354" s="6">
        <v>73018</v>
      </c>
      <c r="B354" s="6" t="s">
        <v>2110</v>
      </c>
    </row>
    <row r="355" spans="1:2" ht="15.75" customHeight="1" x14ac:dyDescent="0.25">
      <c r="A355" s="6">
        <v>73017</v>
      </c>
      <c r="B355" s="6" t="s">
        <v>2111</v>
      </c>
    </row>
    <row r="356" spans="1:2" ht="15.75" customHeight="1" x14ac:dyDescent="0.25">
      <c r="A356" s="6">
        <v>73019</v>
      </c>
      <c r="B356" s="6" t="s">
        <v>2112</v>
      </c>
    </row>
    <row r="357" spans="1:2" ht="15.75" customHeight="1" x14ac:dyDescent="0.25">
      <c r="A357" s="6">
        <v>208009</v>
      </c>
      <c r="B357" s="6" t="s">
        <v>853</v>
      </c>
    </row>
    <row r="358" spans="1:2" ht="15.75" customHeight="1" x14ac:dyDescent="0.25">
      <c r="A358" s="6">
        <v>409036</v>
      </c>
      <c r="B358" s="6" t="s">
        <v>1842</v>
      </c>
    </row>
    <row r="359" spans="1:2" ht="15.75" customHeight="1" x14ac:dyDescent="0.25">
      <c r="A359" s="6">
        <v>408036</v>
      </c>
      <c r="B359" s="6" t="s">
        <v>854</v>
      </c>
    </row>
    <row r="360" spans="1:2" ht="15.75" customHeight="1" x14ac:dyDescent="0.25">
      <c r="A360" s="6">
        <v>32102</v>
      </c>
      <c r="B360" s="6" t="s">
        <v>855</v>
      </c>
    </row>
    <row r="361" spans="1:2" ht="15.75" customHeight="1" x14ac:dyDescent="0.25">
      <c r="A361" s="6">
        <v>235017</v>
      </c>
      <c r="B361" s="6" t="s">
        <v>1649</v>
      </c>
    </row>
    <row r="362" spans="1:2" ht="15.75" customHeight="1" x14ac:dyDescent="0.25">
      <c r="A362" s="6">
        <v>212003</v>
      </c>
      <c r="B362" s="6" t="s">
        <v>856</v>
      </c>
    </row>
    <row r="363" spans="1:2" ht="15.75" customHeight="1" x14ac:dyDescent="0.25">
      <c r="A363" s="6">
        <v>470004</v>
      </c>
      <c r="B363" s="6" t="s">
        <v>2067</v>
      </c>
    </row>
    <row r="364" spans="1:2" ht="15.75" customHeight="1" x14ac:dyDescent="0.25">
      <c r="A364" s="6">
        <v>710017</v>
      </c>
      <c r="B364" s="6" t="s">
        <v>2113</v>
      </c>
    </row>
    <row r="365" spans="1:2" ht="15.75" customHeight="1" x14ac:dyDescent="0.25">
      <c r="A365" s="6">
        <v>710014</v>
      </c>
      <c r="B365" s="6" t="s">
        <v>2114</v>
      </c>
    </row>
    <row r="366" spans="1:2" ht="15.75" customHeight="1" x14ac:dyDescent="0.25">
      <c r="A366" s="6">
        <v>42047</v>
      </c>
      <c r="B366" s="6" t="s">
        <v>1651</v>
      </c>
    </row>
    <row r="367" spans="1:2" ht="15.75" customHeight="1" x14ac:dyDescent="0.25">
      <c r="A367" s="6">
        <v>42049</v>
      </c>
      <c r="B367" s="6" t="s">
        <v>1653</v>
      </c>
    </row>
    <row r="368" spans="1:2" ht="15.75" customHeight="1" x14ac:dyDescent="0.25">
      <c r="A368" s="6">
        <v>47017</v>
      </c>
      <c r="B368" s="6" t="s">
        <v>857</v>
      </c>
    </row>
    <row r="369" spans="1:2" ht="15.75" customHeight="1" x14ac:dyDescent="0.25">
      <c r="A369" s="6">
        <v>63017</v>
      </c>
      <c r="B369" s="6" t="s">
        <v>857</v>
      </c>
    </row>
    <row r="370" spans="1:2" ht="15.75" customHeight="1" x14ac:dyDescent="0.25">
      <c r="A370" s="6">
        <v>47014</v>
      </c>
      <c r="B370" s="6" t="s">
        <v>858</v>
      </c>
    </row>
    <row r="371" spans="1:2" ht="15.75" customHeight="1" x14ac:dyDescent="0.25">
      <c r="A371" s="6">
        <v>63014</v>
      </c>
      <c r="B371" s="6" t="s">
        <v>858</v>
      </c>
    </row>
    <row r="372" spans="1:2" ht="15.75" customHeight="1" x14ac:dyDescent="0.25">
      <c r="A372" s="6">
        <v>47016</v>
      </c>
      <c r="B372" s="6" t="s">
        <v>859</v>
      </c>
    </row>
    <row r="373" spans="1:2" ht="15.75" customHeight="1" x14ac:dyDescent="0.25">
      <c r="A373" s="6">
        <v>63016</v>
      </c>
      <c r="B373" s="6" t="s">
        <v>859</v>
      </c>
    </row>
    <row r="374" spans="1:2" ht="15.75" customHeight="1" x14ac:dyDescent="0.25">
      <c r="A374" s="6">
        <v>47013</v>
      </c>
      <c r="B374" s="6" t="s">
        <v>860</v>
      </c>
    </row>
    <row r="375" spans="1:2" ht="15.75" customHeight="1" x14ac:dyDescent="0.25">
      <c r="A375" s="6">
        <v>63013</v>
      </c>
      <c r="B375" s="6" t="s">
        <v>860</v>
      </c>
    </row>
    <row r="376" spans="1:2" ht="15.75" customHeight="1" x14ac:dyDescent="0.25">
      <c r="A376" s="6">
        <v>47018</v>
      </c>
      <c r="B376" s="6" t="s">
        <v>861</v>
      </c>
    </row>
    <row r="377" spans="1:2" ht="15.75" customHeight="1" x14ac:dyDescent="0.25">
      <c r="A377" s="6">
        <v>63018</v>
      </c>
      <c r="B377" s="6" t="s">
        <v>861</v>
      </c>
    </row>
    <row r="378" spans="1:2" ht="15.75" customHeight="1" x14ac:dyDescent="0.25">
      <c r="A378" s="6">
        <v>47015</v>
      </c>
      <c r="B378" s="6" t="s">
        <v>862</v>
      </c>
    </row>
    <row r="379" spans="1:2" ht="15.75" customHeight="1" x14ac:dyDescent="0.25">
      <c r="A379" s="6">
        <v>63015</v>
      </c>
      <c r="B379" s="6" t="s">
        <v>862</v>
      </c>
    </row>
    <row r="380" spans="1:2" ht="15.75" customHeight="1" x14ac:dyDescent="0.25">
      <c r="A380" s="6">
        <v>710016</v>
      </c>
      <c r="B380" s="6" t="s">
        <v>2115</v>
      </c>
    </row>
    <row r="381" spans="1:2" ht="15.75" customHeight="1" x14ac:dyDescent="0.25">
      <c r="A381" s="6">
        <v>710013</v>
      </c>
      <c r="B381" s="6" t="s">
        <v>2116</v>
      </c>
    </row>
    <row r="382" spans="1:2" ht="15.75" customHeight="1" x14ac:dyDescent="0.25">
      <c r="A382" s="6">
        <v>42046</v>
      </c>
      <c r="B382" s="6" t="s">
        <v>1650</v>
      </c>
    </row>
    <row r="383" spans="1:2" ht="15.75" customHeight="1" x14ac:dyDescent="0.25">
      <c r="A383" s="6">
        <v>42048</v>
      </c>
      <c r="B383" s="6" t="s">
        <v>1652</v>
      </c>
    </row>
    <row r="384" spans="1:2" ht="15.75" customHeight="1" x14ac:dyDescent="0.25">
      <c r="A384" s="6">
        <v>710018</v>
      </c>
      <c r="B384" s="6" t="s">
        <v>2117</v>
      </c>
    </row>
    <row r="385" spans="1:2" ht="15.75" customHeight="1" x14ac:dyDescent="0.25">
      <c r="A385" s="6">
        <v>710015</v>
      </c>
      <c r="B385" s="6" t="s">
        <v>2118</v>
      </c>
    </row>
    <row r="386" spans="1:2" ht="15.75" customHeight="1" x14ac:dyDescent="0.25">
      <c r="A386" s="6">
        <v>264004</v>
      </c>
      <c r="B386" s="6" t="s">
        <v>1910</v>
      </c>
    </row>
    <row r="387" spans="1:2" ht="15.75" customHeight="1" x14ac:dyDescent="0.25">
      <c r="A387" s="6">
        <v>264007</v>
      </c>
      <c r="B387" s="6" t="s">
        <v>1910</v>
      </c>
    </row>
    <row r="388" spans="1:2" ht="15.75" customHeight="1" x14ac:dyDescent="0.25">
      <c r="A388" s="6">
        <v>472004</v>
      </c>
      <c r="B388" s="6" t="s">
        <v>1910</v>
      </c>
    </row>
    <row r="389" spans="1:2" ht="15.75" customHeight="1" x14ac:dyDescent="0.25">
      <c r="A389" s="6">
        <v>472007</v>
      </c>
      <c r="B389" s="6" t="s">
        <v>1910</v>
      </c>
    </row>
    <row r="390" spans="1:2" ht="15.75" customHeight="1" x14ac:dyDescent="0.25">
      <c r="A390" s="6">
        <v>264008</v>
      </c>
      <c r="B390" s="6" t="s">
        <v>1913</v>
      </c>
    </row>
    <row r="391" spans="1:2" ht="15.75" customHeight="1" x14ac:dyDescent="0.25">
      <c r="A391" s="6">
        <v>472008</v>
      </c>
      <c r="B391" s="6" t="s">
        <v>1913</v>
      </c>
    </row>
    <row r="392" spans="1:2" ht="15.75" customHeight="1" x14ac:dyDescent="0.25">
      <c r="A392" s="6">
        <v>460072</v>
      </c>
      <c r="B392" s="6" t="s">
        <v>1876</v>
      </c>
    </row>
    <row r="393" spans="1:2" ht="15.75" customHeight="1" x14ac:dyDescent="0.25">
      <c r="A393" s="6">
        <v>460081</v>
      </c>
      <c r="B393" s="6" t="s">
        <v>1885</v>
      </c>
    </row>
    <row r="394" spans="1:2" ht="15.75" customHeight="1" x14ac:dyDescent="0.25">
      <c r="A394" s="6">
        <v>460082</v>
      </c>
      <c r="B394" s="6" t="s">
        <v>1886</v>
      </c>
    </row>
    <row r="395" spans="1:2" ht="15.75" customHeight="1" x14ac:dyDescent="0.25">
      <c r="A395" s="6">
        <v>460084</v>
      </c>
      <c r="B395" s="6" t="s">
        <v>1888</v>
      </c>
    </row>
    <row r="396" spans="1:2" ht="15.75" customHeight="1" x14ac:dyDescent="0.25">
      <c r="A396" s="6">
        <v>460083</v>
      </c>
      <c r="B396" s="6" t="s">
        <v>1887</v>
      </c>
    </row>
    <row r="397" spans="1:2" ht="15.75" customHeight="1" x14ac:dyDescent="0.25">
      <c r="A397" s="6">
        <v>460086</v>
      </c>
      <c r="B397" s="6" t="s">
        <v>1890</v>
      </c>
    </row>
    <row r="398" spans="1:2" ht="15.75" customHeight="1" x14ac:dyDescent="0.25">
      <c r="A398" s="6">
        <v>460085</v>
      </c>
      <c r="B398" s="6" t="s">
        <v>1889</v>
      </c>
    </row>
    <row r="399" spans="1:2" ht="15.75" customHeight="1" x14ac:dyDescent="0.25">
      <c r="A399" s="6">
        <v>460087</v>
      </c>
      <c r="B399" s="6" t="s">
        <v>1891</v>
      </c>
    </row>
    <row r="400" spans="1:2" ht="15.75" customHeight="1" x14ac:dyDescent="0.25">
      <c r="A400" s="6">
        <v>460088</v>
      </c>
      <c r="B400" s="6" t="s">
        <v>1892</v>
      </c>
    </row>
    <row r="401" spans="1:2" ht="15.75" customHeight="1" x14ac:dyDescent="0.25">
      <c r="A401" s="6">
        <v>460089</v>
      </c>
      <c r="B401" s="6" t="s">
        <v>1893</v>
      </c>
    </row>
    <row r="402" spans="1:2" ht="15.75" customHeight="1" x14ac:dyDescent="0.25">
      <c r="A402" s="6">
        <v>460090</v>
      </c>
      <c r="B402" s="6" t="s">
        <v>1894</v>
      </c>
    </row>
    <row r="403" spans="1:2" ht="15.75" customHeight="1" x14ac:dyDescent="0.25">
      <c r="A403" s="6">
        <v>460073</v>
      </c>
      <c r="B403" s="6" t="s">
        <v>1877</v>
      </c>
    </row>
    <row r="404" spans="1:2" ht="15.75" customHeight="1" x14ac:dyDescent="0.25">
      <c r="A404" s="6">
        <v>460074</v>
      </c>
      <c r="B404" s="6" t="s">
        <v>1878</v>
      </c>
    </row>
    <row r="405" spans="1:2" ht="15.75" customHeight="1" x14ac:dyDescent="0.25">
      <c r="A405" s="6">
        <v>460076</v>
      </c>
      <c r="B405" s="6" t="s">
        <v>1880</v>
      </c>
    </row>
    <row r="406" spans="1:2" ht="15.75" customHeight="1" x14ac:dyDescent="0.25">
      <c r="A406" s="6">
        <v>460075</v>
      </c>
      <c r="B406" s="6" t="s">
        <v>1879</v>
      </c>
    </row>
    <row r="407" spans="1:2" ht="15.75" customHeight="1" x14ac:dyDescent="0.25">
      <c r="A407" s="6">
        <v>460077</v>
      </c>
      <c r="B407" s="6" t="s">
        <v>1881</v>
      </c>
    </row>
    <row r="408" spans="1:2" ht="15.75" customHeight="1" x14ac:dyDescent="0.25">
      <c r="A408" s="6">
        <v>460078</v>
      </c>
      <c r="B408" s="6" t="s">
        <v>1882</v>
      </c>
    </row>
    <row r="409" spans="1:2" ht="15.75" customHeight="1" x14ac:dyDescent="0.25">
      <c r="A409" s="6">
        <v>460079</v>
      </c>
      <c r="B409" s="6" t="s">
        <v>1883</v>
      </c>
    </row>
    <row r="410" spans="1:2" ht="15.75" customHeight="1" x14ac:dyDescent="0.25">
      <c r="A410" s="6">
        <v>460080</v>
      </c>
      <c r="B410" s="6" t="s">
        <v>1884</v>
      </c>
    </row>
    <row r="411" spans="1:2" ht="15.75" customHeight="1" x14ac:dyDescent="0.25">
      <c r="A411" s="6">
        <v>208012</v>
      </c>
      <c r="B411" s="6" t="s">
        <v>863</v>
      </c>
    </row>
    <row r="412" spans="1:2" ht="15.75" customHeight="1" x14ac:dyDescent="0.25">
      <c r="A412" s="6">
        <v>210021</v>
      </c>
      <c r="B412" s="6" t="s">
        <v>864</v>
      </c>
    </row>
    <row r="413" spans="1:2" ht="15.75" customHeight="1" x14ac:dyDescent="0.25">
      <c r="A413" s="6">
        <v>222017</v>
      </c>
      <c r="B413" s="6" t="s">
        <v>864</v>
      </c>
    </row>
    <row r="414" spans="1:2" ht="15.75" customHeight="1" x14ac:dyDescent="0.25">
      <c r="A414" s="6">
        <v>212007</v>
      </c>
      <c r="B414" s="6" t="s">
        <v>865</v>
      </c>
    </row>
    <row r="415" spans="1:2" ht="15.75" customHeight="1" x14ac:dyDescent="0.25">
      <c r="A415" s="6">
        <v>210025</v>
      </c>
      <c r="B415" s="6" t="s">
        <v>866</v>
      </c>
    </row>
    <row r="416" spans="1:2" ht="15.75" customHeight="1" x14ac:dyDescent="0.25">
      <c r="A416" s="6">
        <v>222023</v>
      </c>
      <c r="B416" s="6" t="s">
        <v>866</v>
      </c>
    </row>
    <row r="417" spans="1:2" ht="15.75" customHeight="1" x14ac:dyDescent="0.25">
      <c r="A417" s="6">
        <v>210022</v>
      </c>
      <c r="B417" s="6" t="s">
        <v>867</v>
      </c>
    </row>
    <row r="418" spans="1:2" ht="15.75" customHeight="1" x14ac:dyDescent="0.25">
      <c r="A418" s="6">
        <v>222021</v>
      </c>
      <c r="B418" s="6" t="s">
        <v>867</v>
      </c>
    </row>
    <row r="419" spans="1:2" ht="15.75" customHeight="1" x14ac:dyDescent="0.25">
      <c r="A419" s="6">
        <v>222013</v>
      </c>
      <c r="B419" s="6" t="s">
        <v>868</v>
      </c>
    </row>
    <row r="420" spans="1:2" ht="15.75" customHeight="1" x14ac:dyDescent="0.25">
      <c r="A420" s="6">
        <v>210015</v>
      </c>
      <c r="B420" s="6" t="s">
        <v>869</v>
      </c>
    </row>
    <row r="421" spans="1:2" ht="15.75" customHeight="1" x14ac:dyDescent="0.25">
      <c r="A421" s="6">
        <v>409018</v>
      </c>
      <c r="B421" s="6" t="s">
        <v>870</v>
      </c>
    </row>
    <row r="422" spans="1:2" ht="15.75" customHeight="1" x14ac:dyDescent="0.25">
      <c r="A422" s="6">
        <v>45049</v>
      </c>
      <c r="B422" s="6" t="s">
        <v>871</v>
      </c>
    </row>
    <row r="423" spans="1:2" ht="15.75" customHeight="1" x14ac:dyDescent="0.25">
      <c r="A423" s="6">
        <v>45050</v>
      </c>
      <c r="B423" s="6" t="s">
        <v>872</v>
      </c>
    </row>
    <row r="424" spans="1:2" ht="15.75" customHeight="1" x14ac:dyDescent="0.25">
      <c r="A424" s="6">
        <v>45047</v>
      </c>
      <c r="B424" s="6" t="s">
        <v>873</v>
      </c>
    </row>
    <row r="425" spans="1:2" ht="15.75" customHeight="1" x14ac:dyDescent="0.25">
      <c r="A425" s="6">
        <v>45048</v>
      </c>
      <c r="B425" s="6" t="s">
        <v>874</v>
      </c>
    </row>
    <row r="426" spans="1:2" ht="15.75" customHeight="1" x14ac:dyDescent="0.25">
      <c r="A426" s="6">
        <v>45055</v>
      </c>
      <c r="B426" s="6" t="s">
        <v>875</v>
      </c>
    </row>
    <row r="427" spans="1:2" ht="15.75" customHeight="1" x14ac:dyDescent="0.25">
      <c r="A427" s="6">
        <v>45056</v>
      </c>
      <c r="B427" s="6" t="s">
        <v>876</v>
      </c>
    </row>
    <row r="428" spans="1:2" ht="15.75" customHeight="1" x14ac:dyDescent="0.25">
      <c r="A428" s="6">
        <v>45057</v>
      </c>
      <c r="B428" s="6" t="s">
        <v>877</v>
      </c>
    </row>
    <row r="429" spans="1:2" ht="15.75" customHeight="1" x14ac:dyDescent="0.25">
      <c r="A429" s="6">
        <v>45054</v>
      </c>
      <c r="B429" s="6" t="s">
        <v>878</v>
      </c>
    </row>
    <row r="430" spans="1:2" ht="15.75" customHeight="1" x14ac:dyDescent="0.25">
      <c r="A430" s="6">
        <v>316001</v>
      </c>
      <c r="B430" s="6" t="s">
        <v>103</v>
      </c>
    </row>
    <row r="431" spans="1:2" ht="15.75" customHeight="1" x14ac:dyDescent="0.25">
      <c r="A431" s="6">
        <v>32240</v>
      </c>
      <c r="B431" s="6" t="s">
        <v>1849</v>
      </c>
    </row>
    <row r="432" spans="1:2" ht="15.75" customHeight="1" x14ac:dyDescent="0.25">
      <c r="A432" s="6">
        <v>32209</v>
      </c>
      <c r="B432" s="6" t="s">
        <v>879</v>
      </c>
    </row>
    <row r="433" spans="1:2" ht="15.75" customHeight="1" x14ac:dyDescent="0.25">
      <c r="A433" s="6">
        <v>32188</v>
      </c>
      <c r="B433" s="6" t="s">
        <v>880</v>
      </c>
    </row>
    <row r="434" spans="1:2" ht="15.75" customHeight="1" x14ac:dyDescent="0.25">
      <c r="A434" s="6">
        <v>32179</v>
      </c>
      <c r="B434" s="6" t="s">
        <v>881</v>
      </c>
    </row>
    <row r="435" spans="1:2" ht="15.75" customHeight="1" x14ac:dyDescent="0.25">
      <c r="A435" s="6">
        <v>32196</v>
      </c>
      <c r="B435" s="6" t="s">
        <v>882</v>
      </c>
    </row>
    <row r="436" spans="1:2" ht="15.75" customHeight="1" x14ac:dyDescent="0.25">
      <c r="A436" s="6">
        <v>32181</v>
      </c>
      <c r="B436" s="6" t="s">
        <v>883</v>
      </c>
    </row>
    <row r="437" spans="1:2" ht="15.75" customHeight="1" x14ac:dyDescent="0.25">
      <c r="A437" s="6">
        <v>32223</v>
      </c>
      <c r="B437" s="6" t="s">
        <v>1627</v>
      </c>
    </row>
    <row r="438" spans="1:2" ht="15.75" customHeight="1" x14ac:dyDescent="0.25">
      <c r="A438" s="6">
        <v>32241</v>
      </c>
      <c r="B438" s="6" t="s">
        <v>1850</v>
      </c>
    </row>
    <row r="439" spans="1:2" ht="15.75" customHeight="1" x14ac:dyDescent="0.25">
      <c r="A439" s="6">
        <v>32235</v>
      </c>
      <c r="B439" s="6" t="s">
        <v>1684</v>
      </c>
    </row>
    <row r="440" spans="1:2" ht="15.75" customHeight="1" x14ac:dyDescent="0.25">
      <c r="A440" s="6">
        <v>32210</v>
      </c>
      <c r="B440" s="6" t="s">
        <v>884</v>
      </c>
    </row>
    <row r="441" spans="1:2" ht="15.75" customHeight="1" x14ac:dyDescent="0.25">
      <c r="A441" s="6">
        <v>32189</v>
      </c>
      <c r="B441" s="6" t="s">
        <v>885</v>
      </c>
    </row>
    <row r="442" spans="1:2" ht="15.75" customHeight="1" x14ac:dyDescent="0.25">
      <c r="A442" s="6">
        <v>32221</v>
      </c>
      <c r="B442" s="6" t="s">
        <v>1625</v>
      </c>
    </row>
    <row r="443" spans="1:2" ht="15.75" customHeight="1" x14ac:dyDescent="0.25">
      <c r="A443" s="6">
        <v>32195</v>
      </c>
      <c r="B443" s="6" t="s">
        <v>886</v>
      </c>
    </row>
    <row r="444" spans="1:2" ht="15.75" customHeight="1" x14ac:dyDescent="0.25">
      <c r="A444" s="6">
        <v>32182</v>
      </c>
      <c r="B444" s="6" t="s">
        <v>887</v>
      </c>
    </row>
    <row r="445" spans="1:2" ht="15.75" customHeight="1" x14ac:dyDescent="0.25">
      <c r="A445" s="6">
        <v>32254</v>
      </c>
      <c r="B445" s="6" t="s">
        <v>2040</v>
      </c>
    </row>
    <row r="446" spans="1:2" ht="15.75" customHeight="1" x14ac:dyDescent="0.25">
      <c r="A446" s="6">
        <v>32264</v>
      </c>
      <c r="B446" s="6" t="s">
        <v>2050</v>
      </c>
    </row>
    <row r="447" spans="1:2" ht="15.75" customHeight="1" x14ac:dyDescent="0.25">
      <c r="A447" s="6">
        <v>32230</v>
      </c>
      <c r="B447" s="6" t="s">
        <v>1633</v>
      </c>
    </row>
    <row r="448" spans="1:2" ht="15.75" customHeight="1" x14ac:dyDescent="0.25">
      <c r="A448" s="6">
        <v>32238</v>
      </c>
      <c r="B448" s="6" t="s">
        <v>1847</v>
      </c>
    </row>
    <row r="449" spans="1:2" ht="15.75" customHeight="1" x14ac:dyDescent="0.25">
      <c r="A449" s="6">
        <v>32262</v>
      </c>
      <c r="B449" s="6" t="s">
        <v>2048</v>
      </c>
    </row>
    <row r="450" spans="1:2" ht="15.75" customHeight="1" x14ac:dyDescent="0.25">
      <c r="A450" s="6">
        <v>32250</v>
      </c>
      <c r="B450" s="6" t="s">
        <v>1859</v>
      </c>
    </row>
    <row r="451" spans="1:2" ht="15.75" customHeight="1" x14ac:dyDescent="0.25">
      <c r="A451" s="6">
        <v>32245</v>
      </c>
      <c r="B451" s="6" t="s">
        <v>1854</v>
      </c>
    </row>
    <row r="452" spans="1:2" ht="15.75" customHeight="1" x14ac:dyDescent="0.25">
      <c r="A452" s="6">
        <v>32231</v>
      </c>
      <c r="B452" s="6" t="s">
        <v>1634</v>
      </c>
    </row>
    <row r="453" spans="1:2" ht="15.75" customHeight="1" x14ac:dyDescent="0.25">
      <c r="A453" s="6">
        <v>32251</v>
      </c>
      <c r="B453" s="6" t="s">
        <v>1860</v>
      </c>
    </row>
    <row r="454" spans="1:2" ht="15.75" customHeight="1" x14ac:dyDescent="0.25">
      <c r="A454" s="6">
        <v>32239</v>
      </c>
      <c r="B454" s="6" t="s">
        <v>1848</v>
      </c>
    </row>
    <row r="455" spans="1:2" ht="15.75" customHeight="1" x14ac:dyDescent="0.25">
      <c r="A455" s="6">
        <v>32224</v>
      </c>
      <c r="B455" s="6" t="s">
        <v>1628</v>
      </c>
    </row>
    <row r="456" spans="1:2" ht="15.75" customHeight="1" x14ac:dyDescent="0.25">
      <c r="A456" s="6">
        <v>32234</v>
      </c>
      <c r="B456" s="6" t="s">
        <v>1637</v>
      </c>
    </row>
    <row r="457" spans="1:2" ht="15.75" customHeight="1" x14ac:dyDescent="0.25">
      <c r="A457" s="6">
        <v>32263</v>
      </c>
      <c r="B457" s="6" t="s">
        <v>2049</v>
      </c>
    </row>
    <row r="458" spans="1:2" ht="15.75" customHeight="1" x14ac:dyDescent="0.25">
      <c r="A458" s="6">
        <v>32203</v>
      </c>
      <c r="B458" s="6" t="s">
        <v>888</v>
      </c>
    </row>
    <row r="459" spans="1:2" ht="15.75" customHeight="1" x14ac:dyDescent="0.25">
      <c r="A459" s="6">
        <v>32222</v>
      </c>
      <c r="B459" s="6" t="s">
        <v>1626</v>
      </c>
    </row>
    <row r="460" spans="1:2" ht="15.75" customHeight="1" x14ac:dyDescent="0.25">
      <c r="A460" s="6">
        <v>32208</v>
      </c>
      <c r="B460" s="6" t="s">
        <v>889</v>
      </c>
    </row>
    <row r="461" spans="1:2" ht="15.75" customHeight="1" x14ac:dyDescent="0.25">
      <c r="A461" s="6">
        <v>32178</v>
      </c>
      <c r="B461" s="6" t="s">
        <v>890</v>
      </c>
    </row>
    <row r="462" spans="1:2" ht="15.75" customHeight="1" x14ac:dyDescent="0.25">
      <c r="A462" s="6">
        <v>32194</v>
      </c>
      <c r="B462" s="6" t="s">
        <v>891</v>
      </c>
    </row>
    <row r="463" spans="1:2" ht="15.75" customHeight="1" x14ac:dyDescent="0.25">
      <c r="A463" s="6">
        <v>32180</v>
      </c>
      <c r="B463" s="6" t="s">
        <v>892</v>
      </c>
    </row>
    <row r="464" spans="1:2" ht="15.75" customHeight="1" x14ac:dyDescent="0.25">
      <c r="A464" s="6">
        <v>55001</v>
      </c>
      <c r="B464" s="6" t="s">
        <v>893</v>
      </c>
    </row>
    <row r="465" spans="1:2" ht="15.75" customHeight="1" x14ac:dyDescent="0.25">
      <c r="A465" s="6">
        <v>55002</v>
      </c>
      <c r="B465" s="6" t="s">
        <v>894</v>
      </c>
    </row>
    <row r="466" spans="1:2" ht="15.75" customHeight="1" x14ac:dyDescent="0.25">
      <c r="A466" s="6">
        <v>53097</v>
      </c>
      <c r="B466" s="6" t="s">
        <v>895</v>
      </c>
    </row>
    <row r="467" spans="1:2" ht="15.75" customHeight="1" x14ac:dyDescent="0.25">
      <c r="A467" s="6">
        <v>53098</v>
      </c>
      <c r="B467" s="6" t="s">
        <v>896</v>
      </c>
    </row>
    <row r="468" spans="1:2" ht="15.75" customHeight="1" x14ac:dyDescent="0.25">
      <c r="A468" s="6">
        <v>53095</v>
      </c>
      <c r="B468" s="6" t="s">
        <v>897</v>
      </c>
    </row>
    <row r="469" spans="1:2" ht="15.75" customHeight="1" x14ac:dyDescent="0.25">
      <c r="A469" s="6">
        <v>53096</v>
      </c>
      <c r="B469" s="6" t="s">
        <v>898</v>
      </c>
    </row>
    <row r="470" spans="1:2" ht="15.75" customHeight="1" x14ac:dyDescent="0.25">
      <c r="A470" s="6">
        <v>434002</v>
      </c>
      <c r="B470" s="6" t="s">
        <v>899</v>
      </c>
    </row>
    <row r="471" spans="1:2" ht="15.75" customHeight="1" x14ac:dyDescent="0.25">
      <c r="A471" s="6">
        <v>434003</v>
      </c>
      <c r="B471" s="6" t="s">
        <v>900</v>
      </c>
    </row>
    <row r="472" spans="1:2" ht="15.75" customHeight="1" x14ac:dyDescent="0.25">
      <c r="A472" s="6">
        <v>52002</v>
      </c>
      <c r="B472" s="6" t="s">
        <v>901</v>
      </c>
    </row>
    <row r="473" spans="1:2" ht="15.75" customHeight="1" x14ac:dyDescent="0.25">
      <c r="A473" s="6">
        <v>456001</v>
      </c>
      <c r="B473" s="6" t="s">
        <v>1667</v>
      </c>
    </row>
    <row r="474" spans="1:2" ht="15.75" customHeight="1" x14ac:dyDescent="0.25">
      <c r="A474" s="6">
        <v>220030</v>
      </c>
      <c r="B474" s="6" t="s">
        <v>902</v>
      </c>
    </row>
    <row r="475" spans="1:2" ht="15.75" customHeight="1" x14ac:dyDescent="0.25">
      <c r="A475" s="6">
        <v>21003</v>
      </c>
      <c r="B475" s="6" t="s">
        <v>115</v>
      </c>
    </row>
    <row r="476" spans="1:2" ht="15.75" customHeight="1" x14ac:dyDescent="0.25">
      <c r="A476" s="6">
        <v>48001</v>
      </c>
      <c r="B476" s="6" t="s">
        <v>115</v>
      </c>
    </row>
    <row r="477" spans="1:2" ht="15.75" customHeight="1" x14ac:dyDescent="0.25">
      <c r="A477" s="6">
        <v>220003</v>
      </c>
      <c r="B477" s="6" t="s">
        <v>115</v>
      </c>
    </row>
    <row r="478" spans="1:2" ht="15.75" customHeight="1" x14ac:dyDescent="0.25">
      <c r="A478" s="6">
        <v>408039</v>
      </c>
      <c r="B478" s="6" t="s">
        <v>115</v>
      </c>
    </row>
    <row r="479" spans="1:2" ht="15.75" customHeight="1" x14ac:dyDescent="0.25">
      <c r="A479" s="6">
        <v>48002</v>
      </c>
      <c r="B479" s="6" t="s">
        <v>903</v>
      </c>
    </row>
    <row r="480" spans="1:2" ht="15.75" customHeight="1" x14ac:dyDescent="0.25">
      <c r="A480" s="6">
        <v>212009</v>
      </c>
      <c r="B480" s="6" t="s">
        <v>904</v>
      </c>
    </row>
    <row r="481" spans="1:2" ht="15.75" customHeight="1" x14ac:dyDescent="0.25">
      <c r="A481" s="6">
        <v>216004</v>
      </c>
      <c r="B481" s="6" t="s">
        <v>905</v>
      </c>
    </row>
    <row r="482" spans="1:2" ht="15.75" customHeight="1" x14ac:dyDescent="0.25">
      <c r="A482" s="6">
        <v>434004</v>
      </c>
      <c r="B482" s="6" t="s">
        <v>906</v>
      </c>
    </row>
    <row r="483" spans="1:2" ht="15.75" customHeight="1" x14ac:dyDescent="0.25">
      <c r="A483" s="6">
        <v>434005</v>
      </c>
      <c r="B483" s="6" t="s">
        <v>907</v>
      </c>
    </row>
    <row r="484" spans="1:2" ht="15.75" customHeight="1" x14ac:dyDescent="0.25">
      <c r="A484" s="6">
        <v>434006</v>
      </c>
      <c r="B484" s="6" t="s">
        <v>908</v>
      </c>
    </row>
    <row r="485" spans="1:2" ht="15.75" customHeight="1" x14ac:dyDescent="0.25">
      <c r="A485" s="6">
        <v>220004</v>
      </c>
      <c r="B485" s="6" t="s">
        <v>909</v>
      </c>
    </row>
    <row r="486" spans="1:2" ht="15.75" customHeight="1" x14ac:dyDescent="0.25">
      <c r="A486" s="6">
        <v>462002</v>
      </c>
      <c r="B486" s="6" t="s">
        <v>1819</v>
      </c>
    </row>
    <row r="487" spans="1:2" ht="15.75" customHeight="1" x14ac:dyDescent="0.25">
      <c r="A487" s="6">
        <v>409037</v>
      </c>
      <c r="B487" s="6" t="s">
        <v>1843</v>
      </c>
    </row>
    <row r="488" spans="1:2" ht="15.75" customHeight="1" x14ac:dyDescent="0.25">
      <c r="A488" s="6">
        <v>212002</v>
      </c>
      <c r="B488" s="6" t="s">
        <v>910</v>
      </c>
    </row>
    <row r="489" spans="1:2" ht="15.75" customHeight="1" x14ac:dyDescent="0.25">
      <c r="A489" s="6">
        <v>32004</v>
      </c>
      <c r="B489" s="6" t="s">
        <v>911</v>
      </c>
    </row>
    <row r="490" spans="1:2" ht="15.75" customHeight="1" x14ac:dyDescent="0.25">
      <c r="A490" s="6">
        <v>32167</v>
      </c>
      <c r="B490" s="6" t="s">
        <v>912</v>
      </c>
    </row>
    <row r="491" spans="1:2" ht="15.75" customHeight="1" x14ac:dyDescent="0.25">
      <c r="A491" s="6">
        <v>32212</v>
      </c>
      <c r="B491" s="6" t="s">
        <v>913</v>
      </c>
    </row>
    <row r="492" spans="1:2" ht="15.75" customHeight="1" x14ac:dyDescent="0.25">
      <c r="A492" s="6">
        <v>209015</v>
      </c>
      <c r="B492" s="6" t="s">
        <v>914</v>
      </c>
    </row>
    <row r="493" spans="1:2" ht="15.75" customHeight="1" x14ac:dyDescent="0.25">
      <c r="A493" s="6">
        <v>309002</v>
      </c>
      <c r="B493" s="6" t="s">
        <v>914</v>
      </c>
    </row>
    <row r="494" spans="1:2" ht="15.75" customHeight="1" x14ac:dyDescent="0.25">
      <c r="A494" s="6">
        <v>409038</v>
      </c>
      <c r="B494" s="6" t="s">
        <v>914</v>
      </c>
    </row>
    <row r="495" spans="1:2" ht="15.75" customHeight="1" x14ac:dyDescent="0.25">
      <c r="A495" s="6">
        <v>32142</v>
      </c>
      <c r="B495" s="6" t="s">
        <v>915</v>
      </c>
    </row>
    <row r="496" spans="1:2" ht="15.75" customHeight="1" x14ac:dyDescent="0.25">
      <c r="A496" s="6">
        <v>32143</v>
      </c>
      <c r="B496" s="6" t="s">
        <v>916</v>
      </c>
    </row>
    <row r="497" spans="1:2" ht="15.75" customHeight="1" x14ac:dyDescent="0.25">
      <c r="A497" s="6">
        <v>59003</v>
      </c>
      <c r="B497" s="6" t="s">
        <v>1739</v>
      </c>
    </row>
    <row r="498" spans="1:2" ht="15.75" customHeight="1" x14ac:dyDescent="0.25">
      <c r="A498" s="6">
        <v>470001</v>
      </c>
      <c r="B498" s="6" t="s">
        <v>2064</v>
      </c>
    </row>
    <row r="499" spans="1:2" ht="15.75" customHeight="1" x14ac:dyDescent="0.25">
      <c r="A499" s="6">
        <v>132008</v>
      </c>
      <c r="B499" s="6" t="s">
        <v>1643</v>
      </c>
    </row>
    <row r="500" spans="1:2" ht="15.75" customHeight="1" x14ac:dyDescent="0.25">
      <c r="A500" s="6">
        <v>32200</v>
      </c>
      <c r="B500" s="6" t="s">
        <v>917</v>
      </c>
    </row>
    <row r="501" spans="1:2" ht="15.75" customHeight="1" x14ac:dyDescent="0.25">
      <c r="A501" s="6">
        <v>32216</v>
      </c>
      <c r="B501" s="6" t="s">
        <v>918</v>
      </c>
    </row>
    <row r="502" spans="1:2" ht="15.75" customHeight="1" x14ac:dyDescent="0.25">
      <c r="A502" s="6">
        <v>32185</v>
      </c>
      <c r="B502" s="6" t="s">
        <v>919</v>
      </c>
    </row>
    <row r="503" spans="1:2" ht="15.75" customHeight="1" x14ac:dyDescent="0.25">
      <c r="A503" s="6">
        <v>32186</v>
      </c>
      <c r="B503" s="6" t="s">
        <v>920</v>
      </c>
    </row>
    <row r="504" spans="1:2" ht="15.75" customHeight="1" x14ac:dyDescent="0.25">
      <c r="A504" s="6">
        <v>32154</v>
      </c>
      <c r="B504" s="6" t="s">
        <v>921</v>
      </c>
    </row>
    <row r="505" spans="1:2" ht="15.75" customHeight="1" x14ac:dyDescent="0.25">
      <c r="A505" s="6">
        <v>32171</v>
      </c>
      <c r="B505" s="6" t="s">
        <v>922</v>
      </c>
    </row>
    <row r="506" spans="1:2" ht="15.75" customHeight="1" x14ac:dyDescent="0.25">
      <c r="A506" s="6">
        <v>32152</v>
      </c>
      <c r="B506" s="6" t="s">
        <v>923</v>
      </c>
    </row>
    <row r="507" spans="1:2" ht="15.75" customHeight="1" x14ac:dyDescent="0.25">
      <c r="A507" s="6">
        <v>32173</v>
      </c>
      <c r="B507" s="6" t="s">
        <v>924</v>
      </c>
    </row>
    <row r="508" spans="1:2" ht="15.75" customHeight="1" x14ac:dyDescent="0.25">
      <c r="A508" s="6">
        <v>32165</v>
      </c>
      <c r="B508" s="6" t="s">
        <v>925</v>
      </c>
    </row>
    <row r="509" spans="1:2" ht="15.75" customHeight="1" x14ac:dyDescent="0.25">
      <c r="A509" s="6">
        <v>32144</v>
      </c>
      <c r="B509" s="6" t="s">
        <v>926</v>
      </c>
    </row>
    <row r="510" spans="1:2" ht="15.75" customHeight="1" x14ac:dyDescent="0.25">
      <c r="A510" s="6">
        <v>32170</v>
      </c>
      <c r="B510" s="6" t="s">
        <v>927</v>
      </c>
    </row>
    <row r="511" spans="1:2" ht="15.75" customHeight="1" x14ac:dyDescent="0.25">
      <c r="A511" s="6">
        <v>32153</v>
      </c>
      <c r="B511" s="6" t="s">
        <v>928</v>
      </c>
    </row>
    <row r="512" spans="1:2" ht="15.75" customHeight="1" x14ac:dyDescent="0.25">
      <c r="A512" s="6">
        <v>32172</v>
      </c>
      <c r="B512" s="6" t="s">
        <v>929</v>
      </c>
    </row>
    <row r="513" spans="1:2" ht="15.75" customHeight="1" x14ac:dyDescent="0.25">
      <c r="A513" s="6">
        <v>32166</v>
      </c>
      <c r="B513" s="6" t="s">
        <v>930</v>
      </c>
    </row>
    <row r="514" spans="1:2" ht="15.75" customHeight="1" x14ac:dyDescent="0.25">
      <c r="A514" s="6">
        <v>32136</v>
      </c>
      <c r="B514" s="6" t="s">
        <v>931</v>
      </c>
    </row>
    <row r="515" spans="1:2" ht="15.75" customHeight="1" x14ac:dyDescent="0.25">
      <c r="A515" s="6">
        <v>32217</v>
      </c>
      <c r="B515" s="6" t="s">
        <v>932</v>
      </c>
    </row>
    <row r="516" spans="1:2" ht="15.75" customHeight="1" x14ac:dyDescent="0.25">
      <c r="A516" s="6">
        <v>32184</v>
      </c>
      <c r="B516" s="6" t="s">
        <v>933</v>
      </c>
    </row>
    <row r="517" spans="1:2" ht="15.75" customHeight="1" x14ac:dyDescent="0.25">
      <c r="A517" s="6">
        <v>32214</v>
      </c>
      <c r="B517" s="6" t="s">
        <v>934</v>
      </c>
    </row>
    <row r="518" spans="1:2" ht="15.75" customHeight="1" x14ac:dyDescent="0.25">
      <c r="A518" s="6">
        <v>132002</v>
      </c>
      <c r="B518" s="6" t="s">
        <v>935</v>
      </c>
    </row>
    <row r="519" spans="1:2" ht="15.75" customHeight="1" x14ac:dyDescent="0.25">
      <c r="A519" s="6">
        <v>132007</v>
      </c>
      <c r="B519" s="6" t="s">
        <v>1642</v>
      </c>
    </row>
    <row r="520" spans="1:2" ht="15.75" customHeight="1" x14ac:dyDescent="0.25">
      <c r="A520" s="6">
        <v>132009</v>
      </c>
      <c r="B520" s="6" t="s">
        <v>1644</v>
      </c>
    </row>
    <row r="521" spans="1:2" ht="15.75" customHeight="1" x14ac:dyDescent="0.25">
      <c r="A521" s="6">
        <v>32135</v>
      </c>
      <c r="B521" s="6" t="s">
        <v>936</v>
      </c>
    </row>
    <row r="522" spans="1:2" ht="15.75" customHeight="1" x14ac:dyDescent="0.25">
      <c r="A522" s="6">
        <v>434007</v>
      </c>
      <c r="B522" s="6" t="s">
        <v>937</v>
      </c>
    </row>
    <row r="523" spans="1:2" ht="15.75" customHeight="1" x14ac:dyDescent="0.25">
      <c r="A523" s="6">
        <v>32070</v>
      </c>
      <c r="B523" s="6" t="s">
        <v>938</v>
      </c>
    </row>
    <row r="524" spans="1:2" ht="15.75" customHeight="1" x14ac:dyDescent="0.25">
      <c r="A524" s="6">
        <v>434008</v>
      </c>
      <c r="B524" s="6" t="s">
        <v>939</v>
      </c>
    </row>
    <row r="525" spans="1:2" ht="15.75" customHeight="1" x14ac:dyDescent="0.25">
      <c r="A525" s="6">
        <v>434009</v>
      </c>
      <c r="B525" s="6" t="s">
        <v>940</v>
      </c>
    </row>
    <row r="526" spans="1:2" ht="15.75" customHeight="1" x14ac:dyDescent="0.25">
      <c r="A526" s="6">
        <v>220005</v>
      </c>
      <c r="B526" s="6" t="s">
        <v>941</v>
      </c>
    </row>
    <row r="527" spans="1:2" ht="15.75" customHeight="1" x14ac:dyDescent="0.25">
      <c r="A527" s="6">
        <v>208027</v>
      </c>
      <c r="B527" s="6" t="s">
        <v>942</v>
      </c>
    </row>
    <row r="528" spans="1:2" ht="15.75" customHeight="1" x14ac:dyDescent="0.25">
      <c r="A528" s="6">
        <v>219001</v>
      </c>
      <c r="B528" s="6" t="s">
        <v>943</v>
      </c>
    </row>
    <row r="529" spans="1:2" ht="15.75" customHeight="1" x14ac:dyDescent="0.25">
      <c r="A529" s="6">
        <v>409019</v>
      </c>
      <c r="B529" s="6" t="s">
        <v>944</v>
      </c>
    </row>
    <row r="530" spans="1:2" ht="15.75" customHeight="1" x14ac:dyDescent="0.25">
      <c r="A530" s="6">
        <v>212010</v>
      </c>
      <c r="B530" s="6" t="s">
        <v>945</v>
      </c>
    </row>
    <row r="531" spans="1:2" ht="15.75" customHeight="1" x14ac:dyDescent="0.25">
      <c r="A531" s="6">
        <v>217001</v>
      </c>
      <c r="B531" s="6" t="s">
        <v>946</v>
      </c>
    </row>
    <row r="532" spans="1:2" ht="15.75" customHeight="1" x14ac:dyDescent="0.25">
      <c r="A532" s="6">
        <v>409028</v>
      </c>
      <c r="B532" s="6" t="s">
        <v>1681</v>
      </c>
    </row>
    <row r="533" spans="1:2" ht="15.75" customHeight="1" x14ac:dyDescent="0.25">
      <c r="A533" s="6">
        <v>462016</v>
      </c>
      <c r="B533" s="6" t="s">
        <v>1833</v>
      </c>
    </row>
    <row r="534" spans="1:2" ht="15.75" customHeight="1" x14ac:dyDescent="0.25">
      <c r="A534" s="6">
        <v>212008</v>
      </c>
      <c r="B534" s="6" t="s">
        <v>947</v>
      </c>
    </row>
    <row r="535" spans="1:2" ht="15.75" customHeight="1" x14ac:dyDescent="0.25">
      <c r="A535" s="6">
        <v>55004</v>
      </c>
      <c r="B535" s="6" t="s">
        <v>948</v>
      </c>
    </row>
    <row r="536" spans="1:2" ht="15.75" customHeight="1" x14ac:dyDescent="0.25">
      <c r="A536" s="6">
        <v>55003</v>
      </c>
      <c r="B536" s="6" t="s">
        <v>949</v>
      </c>
    </row>
    <row r="537" spans="1:2" ht="15.75" customHeight="1" x14ac:dyDescent="0.25">
      <c r="A537" s="6">
        <v>460064</v>
      </c>
      <c r="B537" s="6" t="s">
        <v>1803</v>
      </c>
    </row>
    <row r="538" spans="1:2" ht="15.75" customHeight="1" x14ac:dyDescent="0.25">
      <c r="A538" s="6">
        <v>460063</v>
      </c>
      <c r="B538" s="6" t="s">
        <v>1802</v>
      </c>
    </row>
    <row r="539" spans="1:2" ht="15.75" customHeight="1" x14ac:dyDescent="0.25">
      <c r="A539" s="6">
        <v>460062</v>
      </c>
      <c r="B539" s="6" t="s">
        <v>1801</v>
      </c>
    </row>
    <row r="540" spans="1:2" ht="15.75" customHeight="1" x14ac:dyDescent="0.25">
      <c r="A540" s="6">
        <v>460059</v>
      </c>
      <c r="B540" s="6" t="s">
        <v>1798</v>
      </c>
    </row>
    <row r="541" spans="1:2" ht="15.75" customHeight="1" x14ac:dyDescent="0.25">
      <c r="A541" s="6">
        <v>460060</v>
      </c>
      <c r="B541" s="6" t="s">
        <v>1799</v>
      </c>
    </row>
    <row r="542" spans="1:2" ht="15.75" customHeight="1" x14ac:dyDescent="0.25">
      <c r="A542" s="6">
        <v>460061</v>
      </c>
      <c r="B542" s="6" t="s">
        <v>1800</v>
      </c>
    </row>
    <row r="543" spans="1:2" ht="15.75" customHeight="1" x14ac:dyDescent="0.25">
      <c r="A543" s="6">
        <v>460065</v>
      </c>
      <c r="B543" s="6" t="s">
        <v>1804</v>
      </c>
    </row>
    <row r="544" spans="1:2" ht="15.75" customHeight="1" x14ac:dyDescent="0.25">
      <c r="A544" s="6">
        <v>1114</v>
      </c>
      <c r="B544" s="6" t="s">
        <v>950</v>
      </c>
    </row>
    <row r="545" spans="1:2" ht="15.75" customHeight="1" x14ac:dyDescent="0.25">
      <c r="A545" s="6">
        <v>1136</v>
      </c>
      <c r="B545" s="6" t="s">
        <v>951</v>
      </c>
    </row>
    <row r="546" spans="1:2" ht="15.75" customHeight="1" x14ac:dyDescent="0.25">
      <c r="A546" s="6">
        <v>1138</v>
      </c>
      <c r="B546" s="6" t="s">
        <v>952</v>
      </c>
    </row>
    <row r="547" spans="1:2" ht="15.75" customHeight="1" x14ac:dyDescent="0.25">
      <c r="A547" s="6">
        <v>1125</v>
      </c>
      <c r="B547" s="6" t="s">
        <v>953</v>
      </c>
    </row>
    <row r="548" spans="1:2" ht="15.75" customHeight="1" x14ac:dyDescent="0.25">
      <c r="A548" s="6">
        <v>1010</v>
      </c>
      <c r="B548" s="6" t="s">
        <v>954</v>
      </c>
    </row>
    <row r="549" spans="1:2" ht="15.75" customHeight="1" x14ac:dyDescent="0.25">
      <c r="A549" s="6">
        <v>1116</v>
      </c>
      <c r="B549" s="6" t="s">
        <v>955</v>
      </c>
    </row>
    <row r="550" spans="1:2" ht="15.75" customHeight="1" x14ac:dyDescent="0.25">
      <c r="A550" s="6">
        <v>1115</v>
      </c>
      <c r="B550" s="6" t="s">
        <v>956</v>
      </c>
    </row>
    <row r="551" spans="1:2" ht="15.75" customHeight="1" x14ac:dyDescent="0.25">
      <c r="A551" s="6">
        <v>1137</v>
      </c>
      <c r="B551" s="6" t="s">
        <v>957</v>
      </c>
    </row>
    <row r="552" spans="1:2" ht="15.75" customHeight="1" x14ac:dyDescent="0.25">
      <c r="A552" s="6">
        <v>53023</v>
      </c>
      <c r="B552" s="6" t="s">
        <v>958</v>
      </c>
    </row>
    <row r="553" spans="1:2" ht="15.75" customHeight="1" x14ac:dyDescent="0.25">
      <c r="A553" s="6">
        <v>53024</v>
      </c>
      <c r="B553" s="6" t="s">
        <v>959</v>
      </c>
    </row>
    <row r="554" spans="1:2" ht="15.75" customHeight="1" x14ac:dyDescent="0.25">
      <c r="A554" s="6">
        <v>53021</v>
      </c>
      <c r="B554" s="6" t="s">
        <v>960</v>
      </c>
    </row>
    <row r="555" spans="1:2" ht="15.75" customHeight="1" x14ac:dyDescent="0.25">
      <c r="A555" s="6">
        <v>53022</v>
      </c>
      <c r="B555" s="6" t="s">
        <v>961</v>
      </c>
    </row>
    <row r="556" spans="1:2" ht="15.75" customHeight="1" x14ac:dyDescent="0.25">
      <c r="A556" s="6">
        <v>53114</v>
      </c>
      <c r="B556" s="6" t="s">
        <v>1666</v>
      </c>
    </row>
    <row r="557" spans="1:2" ht="15.75" customHeight="1" x14ac:dyDescent="0.25">
      <c r="A557" s="6">
        <v>53113</v>
      </c>
      <c r="B557" s="6" t="s">
        <v>1665</v>
      </c>
    </row>
    <row r="558" spans="1:2" ht="15.75" customHeight="1" x14ac:dyDescent="0.25">
      <c r="A558" s="6">
        <v>53112</v>
      </c>
      <c r="B558" s="6" t="s">
        <v>1664</v>
      </c>
    </row>
    <row r="559" spans="1:2" ht="15.75" customHeight="1" x14ac:dyDescent="0.25">
      <c r="A559" s="6">
        <v>66005</v>
      </c>
      <c r="B559" s="6" t="s">
        <v>2006</v>
      </c>
    </row>
    <row r="560" spans="1:2" ht="15.75" customHeight="1" x14ac:dyDescent="0.25">
      <c r="A560" s="6">
        <v>67005</v>
      </c>
      <c r="B560" s="6" t="s">
        <v>2006</v>
      </c>
    </row>
    <row r="561" spans="1:2" ht="15.75" customHeight="1" x14ac:dyDescent="0.25">
      <c r="A561" s="6">
        <v>53111</v>
      </c>
      <c r="B561" s="6" t="s">
        <v>1663</v>
      </c>
    </row>
    <row r="562" spans="1:2" ht="15.75" customHeight="1" x14ac:dyDescent="0.25">
      <c r="A562" s="6">
        <v>220035</v>
      </c>
      <c r="B562" s="6" t="s">
        <v>962</v>
      </c>
    </row>
    <row r="563" spans="1:2" ht="15.75" customHeight="1" x14ac:dyDescent="0.25">
      <c r="A563" s="6">
        <v>61015</v>
      </c>
      <c r="B563" s="6" t="s">
        <v>1818</v>
      </c>
    </row>
    <row r="564" spans="1:2" ht="15.75" customHeight="1" x14ac:dyDescent="0.25">
      <c r="A564" s="6">
        <v>208003</v>
      </c>
      <c r="B564" s="6" t="s">
        <v>622</v>
      </c>
    </row>
    <row r="565" spans="1:2" ht="15.75" customHeight="1" x14ac:dyDescent="0.25">
      <c r="A565" s="6">
        <v>462015</v>
      </c>
      <c r="B565" s="6" t="s">
        <v>1832</v>
      </c>
    </row>
    <row r="566" spans="1:2" ht="15.75" customHeight="1" x14ac:dyDescent="0.25">
      <c r="A566" s="6">
        <v>206004</v>
      </c>
      <c r="B566" s="6" t="s">
        <v>963</v>
      </c>
    </row>
    <row r="567" spans="1:2" ht="15.75" customHeight="1" x14ac:dyDescent="0.25">
      <c r="A567" s="6">
        <v>456005</v>
      </c>
      <c r="B567" s="6" t="s">
        <v>1671</v>
      </c>
    </row>
    <row r="568" spans="1:2" ht="15.75" customHeight="1" x14ac:dyDescent="0.25">
      <c r="A568" s="6">
        <v>132004</v>
      </c>
      <c r="B568" s="6" t="s">
        <v>1639</v>
      </c>
    </row>
    <row r="569" spans="1:2" ht="15.75" customHeight="1" x14ac:dyDescent="0.25">
      <c r="A569" s="6">
        <v>32089</v>
      </c>
      <c r="B569" s="6" t="s">
        <v>964</v>
      </c>
    </row>
    <row r="570" spans="1:2" ht="15.75" customHeight="1" x14ac:dyDescent="0.25">
      <c r="A570" s="6">
        <v>32090</v>
      </c>
      <c r="B570" s="6" t="s">
        <v>965</v>
      </c>
    </row>
    <row r="571" spans="1:2" ht="15.75" customHeight="1" x14ac:dyDescent="0.25">
      <c r="A571" s="6">
        <v>132005</v>
      </c>
      <c r="B571" s="6" t="s">
        <v>1640</v>
      </c>
    </row>
    <row r="572" spans="1:2" ht="15.75" customHeight="1" x14ac:dyDescent="0.25">
      <c r="A572" s="6">
        <v>210019</v>
      </c>
      <c r="B572" s="6" t="s">
        <v>966</v>
      </c>
    </row>
    <row r="573" spans="1:2" ht="15.75" customHeight="1" x14ac:dyDescent="0.25">
      <c r="A573" s="6">
        <v>222015</v>
      </c>
      <c r="B573" s="6" t="s">
        <v>966</v>
      </c>
    </row>
    <row r="574" spans="1:2" ht="15.75" customHeight="1" x14ac:dyDescent="0.25">
      <c r="A574" s="6">
        <v>208023</v>
      </c>
      <c r="B574" s="6" t="s">
        <v>967</v>
      </c>
    </row>
    <row r="575" spans="1:2" ht="15.75" customHeight="1" x14ac:dyDescent="0.25">
      <c r="A575" s="6">
        <v>208024</v>
      </c>
      <c r="B575" s="6" t="s">
        <v>968</v>
      </c>
    </row>
    <row r="576" spans="1:2" ht="15.75" customHeight="1" x14ac:dyDescent="0.25">
      <c r="A576" s="6">
        <v>222011</v>
      </c>
      <c r="B576" s="6" t="s">
        <v>969</v>
      </c>
    </row>
    <row r="577" spans="1:2" ht="15.75" customHeight="1" x14ac:dyDescent="0.25">
      <c r="A577" s="6">
        <v>210013</v>
      </c>
      <c r="B577" s="6" t="s">
        <v>970</v>
      </c>
    </row>
    <row r="578" spans="1:2" ht="15.75" customHeight="1" x14ac:dyDescent="0.25">
      <c r="A578" s="6">
        <v>409016</v>
      </c>
      <c r="B578" s="6" t="s">
        <v>971</v>
      </c>
    </row>
    <row r="579" spans="1:2" ht="15.75" customHeight="1" x14ac:dyDescent="0.25">
      <c r="A579" s="6">
        <v>216008</v>
      </c>
      <c r="B579" s="6" t="s">
        <v>972</v>
      </c>
    </row>
    <row r="580" spans="1:2" ht="15.75" customHeight="1" x14ac:dyDescent="0.25">
      <c r="A580" s="6">
        <v>33001</v>
      </c>
      <c r="B580" s="6" t="s">
        <v>973</v>
      </c>
    </row>
    <row r="581" spans="1:2" ht="15.75" customHeight="1" x14ac:dyDescent="0.25">
      <c r="A581" s="6">
        <v>53101</v>
      </c>
      <c r="B581" s="6" t="s">
        <v>974</v>
      </c>
    </row>
    <row r="582" spans="1:2" ht="15.75" customHeight="1" x14ac:dyDescent="0.25">
      <c r="A582" s="6">
        <v>53102</v>
      </c>
      <c r="B582" s="6" t="s">
        <v>975</v>
      </c>
    </row>
    <row r="583" spans="1:2" ht="15.75" customHeight="1" x14ac:dyDescent="0.25">
      <c r="A583" s="6">
        <v>53099</v>
      </c>
      <c r="B583" s="6" t="s">
        <v>976</v>
      </c>
    </row>
    <row r="584" spans="1:2" ht="15.75" customHeight="1" x14ac:dyDescent="0.25">
      <c r="A584" s="6">
        <v>53100</v>
      </c>
      <c r="B584" s="6" t="s">
        <v>977</v>
      </c>
    </row>
    <row r="585" spans="1:2" ht="15.75" customHeight="1" x14ac:dyDescent="0.25">
      <c r="A585" s="6">
        <v>210018</v>
      </c>
      <c r="B585" s="6" t="s">
        <v>978</v>
      </c>
    </row>
    <row r="586" spans="1:2" ht="15.75" customHeight="1" x14ac:dyDescent="0.25">
      <c r="A586" s="6">
        <v>132001</v>
      </c>
      <c r="B586" s="6" t="s">
        <v>182</v>
      </c>
    </row>
    <row r="587" spans="1:2" ht="15.75" customHeight="1" x14ac:dyDescent="0.25">
      <c r="A587" s="6">
        <v>32199</v>
      </c>
      <c r="B587" s="6" t="s">
        <v>979</v>
      </c>
    </row>
    <row r="588" spans="1:2" ht="15.75" customHeight="1" x14ac:dyDescent="0.25">
      <c r="A588" s="6">
        <v>32026</v>
      </c>
      <c r="B588" s="6" t="s">
        <v>980</v>
      </c>
    </row>
    <row r="589" spans="1:2" ht="15.75" customHeight="1" x14ac:dyDescent="0.25">
      <c r="A589" s="6">
        <v>32252</v>
      </c>
      <c r="B589" s="6" t="s">
        <v>1861</v>
      </c>
    </row>
    <row r="590" spans="1:2" ht="15.75" customHeight="1" x14ac:dyDescent="0.25">
      <c r="A590" s="6">
        <v>32277</v>
      </c>
      <c r="B590" s="6" t="s">
        <v>2119</v>
      </c>
    </row>
    <row r="591" spans="1:2" ht="15.75" customHeight="1" x14ac:dyDescent="0.25">
      <c r="A591" s="6">
        <v>32187</v>
      </c>
      <c r="B591" s="6" t="s">
        <v>981</v>
      </c>
    </row>
    <row r="592" spans="1:2" ht="15.75" customHeight="1" x14ac:dyDescent="0.25">
      <c r="A592" s="6">
        <v>132023</v>
      </c>
      <c r="B592" s="6" t="s">
        <v>981</v>
      </c>
    </row>
    <row r="593" spans="1:2" ht="15.75" customHeight="1" x14ac:dyDescent="0.25">
      <c r="A593" s="6">
        <v>32149</v>
      </c>
      <c r="B593" s="6" t="s">
        <v>982</v>
      </c>
    </row>
    <row r="594" spans="1:2" ht="15.75" customHeight="1" x14ac:dyDescent="0.25">
      <c r="A594" s="6">
        <v>37002</v>
      </c>
      <c r="B594" s="6" t="s">
        <v>983</v>
      </c>
    </row>
    <row r="595" spans="1:2" ht="15.75" customHeight="1" x14ac:dyDescent="0.25">
      <c r="A595" s="6">
        <v>37012</v>
      </c>
      <c r="B595" s="6" t="s">
        <v>984</v>
      </c>
    </row>
    <row r="596" spans="1:2" ht="15.75" customHeight="1" x14ac:dyDescent="0.25">
      <c r="A596" s="6">
        <v>37003</v>
      </c>
      <c r="B596" s="6" t="s">
        <v>985</v>
      </c>
    </row>
    <row r="597" spans="1:2" ht="15.75" customHeight="1" x14ac:dyDescent="0.25">
      <c r="A597" s="6">
        <v>37013</v>
      </c>
      <c r="B597" s="6" t="s">
        <v>986</v>
      </c>
    </row>
    <row r="598" spans="1:2" ht="15.75" customHeight="1" x14ac:dyDescent="0.25">
      <c r="A598" s="6">
        <v>37004</v>
      </c>
      <c r="B598" s="6" t="s">
        <v>987</v>
      </c>
    </row>
    <row r="599" spans="1:2" ht="15.75" customHeight="1" x14ac:dyDescent="0.25">
      <c r="A599" s="6">
        <v>37014</v>
      </c>
      <c r="B599" s="6" t="s">
        <v>988</v>
      </c>
    </row>
    <row r="600" spans="1:2" ht="15.75" customHeight="1" x14ac:dyDescent="0.25">
      <c r="A600" s="6">
        <v>1170</v>
      </c>
      <c r="B600" s="6" t="s">
        <v>989</v>
      </c>
    </row>
    <row r="601" spans="1:2" ht="15.75" customHeight="1" x14ac:dyDescent="0.25">
      <c r="A601" s="6">
        <v>1021</v>
      </c>
      <c r="B601" s="6" t="s">
        <v>990</v>
      </c>
    </row>
    <row r="602" spans="1:2" ht="15.75" customHeight="1" x14ac:dyDescent="0.25">
      <c r="A602" s="6">
        <v>212006</v>
      </c>
      <c r="B602" s="6" t="s">
        <v>991</v>
      </c>
    </row>
    <row r="603" spans="1:2" ht="15.75" customHeight="1" x14ac:dyDescent="0.25">
      <c r="A603" s="6">
        <v>26033</v>
      </c>
      <c r="B603" s="6" t="s">
        <v>992</v>
      </c>
    </row>
    <row r="604" spans="1:2" ht="15.75" customHeight="1" x14ac:dyDescent="0.25">
      <c r="A604" s="6">
        <v>26034</v>
      </c>
      <c r="B604" s="6" t="s">
        <v>993</v>
      </c>
    </row>
    <row r="605" spans="1:2" ht="15.75" customHeight="1" x14ac:dyDescent="0.25">
      <c r="A605" s="6">
        <v>26035</v>
      </c>
      <c r="B605" s="6" t="s">
        <v>994</v>
      </c>
    </row>
    <row r="606" spans="1:2" ht="15.75" customHeight="1" x14ac:dyDescent="0.25">
      <c r="A606" s="6">
        <v>338004</v>
      </c>
      <c r="B606" s="6" t="s">
        <v>995</v>
      </c>
    </row>
    <row r="607" spans="1:2" ht="15.75" customHeight="1" x14ac:dyDescent="0.25">
      <c r="A607" s="6">
        <v>220006</v>
      </c>
      <c r="B607" s="6" t="s">
        <v>996</v>
      </c>
    </row>
    <row r="608" spans="1:2" ht="15.75" customHeight="1" x14ac:dyDescent="0.25">
      <c r="A608" s="6">
        <v>409020</v>
      </c>
      <c r="B608" s="6" t="s">
        <v>997</v>
      </c>
    </row>
    <row r="609" spans="1:2" ht="15.75" customHeight="1" x14ac:dyDescent="0.25">
      <c r="A609" s="6">
        <v>409029</v>
      </c>
      <c r="B609" s="6" t="s">
        <v>997</v>
      </c>
    </row>
    <row r="610" spans="1:2" ht="15.75" customHeight="1" x14ac:dyDescent="0.25">
      <c r="A610" s="6">
        <v>220007</v>
      </c>
      <c r="B610" s="6" t="s">
        <v>998</v>
      </c>
    </row>
    <row r="611" spans="1:2" ht="15.75" customHeight="1" x14ac:dyDescent="0.25">
      <c r="A611" s="6">
        <v>32146</v>
      </c>
      <c r="B611" s="6" t="s">
        <v>999</v>
      </c>
    </row>
    <row r="612" spans="1:2" ht="15.75" customHeight="1" x14ac:dyDescent="0.25">
      <c r="A612" s="6">
        <v>32164</v>
      </c>
      <c r="B612" s="6" t="s">
        <v>1000</v>
      </c>
    </row>
    <row r="613" spans="1:2" ht="15.75" customHeight="1" x14ac:dyDescent="0.25">
      <c r="A613" s="6">
        <v>32163</v>
      </c>
      <c r="B613" s="6" t="s">
        <v>1001</v>
      </c>
    </row>
    <row r="614" spans="1:2" ht="15.75" customHeight="1" x14ac:dyDescent="0.25">
      <c r="A614" s="6">
        <v>32068</v>
      </c>
      <c r="B614" s="6" t="s">
        <v>1002</v>
      </c>
    </row>
    <row r="615" spans="1:2" ht="15.75" customHeight="1" x14ac:dyDescent="0.25">
      <c r="A615" s="6">
        <v>32145</v>
      </c>
      <c r="B615" s="6" t="s">
        <v>1003</v>
      </c>
    </row>
    <row r="616" spans="1:2" ht="15.75" customHeight="1" x14ac:dyDescent="0.25">
      <c r="A616" s="6">
        <v>32069</v>
      </c>
      <c r="B616" s="6" t="s">
        <v>1004</v>
      </c>
    </row>
    <row r="617" spans="1:2" ht="15.75" customHeight="1" x14ac:dyDescent="0.25">
      <c r="A617" s="6">
        <v>211003</v>
      </c>
      <c r="B617" s="6" t="s">
        <v>1005</v>
      </c>
    </row>
    <row r="618" spans="1:2" ht="15.75" customHeight="1" x14ac:dyDescent="0.25">
      <c r="A618" s="6">
        <v>45002</v>
      </c>
      <c r="B618" s="6" t="s">
        <v>1006</v>
      </c>
    </row>
    <row r="619" spans="1:2" ht="15.75" customHeight="1" x14ac:dyDescent="0.25">
      <c r="A619" s="6">
        <v>45003</v>
      </c>
      <c r="B619" s="6" t="s">
        <v>1007</v>
      </c>
    </row>
    <row r="620" spans="1:2" ht="15.75" customHeight="1" x14ac:dyDescent="0.25">
      <c r="A620" s="6">
        <v>45004</v>
      </c>
      <c r="B620" s="6" t="s">
        <v>1008</v>
      </c>
    </row>
    <row r="621" spans="1:2" ht="15.75" customHeight="1" x14ac:dyDescent="0.25">
      <c r="A621" s="6">
        <v>45001</v>
      </c>
      <c r="B621" s="6" t="s">
        <v>1009</v>
      </c>
    </row>
    <row r="622" spans="1:2" ht="15.75" customHeight="1" x14ac:dyDescent="0.25">
      <c r="A622" s="6">
        <v>45005</v>
      </c>
      <c r="B622" s="6" t="s">
        <v>1010</v>
      </c>
    </row>
    <row r="623" spans="1:2" ht="15.75" customHeight="1" x14ac:dyDescent="0.25">
      <c r="A623" s="6">
        <v>1081</v>
      </c>
      <c r="B623" s="6" t="s">
        <v>1011</v>
      </c>
    </row>
    <row r="624" spans="1:2" ht="15.75" customHeight="1" x14ac:dyDescent="0.25">
      <c r="A624" s="6">
        <v>1131</v>
      </c>
      <c r="B624" s="6" t="s">
        <v>1012</v>
      </c>
    </row>
    <row r="625" spans="1:2" ht="15.75" customHeight="1" x14ac:dyDescent="0.25">
      <c r="A625" s="6">
        <v>35001</v>
      </c>
      <c r="B625" s="6" t="s">
        <v>1013</v>
      </c>
    </row>
    <row r="626" spans="1:2" ht="15.75" customHeight="1" x14ac:dyDescent="0.25">
      <c r="A626" s="6">
        <v>35002</v>
      </c>
      <c r="B626" s="6" t="s">
        <v>1014</v>
      </c>
    </row>
    <row r="627" spans="1:2" ht="15.75" customHeight="1" x14ac:dyDescent="0.25">
      <c r="A627" s="6">
        <v>55006</v>
      </c>
      <c r="B627" s="6" t="s">
        <v>1015</v>
      </c>
    </row>
    <row r="628" spans="1:2" ht="15.75" customHeight="1" x14ac:dyDescent="0.25">
      <c r="A628" s="6">
        <v>216018</v>
      </c>
      <c r="B628" s="6" t="s">
        <v>1016</v>
      </c>
    </row>
    <row r="629" spans="1:2" ht="15.75" customHeight="1" x14ac:dyDescent="0.25">
      <c r="A629" s="6">
        <v>216017</v>
      </c>
      <c r="B629" s="6" t="s">
        <v>1017</v>
      </c>
    </row>
    <row r="630" spans="1:2" ht="15.75" customHeight="1" x14ac:dyDescent="0.25">
      <c r="A630" s="6">
        <v>235016</v>
      </c>
      <c r="B630" s="6" t="s">
        <v>1648</v>
      </c>
    </row>
    <row r="631" spans="1:2" ht="15.75" customHeight="1" x14ac:dyDescent="0.25">
      <c r="A631" s="6">
        <v>235015</v>
      </c>
      <c r="B631" s="6" t="s">
        <v>1647</v>
      </c>
    </row>
    <row r="632" spans="1:2" ht="15.75" customHeight="1" x14ac:dyDescent="0.25">
      <c r="A632" s="6">
        <v>101006</v>
      </c>
      <c r="B632" s="6" t="s">
        <v>240</v>
      </c>
    </row>
    <row r="633" spans="1:2" ht="15.75" customHeight="1" x14ac:dyDescent="0.25">
      <c r="A633" s="6">
        <v>1144</v>
      </c>
      <c r="B633" s="6" t="s">
        <v>1018</v>
      </c>
    </row>
    <row r="634" spans="1:2" ht="15.75" customHeight="1" x14ac:dyDescent="0.25">
      <c r="A634" s="6">
        <v>209016</v>
      </c>
      <c r="B634" s="6" t="s">
        <v>1019</v>
      </c>
    </row>
    <row r="635" spans="1:2" ht="15.75" customHeight="1" x14ac:dyDescent="0.25">
      <c r="A635" s="6">
        <v>409039</v>
      </c>
      <c r="B635" s="6" t="s">
        <v>1019</v>
      </c>
    </row>
    <row r="636" spans="1:2" ht="15.75" customHeight="1" x14ac:dyDescent="0.25">
      <c r="A636" s="6">
        <v>212011</v>
      </c>
      <c r="B636" s="6" t="s">
        <v>1020</v>
      </c>
    </row>
    <row r="637" spans="1:2" ht="15.75" customHeight="1" x14ac:dyDescent="0.25">
      <c r="A637" s="6">
        <v>220032</v>
      </c>
      <c r="B637" s="6" t="s">
        <v>1021</v>
      </c>
    </row>
    <row r="638" spans="1:2" ht="15.75" customHeight="1" x14ac:dyDescent="0.25">
      <c r="A638" s="6">
        <v>265001</v>
      </c>
      <c r="B638" s="6" t="s">
        <v>1957</v>
      </c>
    </row>
    <row r="639" spans="1:2" ht="15.75" customHeight="1" x14ac:dyDescent="0.25">
      <c r="A639" s="6">
        <v>472009</v>
      </c>
      <c r="B639" s="6" t="s">
        <v>1957</v>
      </c>
    </row>
    <row r="640" spans="1:2" ht="15.75" customHeight="1" x14ac:dyDescent="0.25">
      <c r="A640" s="6">
        <v>265006</v>
      </c>
      <c r="B640" s="6" t="s">
        <v>1962</v>
      </c>
    </row>
    <row r="641" spans="1:2" ht="15.75" customHeight="1" x14ac:dyDescent="0.25">
      <c r="A641" s="6">
        <v>472054</v>
      </c>
      <c r="B641" s="6" t="s">
        <v>1962</v>
      </c>
    </row>
    <row r="642" spans="1:2" ht="15.75" customHeight="1" x14ac:dyDescent="0.25">
      <c r="A642" s="6">
        <v>265007</v>
      </c>
      <c r="B642" s="6" t="s">
        <v>1963</v>
      </c>
    </row>
    <row r="643" spans="1:2" ht="15.75" customHeight="1" x14ac:dyDescent="0.25">
      <c r="A643" s="6">
        <v>472055</v>
      </c>
      <c r="B643" s="6" t="s">
        <v>1963</v>
      </c>
    </row>
    <row r="644" spans="1:2" ht="15.75" customHeight="1" x14ac:dyDescent="0.25">
      <c r="A644" s="6">
        <v>265009</v>
      </c>
      <c r="B644" s="6" t="s">
        <v>1965</v>
      </c>
    </row>
    <row r="645" spans="1:2" ht="15.75" customHeight="1" x14ac:dyDescent="0.25">
      <c r="A645" s="6">
        <v>472057</v>
      </c>
      <c r="B645" s="6" t="s">
        <v>1965</v>
      </c>
    </row>
    <row r="646" spans="1:2" ht="15.75" customHeight="1" x14ac:dyDescent="0.25">
      <c r="A646" s="6">
        <v>265011</v>
      </c>
      <c r="B646" s="6" t="s">
        <v>1967</v>
      </c>
    </row>
    <row r="647" spans="1:2" ht="15.75" customHeight="1" x14ac:dyDescent="0.25">
      <c r="A647" s="6">
        <v>472059</v>
      </c>
      <c r="B647" s="6" t="s">
        <v>1967</v>
      </c>
    </row>
    <row r="648" spans="1:2" ht="15.75" customHeight="1" x14ac:dyDescent="0.25">
      <c r="A648" s="6">
        <v>265012</v>
      </c>
      <c r="B648" s="6" t="s">
        <v>1968</v>
      </c>
    </row>
    <row r="649" spans="1:2" ht="15.75" customHeight="1" x14ac:dyDescent="0.25">
      <c r="A649" s="6">
        <v>472060</v>
      </c>
      <c r="B649" s="6" t="s">
        <v>1968</v>
      </c>
    </row>
    <row r="650" spans="1:2" ht="15.75" customHeight="1" x14ac:dyDescent="0.25">
      <c r="A650" s="6">
        <v>265008</v>
      </c>
      <c r="B650" s="6" t="s">
        <v>1964</v>
      </c>
    </row>
    <row r="651" spans="1:2" ht="15.75" customHeight="1" x14ac:dyDescent="0.25">
      <c r="A651" s="6">
        <v>472056</v>
      </c>
      <c r="B651" s="6" t="s">
        <v>1964</v>
      </c>
    </row>
    <row r="652" spans="1:2" ht="15.75" customHeight="1" x14ac:dyDescent="0.25">
      <c r="A652" s="6">
        <v>265010</v>
      </c>
      <c r="B652" s="6" t="s">
        <v>1966</v>
      </c>
    </row>
    <row r="653" spans="1:2" ht="15.75" customHeight="1" x14ac:dyDescent="0.25">
      <c r="A653" s="6">
        <v>472058</v>
      </c>
      <c r="B653" s="6" t="s">
        <v>1966</v>
      </c>
    </row>
    <row r="654" spans="1:2" ht="15.75" customHeight="1" x14ac:dyDescent="0.25">
      <c r="A654" s="6">
        <v>265013</v>
      </c>
      <c r="B654" s="6" t="s">
        <v>1969</v>
      </c>
    </row>
    <row r="655" spans="1:2" ht="15.75" customHeight="1" x14ac:dyDescent="0.25">
      <c r="A655" s="6">
        <v>472061</v>
      </c>
      <c r="B655" s="6" t="s">
        <v>1969</v>
      </c>
    </row>
    <row r="656" spans="1:2" ht="15.75" customHeight="1" x14ac:dyDescent="0.25">
      <c r="A656" s="6">
        <v>265014</v>
      </c>
      <c r="B656" s="6" t="s">
        <v>1970</v>
      </c>
    </row>
    <row r="657" spans="1:2" ht="15.75" customHeight="1" x14ac:dyDescent="0.25">
      <c r="A657" s="6">
        <v>472062</v>
      </c>
      <c r="B657" s="6" t="s">
        <v>1970</v>
      </c>
    </row>
    <row r="658" spans="1:2" ht="15.75" customHeight="1" x14ac:dyDescent="0.25">
      <c r="A658" s="6">
        <v>265015</v>
      </c>
      <c r="B658" s="6" t="s">
        <v>1971</v>
      </c>
    </row>
    <row r="659" spans="1:2" ht="15.75" customHeight="1" x14ac:dyDescent="0.25">
      <c r="A659" s="6">
        <v>472063</v>
      </c>
      <c r="B659" s="6" t="s">
        <v>1971</v>
      </c>
    </row>
    <row r="660" spans="1:2" ht="15.75" customHeight="1" x14ac:dyDescent="0.25">
      <c r="A660" s="6">
        <v>265016</v>
      </c>
      <c r="B660" s="6" t="s">
        <v>1972</v>
      </c>
    </row>
    <row r="661" spans="1:2" ht="15.75" customHeight="1" x14ac:dyDescent="0.25">
      <c r="A661" s="6">
        <v>472064</v>
      </c>
      <c r="B661" s="6" t="s">
        <v>1972</v>
      </c>
    </row>
    <row r="662" spans="1:2" ht="15.75" customHeight="1" x14ac:dyDescent="0.25">
      <c r="A662" s="6">
        <v>265017</v>
      </c>
      <c r="B662" s="6" t="s">
        <v>1973</v>
      </c>
    </row>
    <row r="663" spans="1:2" ht="15.75" customHeight="1" x14ac:dyDescent="0.25">
      <c r="A663" s="6">
        <v>472065</v>
      </c>
      <c r="B663" s="6" t="s">
        <v>1973</v>
      </c>
    </row>
    <row r="664" spans="1:2" ht="15.75" customHeight="1" x14ac:dyDescent="0.25">
      <c r="A664" s="6">
        <v>265018</v>
      </c>
      <c r="B664" s="6" t="s">
        <v>1974</v>
      </c>
    </row>
    <row r="665" spans="1:2" ht="15.75" customHeight="1" x14ac:dyDescent="0.25">
      <c r="A665" s="6">
        <v>472066</v>
      </c>
      <c r="B665" s="6" t="s">
        <v>1974</v>
      </c>
    </row>
    <row r="666" spans="1:2" ht="15.75" customHeight="1" x14ac:dyDescent="0.25">
      <c r="A666" s="6">
        <v>265019</v>
      </c>
      <c r="B666" s="6" t="s">
        <v>1975</v>
      </c>
    </row>
    <row r="667" spans="1:2" ht="15.75" customHeight="1" x14ac:dyDescent="0.25">
      <c r="A667" s="6">
        <v>472067</v>
      </c>
      <c r="B667" s="6" t="s">
        <v>1975</v>
      </c>
    </row>
    <row r="668" spans="1:2" ht="15.75" customHeight="1" x14ac:dyDescent="0.25">
      <c r="A668" s="6">
        <v>265023</v>
      </c>
      <c r="B668" s="6" t="s">
        <v>1979</v>
      </c>
    </row>
    <row r="669" spans="1:2" ht="15.75" customHeight="1" x14ac:dyDescent="0.25">
      <c r="A669" s="6">
        <v>472071</v>
      </c>
      <c r="B669" s="6" t="s">
        <v>1979</v>
      </c>
    </row>
    <row r="670" spans="1:2" ht="15.75" customHeight="1" x14ac:dyDescent="0.25">
      <c r="A670" s="6">
        <v>265005</v>
      </c>
      <c r="B670" s="6" t="s">
        <v>1961</v>
      </c>
    </row>
    <row r="671" spans="1:2" ht="15.75" customHeight="1" x14ac:dyDescent="0.25">
      <c r="A671" s="6">
        <v>472053</v>
      </c>
      <c r="B671" s="6" t="s">
        <v>1961</v>
      </c>
    </row>
    <row r="672" spans="1:2" ht="15.75" customHeight="1" x14ac:dyDescent="0.25">
      <c r="A672" s="6">
        <v>208013</v>
      </c>
      <c r="B672" s="6" t="s">
        <v>1022</v>
      </c>
    </row>
    <row r="673" spans="1:2" ht="15.75" customHeight="1" x14ac:dyDescent="0.25">
      <c r="A673" s="6">
        <v>220008</v>
      </c>
      <c r="B673" s="6" t="s">
        <v>624</v>
      </c>
    </row>
    <row r="674" spans="1:2" ht="15.75" customHeight="1" x14ac:dyDescent="0.25">
      <c r="A674" s="6">
        <v>262002</v>
      </c>
      <c r="B674" s="6" t="s">
        <v>1835</v>
      </c>
    </row>
    <row r="675" spans="1:2" ht="15.75" customHeight="1" x14ac:dyDescent="0.25">
      <c r="A675" s="6">
        <v>408032</v>
      </c>
      <c r="B675" s="6" t="s">
        <v>1023</v>
      </c>
    </row>
    <row r="676" spans="1:2" ht="15.75" customHeight="1" x14ac:dyDescent="0.25">
      <c r="A676" s="6">
        <v>316005</v>
      </c>
      <c r="B676" s="6" t="s">
        <v>1024</v>
      </c>
    </row>
    <row r="677" spans="1:2" ht="15.75" customHeight="1" x14ac:dyDescent="0.25">
      <c r="A677" s="6">
        <v>216005</v>
      </c>
      <c r="B677" s="6" t="s">
        <v>1025</v>
      </c>
    </row>
    <row r="678" spans="1:2" ht="15.75" customHeight="1" x14ac:dyDescent="0.25">
      <c r="A678" s="6">
        <v>408035</v>
      </c>
      <c r="B678" s="6" t="s">
        <v>1026</v>
      </c>
    </row>
    <row r="679" spans="1:2" ht="15.75" customHeight="1" x14ac:dyDescent="0.25">
      <c r="A679" s="6">
        <v>26028</v>
      </c>
      <c r="B679" s="6" t="s">
        <v>1027</v>
      </c>
    </row>
    <row r="680" spans="1:2" ht="15.75" customHeight="1" x14ac:dyDescent="0.25">
      <c r="A680" s="6">
        <v>26029</v>
      </c>
      <c r="B680" s="6" t="s">
        <v>1028</v>
      </c>
    </row>
    <row r="681" spans="1:2" ht="15.75" customHeight="1" x14ac:dyDescent="0.25">
      <c r="A681" s="6">
        <v>26032</v>
      </c>
      <c r="B681" s="6" t="s">
        <v>1029</v>
      </c>
    </row>
    <row r="682" spans="1:2" ht="15.75" customHeight="1" x14ac:dyDescent="0.25">
      <c r="A682" s="6">
        <v>332008</v>
      </c>
      <c r="B682" s="6" t="s">
        <v>1863</v>
      </c>
    </row>
    <row r="683" spans="1:2" ht="15.75" customHeight="1" x14ac:dyDescent="0.25">
      <c r="A683" s="6">
        <v>332001</v>
      </c>
      <c r="B683" s="6" t="s">
        <v>1686</v>
      </c>
    </row>
    <row r="684" spans="1:2" ht="15.75" customHeight="1" x14ac:dyDescent="0.25">
      <c r="A684" s="6">
        <v>332005</v>
      </c>
      <c r="B684" s="6" t="s">
        <v>1690</v>
      </c>
    </row>
    <row r="685" spans="1:2" ht="15.75" customHeight="1" x14ac:dyDescent="0.25">
      <c r="A685" s="6">
        <v>332007</v>
      </c>
      <c r="B685" s="6" t="s">
        <v>1862</v>
      </c>
    </row>
    <row r="686" spans="1:2" ht="15.75" customHeight="1" x14ac:dyDescent="0.25">
      <c r="A686" s="6">
        <v>332006</v>
      </c>
      <c r="B686" s="6" t="s">
        <v>1691</v>
      </c>
    </row>
    <row r="687" spans="1:2" ht="15.75" customHeight="1" x14ac:dyDescent="0.25">
      <c r="A687" s="6">
        <v>332009</v>
      </c>
      <c r="B687" s="6" t="s">
        <v>1864</v>
      </c>
    </row>
    <row r="688" spans="1:2" ht="15.75" customHeight="1" x14ac:dyDescent="0.25">
      <c r="A688" s="6">
        <v>332004</v>
      </c>
      <c r="B688" s="6" t="s">
        <v>1689</v>
      </c>
    </row>
    <row r="689" spans="1:2" ht="15.75" customHeight="1" x14ac:dyDescent="0.25">
      <c r="A689" s="6">
        <v>332002</v>
      </c>
      <c r="B689" s="6" t="s">
        <v>1687</v>
      </c>
    </row>
    <row r="690" spans="1:2" ht="15.75" customHeight="1" x14ac:dyDescent="0.25">
      <c r="A690" s="6">
        <v>332003</v>
      </c>
      <c r="B690" s="6" t="s">
        <v>1688</v>
      </c>
    </row>
    <row r="691" spans="1:2" ht="15.75" customHeight="1" x14ac:dyDescent="0.25">
      <c r="A691" s="6">
        <v>462012</v>
      </c>
      <c r="B691" s="6" t="s">
        <v>1829</v>
      </c>
    </row>
    <row r="692" spans="1:2" ht="15.75" customHeight="1" x14ac:dyDescent="0.25">
      <c r="A692" s="6">
        <v>408031</v>
      </c>
      <c r="B692" s="6" t="s">
        <v>1032</v>
      </c>
    </row>
    <row r="693" spans="1:2" ht="15.75" customHeight="1" x14ac:dyDescent="0.25">
      <c r="A693" s="6">
        <v>208014</v>
      </c>
      <c r="B693" s="6" t="s">
        <v>1033</v>
      </c>
    </row>
    <row r="694" spans="1:2" ht="15.75" customHeight="1" x14ac:dyDescent="0.25">
      <c r="A694" s="6">
        <v>223002</v>
      </c>
      <c r="B694" s="6" t="s">
        <v>1034</v>
      </c>
    </row>
    <row r="695" spans="1:2" ht="15.75" customHeight="1" x14ac:dyDescent="0.25">
      <c r="A695" s="6">
        <v>223003</v>
      </c>
      <c r="B695" s="6" t="s">
        <v>1035</v>
      </c>
    </row>
    <row r="696" spans="1:2" ht="15.75" customHeight="1" x14ac:dyDescent="0.25">
      <c r="A696" s="6">
        <v>223001</v>
      </c>
      <c r="B696" s="6" t="s">
        <v>1037</v>
      </c>
    </row>
    <row r="697" spans="1:2" ht="15.75" customHeight="1" x14ac:dyDescent="0.25">
      <c r="A697" s="6">
        <v>409040</v>
      </c>
      <c r="B697" s="6" t="s">
        <v>1844</v>
      </c>
    </row>
    <row r="698" spans="1:2" ht="15.75" customHeight="1" x14ac:dyDescent="0.25">
      <c r="A698" s="6">
        <v>208006</v>
      </c>
      <c r="B698" s="6" t="s">
        <v>1039</v>
      </c>
    </row>
    <row r="699" spans="1:2" ht="15.75" customHeight="1" x14ac:dyDescent="0.25">
      <c r="A699" s="6">
        <v>21004</v>
      </c>
      <c r="B699" s="6" t="s">
        <v>1040</v>
      </c>
    </row>
    <row r="700" spans="1:2" ht="15.75" customHeight="1" x14ac:dyDescent="0.25">
      <c r="A700" s="6">
        <v>121005</v>
      </c>
      <c r="B700" s="6" t="s">
        <v>1040</v>
      </c>
    </row>
    <row r="701" spans="1:2" ht="15.75" customHeight="1" x14ac:dyDescent="0.25">
      <c r="A701" s="6">
        <v>209011</v>
      </c>
      <c r="B701" s="6" t="s">
        <v>1040</v>
      </c>
    </row>
    <row r="702" spans="1:2" ht="15.75" customHeight="1" x14ac:dyDescent="0.25">
      <c r="A702" s="6">
        <v>220009</v>
      </c>
      <c r="B702" s="6" t="s">
        <v>1040</v>
      </c>
    </row>
    <row r="703" spans="1:2" ht="15.75" customHeight="1" x14ac:dyDescent="0.25">
      <c r="A703" s="6">
        <v>409041</v>
      </c>
      <c r="B703" s="6" t="s">
        <v>1040</v>
      </c>
    </row>
    <row r="704" spans="1:2" ht="15.75" customHeight="1" x14ac:dyDescent="0.25">
      <c r="A704" s="6">
        <v>206006</v>
      </c>
      <c r="B704" s="6" t="s">
        <v>1041</v>
      </c>
    </row>
    <row r="705" spans="1:2" ht="15.75" customHeight="1" x14ac:dyDescent="0.25">
      <c r="A705" s="6">
        <v>53007</v>
      </c>
      <c r="B705" s="6" t="s">
        <v>1042</v>
      </c>
    </row>
    <row r="706" spans="1:2" ht="15.75" customHeight="1" x14ac:dyDescent="0.25">
      <c r="A706" s="6">
        <v>53008</v>
      </c>
      <c r="B706" s="6" t="s">
        <v>1043</v>
      </c>
    </row>
    <row r="707" spans="1:2" ht="15.75" customHeight="1" x14ac:dyDescent="0.25">
      <c r="A707" s="6">
        <v>53005</v>
      </c>
      <c r="B707" s="6" t="s">
        <v>1044</v>
      </c>
    </row>
    <row r="708" spans="1:2" ht="15.75" customHeight="1" x14ac:dyDescent="0.25">
      <c r="A708" s="6">
        <v>53006</v>
      </c>
      <c r="B708" s="6" t="s">
        <v>1045</v>
      </c>
    </row>
    <row r="709" spans="1:2" ht="15.75" customHeight="1" x14ac:dyDescent="0.25">
      <c r="A709" s="6">
        <v>409021</v>
      </c>
      <c r="B709" s="6" t="s">
        <v>1046</v>
      </c>
    </row>
    <row r="710" spans="1:2" ht="15.75" customHeight="1" x14ac:dyDescent="0.25">
      <c r="A710" s="6">
        <v>409031</v>
      </c>
      <c r="B710" s="6" t="s">
        <v>1046</v>
      </c>
    </row>
    <row r="711" spans="1:2" ht="15.75" customHeight="1" x14ac:dyDescent="0.25">
      <c r="A711" s="6">
        <v>434012</v>
      </c>
      <c r="B711" s="6" t="s">
        <v>1047</v>
      </c>
    </row>
    <row r="712" spans="1:2" ht="15.75" customHeight="1" x14ac:dyDescent="0.25">
      <c r="A712" s="6">
        <v>434013</v>
      </c>
      <c r="B712" s="6" t="s">
        <v>1048</v>
      </c>
    </row>
    <row r="713" spans="1:2" ht="15.75" customHeight="1" x14ac:dyDescent="0.25">
      <c r="A713" s="6">
        <v>45020</v>
      </c>
      <c r="B713" s="6" t="s">
        <v>1049</v>
      </c>
    </row>
    <row r="714" spans="1:2" ht="15.75" customHeight="1" x14ac:dyDescent="0.25">
      <c r="A714" s="6">
        <v>45021</v>
      </c>
      <c r="B714" s="6" t="s">
        <v>1050</v>
      </c>
    </row>
    <row r="715" spans="1:2" ht="15.75" customHeight="1" x14ac:dyDescent="0.25">
      <c r="A715" s="6">
        <v>45019</v>
      </c>
      <c r="B715" s="6" t="s">
        <v>1051</v>
      </c>
    </row>
    <row r="716" spans="1:2" ht="15.75" customHeight="1" x14ac:dyDescent="0.25">
      <c r="A716" s="6">
        <v>210023</v>
      </c>
      <c r="B716" s="6" t="s">
        <v>1052</v>
      </c>
    </row>
    <row r="717" spans="1:2" ht="15.75" customHeight="1" x14ac:dyDescent="0.25">
      <c r="A717" s="6">
        <v>222018</v>
      </c>
      <c r="B717" s="6" t="s">
        <v>1052</v>
      </c>
    </row>
    <row r="718" spans="1:2" ht="15.75" customHeight="1" x14ac:dyDescent="0.25">
      <c r="A718" s="6">
        <v>211005</v>
      </c>
      <c r="B718" s="6" t="s">
        <v>1053</v>
      </c>
    </row>
    <row r="719" spans="1:2" ht="15.75" customHeight="1" x14ac:dyDescent="0.25">
      <c r="A719" s="6">
        <v>208018</v>
      </c>
      <c r="B719" s="6" t="s">
        <v>1054</v>
      </c>
    </row>
    <row r="720" spans="1:2" ht="15.75" customHeight="1" x14ac:dyDescent="0.25">
      <c r="A720" s="6">
        <v>409042</v>
      </c>
      <c r="B720" s="6" t="s">
        <v>1845</v>
      </c>
    </row>
    <row r="721" spans="1:2" ht="15.75" customHeight="1" x14ac:dyDescent="0.25">
      <c r="A721" s="6">
        <v>53069</v>
      </c>
      <c r="B721" s="6" t="s">
        <v>1055</v>
      </c>
    </row>
    <row r="722" spans="1:2" ht="15.75" customHeight="1" x14ac:dyDescent="0.25">
      <c r="A722" s="6">
        <v>53070</v>
      </c>
      <c r="B722" s="6" t="s">
        <v>1056</v>
      </c>
    </row>
    <row r="723" spans="1:2" ht="15.75" customHeight="1" x14ac:dyDescent="0.25">
      <c r="A723" s="6">
        <v>53067</v>
      </c>
      <c r="B723" s="6" t="s">
        <v>1057</v>
      </c>
    </row>
    <row r="724" spans="1:2" ht="15.75" customHeight="1" x14ac:dyDescent="0.25">
      <c r="A724" s="6">
        <v>53068</v>
      </c>
      <c r="B724" s="6" t="s">
        <v>1058</v>
      </c>
    </row>
    <row r="725" spans="1:2" ht="15.75" customHeight="1" x14ac:dyDescent="0.25">
      <c r="A725" s="6">
        <v>216007</v>
      </c>
      <c r="B725" s="6" t="s">
        <v>1059</v>
      </c>
    </row>
    <row r="726" spans="1:2" ht="15.75" customHeight="1" x14ac:dyDescent="0.25">
      <c r="A726" s="6">
        <v>49002</v>
      </c>
      <c r="B726" s="6" t="s">
        <v>1060</v>
      </c>
    </row>
    <row r="727" spans="1:2" ht="15.75" customHeight="1" x14ac:dyDescent="0.25">
      <c r="A727" s="6">
        <v>49007</v>
      </c>
      <c r="B727" s="6" t="s">
        <v>1061</v>
      </c>
    </row>
    <row r="728" spans="1:2" ht="15.75" customHeight="1" x14ac:dyDescent="0.25">
      <c r="A728" s="6">
        <v>49008</v>
      </c>
      <c r="B728" s="6" t="s">
        <v>1062</v>
      </c>
    </row>
    <row r="729" spans="1:2" ht="15.75" customHeight="1" x14ac:dyDescent="0.25">
      <c r="A729" s="6">
        <v>49006</v>
      </c>
      <c r="B729" s="6" t="s">
        <v>1063</v>
      </c>
    </row>
    <row r="730" spans="1:2" ht="15.75" customHeight="1" x14ac:dyDescent="0.25">
      <c r="A730" s="6">
        <v>49001</v>
      </c>
      <c r="B730" s="6" t="s">
        <v>1064</v>
      </c>
    </row>
    <row r="731" spans="1:2" ht="15.75" customHeight="1" x14ac:dyDescent="0.25">
      <c r="A731" s="6">
        <v>220011</v>
      </c>
      <c r="B731" s="6" t="s">
        <v>1065</v>
      </c>
    </row>
    <row r="732" spans="1:2" ht="15.75" customHeight="1" x14ac:dyDescent="0.25">
      <c r="A732" s="6">
        <v>409005</v>
      </c>
      <c r="B732" s="6" t="s">
        <v>1066</v>
      </c>
    </row>
    <row r="733" spans="1:2" ht="15.75" customHeight="1" x14ac:dyDescent="0.25">
      <c r="A733" s="6">
        <v>220010</v>
      </c>
      <c r="B733" s="6" t="s">
        <v>1067</v>
      </c>
    </row>
    <row r="734" spans="1:2" ht="15.75" customHeight="1" x14ac:dyDescent="0.25">
      <c r="A734" s="6">
        <v>53085</v>
      </c>
      <c r="B734" s="6" t="s">
        <v>1068</v>
      </c>
    </row>
    <row r="735" spans="1:2" ht="15.75" customHeight="1" x14ac:dyDescent="0.25">
      <c r="A735" s="6">
        <v>53086</v>
      </c>
      <c r="B735" s="6" t="s">
        <v>1069</v>
      </c>
    </row>
    <row r="736" spans="1:2" ht="15.75" customHeight="1" x14ac:dyDescent="0.25">
      <c r="A736" s="6">
        <v>53083</v>
      </c>
      <c r="B736" s="6" t="s">
        <v>1070</v>
      </c>
    </row>
    <row r="737" spans="1:2" ht="15.75" customHeight="1" x14ac:dyDescent="0.25">
      <c r="A737" s="6">
        <v>53084</v>
      </c>
      <c r="B737" s="6" t="s">
        <v>1071</v>
      </c>
    </row>
    <row r="738" spans="1:2" ht="15.75" customHeight="1" x14ac:dyDescent="0.25">
      <c r="A738" s="6">
        <v>338005</v>
      </c>
      <c r="B738" s="6" t="s">
        <v>1072</v>
      </c>
    </row>
    <row r="739" spans="1:2" ht="15.75" customHeight="1" x14ac:dyDescent="0.25">
      <c r="A739" s="6">
        <v>338006</v>
      </c>
      <c r="B739" s="6" t="s">
        <v>1073</v>
      </c>
    </row>
    <row r="740" spans="1:2" ht="15.75" customHeight="1" x14ac:dyDescent="0.25">
      <c r="A740" s="6">
        <v>309005</v>
      </c>
      <c r="B740" s="6" t="s">
        <v>1074</v>
      </c>
    </row>
    <row r="741" spans="1:2" ht="15.75" customHeight="1" x14ac:dyDescent="0.25">
      <c r="A741" s="6">
        <v>338019</v>
      </c>
      <c r="B741" s="6" t="s">
        <v>1075</v>
      </c>
    </row>
    <row r="742" spans="1:2" ht="15.75" customHeight="1" x14ac:dyDescent="0.25">
      <c r="A742" s="6">
        <v>338018</v>
      </c>
      <c r="B742" s="6" t="s">
        <v>1076</v>
      </c>
    </row>
    <row r="743" spans="1:2" ht="15.75" customHeight="1" x14ac:dyDescent="0.25">
      <c r="A743" s="6">
        <v>338020</v>
      </c>
      <c r="B743" s="6" t="s">
        <v>1077</v>
      </c>
    </row>
    <row r="744" spans="1:2" ht="15.75" customHeight="1" x14ac:dyDescent="0.25">
      <c r="A744" s="6">
        <v>338015</v>
      </c>
      <c r="B744" s="6" t="s">
        <v>1078</v>
      </c>
    </row>
    <row r="745" spans="1:2" ht="15.75" customHeight="1" x14ac:dyDescent="0.25">
      <c r="A745" s="6">
        <v>338016</v>
      </c>
      <c r="B745" s="6" t="s">
        <v>1079</v>
      </c>
    </row>
    <row r="746" spans="1:2" ht="15.75" customHeight="1" x14ac:dyDescent="0.25">
      <c r="A746" s="6">
        <v>338017</v>
      </c>
      <c r="B746" s="6" t="s">
        <v>1080</v>
      </c>
    </row>
    <row r="747" spans="1:2" ht="15.75" customHeight="1" x14ac:dyDescent="0.25">
      <c r="A747" s="6">
        <v>338021</v>
      </c>
      <c r="B747" s="6" t="s">
        <v>1081</v>
      </c>
    </row>
    <row r="748" spans="1:2" ht="15.75" customHeight="1" x14ac:dyDescent="0.25">
      <c r="A748" s="6">
        <v>1095</v>
      </c>
      <c r="B748" s="6" t="s">
        <v>1082</v>
      </c>
    </row>
    <row r="749" spans="1:2" ht="15.75" customHeight="1" x14ac:dyDescent="0.25">
      <c r="A749" s="6">
        <v>4001</v>
      </c>
      <c r="B749" s="6" t="s">
        <v>1083</v>
      </c>
    </row>
    <row r="750" spans="1:2" ht="15.75" customHeight="1" x14ac:dyDescent="0.25">
      <c r="A750" s="6">
        <v>1097</v>
      </c>
      <c r="B750" s="6" t="s">
        <v>1084</v>
      </c>
    </row>
    <row r="751" spans="1:2" ht="15.75" customHeight="1" x14ac:dyDescent="0.25">
      <c r="A751" s="6">
        <v>4004</v>
      </c>
      <c r="B751" s="6" t="s">
        <v>1085</v>
      </c>
    </row>
    <row r="752" spans="1:2" ht="15.75" customHeight="1" x14ac:dyDescent="0.25">
      <c r="A752" s="6">
        <v>1096</v>
      </c>
      <c r="B752" s="6" t="s">
        <v>1086</v>
      </c>
    </row>
    <row r="753" spans="1:2" ht="15.75" customHeight="1" x14ac:dyDescent="0.25">
      <c r="A753" s="6">
        <v>4002</v>
      </c>
      <c r="B753" s="6" t="s">
        <v>1087</v>
      </c>
    </row>
    <row r="754" spans="1:2" ht="15.75" customHeight="1" x14ac:dyDescent="0.25">
      <c r="A754" s="6">
        <v>4003</v>
      </c>
      <c r="B754" s="6" t="s">
        <v>1088</v>
      </c>
    </row>
    <row r="755" spans="1:2" ht="15.75" customHeight="1" x14ac:dyDescent="0.25">
      <c r="A755" s="6">
        <v>1006</v>
      </c>
      <c r="B755" s="6" t="s">
        <v>1089</v>
      </c>
    </row>
    <row r="756" spans="1:2" ht="15.75" customHeight="1" x14ac:dyDescent="0.25">
      <c r="A756" s="6">
        <v>338003</v>
      </c>
      <c r="B756" s="6" t="s">
        <v>1090</v>
      </c>
    </row>
    <row r="757" spans="1:2" ht="15.75" customHeight="1" x14ac:dyDescent="0.25">
      <c r="A757" s="6">
        <v>338001</v>
      </c>
      <c r="B757" s="6" t="s">
        <v>1091</v>
      </c>
    </row>
    <row r="758" spans="1:2" ht="15.75" customHeight="1" x14ac:dyDescent="0.25">
      <c r="A758" s="6">
        <v>209021</v>
      </c>
      <c r="B758" s="6" t="s">
        <v>1092</v>
      </c>
    </row>
    <row r="759" spans="1:2" ht="15.75" customHeight="1" x14ac:dyDescent="0.25">
      <c r="A759" s="6">
        <v>408038</v>
      </c>
      <c r="B759" s="6" t="s">
        <v>1093</v>
      </c>
    </row>
    <row r="760" spans="1:2" ht="15.75" customHeight="1" x14ac:dyDescent="0.25">
      <c r="A760" s="6">
        <v>32247</v>
      </c>
      <c r="B760" s="6" t="s">
        <v>1856</v>
      </c>
    </row>
    <row r="761" spans="1:2" ht="15.75" customHeight="1" x14ac:dyDescent="0.25">
      <c r="A761" s="6">
        <v>32236</v>
      </c>
      <c r="B761" s="6" t="s">
        <v>1685</v>
      </c>
    </row>
    <row r="762" spans="1:2" ht="15.75" customHeight="1" x14ac:dyDescent="0.25">
      <c r="A762" s="6">
        <v>32265</v>
      </c>
      <c r="B762" s="6" t="s">
        <v>2051</v>
      </c>
    </row>
    <row r="763" spans="1:2" ht="15.75" customHeight="1" x14ac:dyDescent="0.25">
      <c r="A763" s="6">
        <v>32273</v>
      </c>
      <c r="B763" s="6" t="s">
        <v>2120</v>
      </c>
    </row>
    <row r="764" spans="1:2" ht="15.75" customHeight="1" x14ac:dyDescent="0.25">
      <c r="A764" s="6">
        <v>32276</v>
      </c>
      <c r="B764" s="6" t="s">
        <v>2121</v>
      </c>
    </row>
    <row r="765" spans="1:2" ht="15.75" customHeight="1" x14ac:dyDescent="0.25">
      <c r="A765" s="6">
        <v>32248</v>
      </c>
      <c r="B765" s="6" t="s">
        <v>1857</v>
      </c>
    </row>
    <row r="766" spans="1:2" ht="15.75" customHeight="1" x14ac:dyDescent="0.25">
      <c r="A766" s="6">
        <v>409030</v>
      </c>
      <c r="B766" s="6" t="s">
        <v>1682</v>
      </c>
    </row>
    <row r="767" spans="1:2" ht="15.75" customHeight="1" x14ac:dyDescent="0.25">
      <c r="A767" s="6">
        <v>409010</v>
      </c>
      <c r="B767" s="6" t="s">
        <v>1094</v>
      </c>
    </row>
    <row r="768" spans="1:2" ht="15.75" customHeight="1" x14ac:dyDescent="0.25">
      <c r="A768" s="6">
        <v>408037</v>
      </c>
      <c r="B768" s="6" t="s">
        <v>1095</v>
      </c>
    </row>
    <row r="769" spans="1:2" ht="15.75" customHeight="1" x14ac:dyDescent="0.25">
      <c r="A769" s="6">
        <v>220038</v>
      </c>
      <c r="B769" s="6" t="s">
        <v>1096</v>
      </c>
    </row>
    <row r="770" spans="1:2" ht="15.75" customHeight="1" x14ac:dyDescent="0.25">
      <c r="A770" s="6">
        <v>409022</v>
      </c>
      <c r="B770" s="6" t="s">
        <v>1097</v>
      </c>
    </row>
    <row r="771" spans="1:2" ht="15.75" customHeight="1" x14ac:dyDescent="0.25">
      <c r="A771" s="6">
        <v>215001</v>
      </c>
      <c r="B771" s="6" t="s">
        <v>1098</v>
      </c>
    </row>
    <row r="772" spans="1:2" ht="15.75" customHeight="1" x14ac:dyDescent="0.25">
      <c r="A772" s="6">
        <v>460024</v>
      </c>
      <c r="B772" s="6" t="s">
        <v>1763</v>
      </c>
    </row>
    <row r="773" spans="1:2" ht="15.75" customHeight="1" x14ac:dyDescent="0.25">
      <c r="A773" s="6">
        <v>460071</v>
      </c>
      <c r="B773" s="6" t="s">
        <v>1875</v>
      </c>
    </row>
    <row r="774" spans="1:2" ht="15.75" customHeight="1" x14ac:dyDescent="0.25">
      <c r="A774" s="6">
        <v>460025</v>
      </c>
      <c r="B774" s="6" t="s">
        <v>1764</v>
      </c>
    </row>
    <row r="775" spans="1:2" ht="15.75" customHeight="1" x14ac:dyDescent="0.25">
      <c r="A775" s="6">
        <v>460039</v>
      </c>
      <c r="B775" s="6" t="s">
        <v>1778</v>
      </c>
    </row>
    <row r="776" spans="1:2" ht="15.75" customHeight="1" x14ac:dyDescent="0.25">
      <c r="A776" s="6">
        <v>460026</v>
      </c>
      <c r="B776" s="6" t="s">
        <v>1765</v>
      </c>
    </row>
    <row r="777" spans="1:2" ht="15.75" customHeight="1" x14ac:dyDescent="0.25">
      <c r="A777" s="6">
        <v>460040</v>
      </c>
      <c r="B777" s="6" t="s">
        <v>1779</v>
      </c>
    </row>
    <row r="778" spans="1:2" ht="15.75" customHeight="1" x14ac:dyDescent="0.25">
      <c r="A778" s="6">
        <v>460041</v>
      </c>
      <c r="B778" s="6" t="s">
        <v>1780</v>
      </c>
    </row>
    <row r="779" spans="1:2" ht="15.75" customHeight="1" x14ac:dyDescent="0.25">
      <c r="A779" s="6">
        <v>460042</v>
      </c>
      <c r="B779" s="6" t="s">
        <v>1781</v>
      </c>
    </row>
    <row r="780" spans="1:2" ht="15.75" customHeight="1" x14ac:dyDescent="0.25">
      <c r="A780" s="6">
        <v>460027</v>
      </c>
      <c r="B780" s="6" t="s">
        <v>1766</v>
      </c>
    </row>
    <row r="781" spans="1:2" ht="15.75" customHeight="1" x14ac:dyDescent="0.25">
      <c r="A781" s="6">
        <v>460028</v>
      </c>
      <c r="B781" s="6" t="s">
        <v>1767</v>
      </c>
    </row>
    <row r="782" spans="1:2" ht="15.75" customHeight="1" x14ac:dyDescent="0.25">
      <c r="A782" s="6">
        <v>460043</v>
      </c>
      <c r="B782" s="6" t="s">
        <v>1782</v>
      </c>
    </row>
    <row r="783" spans="1:2" ht="15.75" customHeight="1" x14ac:dyDescent="0.25">
      <c r="A783" s="6">
        <v>460057</v>
      </c>
      <c r="B783" s="6" t="s">
        <v>1796</v>
      </c>
    </row>
    <row r="784" spans="1:2" ht="15.75" customHeight="1" x14ac:dyDescent="0.25">
      <c r="A784" s="6">
        <v>460058</v>
      </c>
      <c r="B784" s="6" t="s">
        <v>1797</v>
      </c>
    </row>
    <row r="785" spans="1:2" ht="15.75" customHeight="1" x14ac:dyDescent="0.25">
      <c r="A785" s="6">
        <v>460044</v>
      </c>
      <c r="B785" s="6" t="s">
        <v>1783</v>
      </c>
    </row>
    <row r="786" spans="1:2" ht="15.75" customHeight="1" x14ac:dyDescent="0.25">
      <c r="A786" s="6">
        <v>460045</v>
      </c>
      <c r="B786" s="6" t="s">
        <v>1784</v>
      </c>
    </row>
    <row r="787" spans="1:2" ht="15.75" customHeight="1" x14ac:dyDescent="0.25">
      <c r="A787" s="6">
        <v>460029</v>
      </c>
      <c r="B787" s="6" t="s">
        <v>1768</v>
      </c>
    </row>
    <row r="788" spans="1:2" ht="15.75" customHeight="1" x14ac:dyDescent="0.25">
      <c r="A788" s="6">
        <v>460053</v>
      </c>
      <c r="B788" s="6" t="s">
        <v>1792</v>
      </c>
    </row>
    <row r="789" spans="1:2" ht="15.75" customHeight="1" x14ac:dyDescent="0.25">
      <c r="A789" s="6">
        <v>460054</v>
      </c>
      <c r="B789" s="6" t="s">
        <v>1793</v>
      </c>
    </row>
    <row r="790" spans="1:2" ht="15.75" customHeight="1" x14ac:dyDescent="0.25">
      <c r="A790" s="6">
        <v>460055</v>
      </c>
      <c r="B790" s="6" t="s">
        <v>1794</v>
      </c>
    </row>
    <row r="791" spans="1:2" ht="15.75" customHeight="1" x14ac:dyDescent="0.25">
      <c r="A791" s="6">
        <v>460052</v>
      </c>
      <c r="B791" s="6" t="s">
        <v>1791</v>
      </c>
    </row>
    <row r="792" spans="1:2" ht="15.75" customHeight="1" x14ac:dyDescent="0.25">
      <c r="A792" s="6">
        <v>460056</v>
      </c>
      <c r="B792" s="6" t="s">
        <v>1795</v>
      </c>
    </row>
    <row r="793" spans="1:2" ht="15.75" customHeight="1" x14ac:dyDescent="0.25">
      <c r="A793" s="6">
        <v>460030</v>
      </c>
      <c r="B793" s="6" t="s">
        <v>1769</v>
      </c>
    </row>
    <row r="794" spans="1:2" ht="15.75" customHeight="1" x14ac:dyDescent="0.25">
      <c r="A794" s="6">
        <v>460031</v>
      </c>
      <c r="B794" s="6" t="s">
        <v>1770</v>
      </c>
    </row>
    <row r="795" spans="1:2" ht="15.75" customHeight="1" x14ac:dyDescent="0.25">
      <c r="A795" s="6">
        <v>460032</v>
      </c>
      <c r="B795" s="6" t="s">
        <v>1771</v>
      </c>
    </row>
    <row r="796" spans="1:2" ht="15.75" customHeight="1" x14ac:dyDescent="0.25">
      <c r="A796" s="6">
        <v>460051</v>
      </c>
      <c r="B796" s="6" t="s">
        <v>1790</v>
      </c>
    </row>
    <row r="797" spans="1:2" ht="15.75" customHeight="1" x14ac:dyDescent="0.25">
      <c r="A797" s="6">
        <v>460046</v>
      </c>
      <c r="B797" s="6" t="s">
        <v>1785</v>
      </c>
    </row>
    <row r="798" spans="1:2" ht="15.75" customHeight="1" x14ac:dyDescent="0.25">
      <c r="A798" s="6">
        <v>460049</v>
      </c>
      <c r="B798" s="6" t="s">
        <v>1788</v>
      </c>
    </row>
    <row r="799" spans="1:2" ht="15.75" customHeight="1" x14ac:dyDescent="0.25">
      <c r="A799" s="6">
        <v>460033</v>
      </c>
      <c r="B799" s="6" t="s">
        <v>1772</v>
      </c>
    </row>
    <row r="800" spans="1:2" ht="15.75" customHeight="1" x14ac:dyDescent="0.25">
      <c r="A800" s="6">
        <v>460034</v>
      </c>
      <c r="B800" s="6" t="s">
        <v>1773</v>
      </c>
    </row>
    <row r="801" spans="1:2" ht="15.75" customHeight="1" x14ac:dyDescent="0.25">
      <c r="A801" s="6">
        <v>460035</v>
      </c>
      <c r="B801" s="6" t="s">
        <v>1774</v>
      </c>
    </row>
    <row r="802" spans="1:2" ht="15.75" customHeight="1" x14ac:dyDescent="0.25">
      <c r="A802" s="6">
        <v>460047</v>
      </c>
      <c r="B802" s="6" t="s">
        <v>1786</v>
      </c>
    </row>
    <row r="803" spans="1:2" ht="15.75" customHeight="1" x14ac:dyDescent="0.25">
      <c r="A803" s="6">
        <v>460048</v>
      </c>
      <c r="B803" s="6" t="s">
        <v>1787</v>
      </c>
    </row>
    <row r="804" spans="1:2" ht="15.75" customHeight="1" x14ac:dyDescent="0.25">
      <c r="A804" s="6">
        <v>460038</v>
      </c>
      <c r="B804" s="6" t="s">
        <v>1777</v>
      </c>
    </row>
    <row r="805" spans="1:2" ht="15.75" customHeight="1" x14ac:dyDescent="0.25">
      <c r="A805" s="6">
        <v>460036</v>
      </c>
      <c r="B805" s="6" t="s">
        <v>1775</v>
      </c>
    </row>
    <row r="806" spans="1:2" ht="15.75" customHeight="1" x14ac:dyDescent="0.25">
      <c r="A806" s="6">
        <v>460050</v>
      </c>
      <c r="B806" s="6" t="s">
        <v>1789</v>
      </c>
    </row>
    <row r="807" spans="1:2" ht="15.75" customHeight="1" x14ac:dyDescent="0.25">
      <c r="A807" s="6">
        <v>460037</v>
      </c>
      <c r="B807" s="6" t="s">
        <v>1776</v>
      </c>
    </row>
    <row r="808" spans="1:2" ht="15.75" customHeight="1" x14ac:dyDescent="0.25">
      <c r="A808" s="6">
        <v>220012</v>
      </c>
      <c r="B808" s="6" t="s">
        <v>1099</v>
      </c>
    </row>
    <row r="809" spans="1:2" ht="15.75" customHeight="1" x14ac:dyDescent="0.25">
      <c r="A809" s="6">
        <v>235014</v>
      </c>
      <c r="B809" s="6" t="s">
        <v>1646</v>
      </c>
    </row>
    <row r="810" spans="1:2" ht="15.75" customHeight="1" x14ac:dyDescent="0.25">
      <c r="A810" s="6">
        <v>409025</v>
      </c>
      <c r="B810" s="6" t="s">
        <v>1100</v>
      </c>
    </row>
    <row r="811" spans="1:2" ht="15.75" customHeight="1" x14ac:dyDescent="0.25">
      <c r="A811" s="6">
        <v>456004</v>
      </c>
      <c r="B811" s="6" t="s">
        <v>1670</v>
      </c>
    </row>
    <row r="812" spans="1:2" ht="15.75" customHeight="1" x14ac:dyDescent="0.25">
      <c r="A812" s="6">
        <v>462003</v>
      </c>
      <c r="B812" s="6" t="s">
        <v>1820</v>
      </c>
    </row>
    <row r="813" spans="1:2" ht="15.75" customHeight="1" x14ac:dyDescent="0.25">
      <c r="A813" s="6">
        <v>462010</v>
      </c>
      <c r="B813" s="6" t="s">
        <v>1827</v>
      </c>
    </row>
    <row r="814" spans="1:2" ht="15.75" customHeight="1" x14ac:dyDescent="0.25">
      <c r="A814" s="6">
        <v>53089</v>
      </c>
      <c r="B814" s="6" t="s">
        <v>1101</v>
      </c>
    </row>
    <row r="815" spans="1:2" ht="15.75" customHeight="1" x14ac:dyDescent="0.25">
      <c r="A815" s="6">
        <v>53090</v>
      </c>
      <c r="B815" s="6" t="s">
        <v>1102</v>
      </c>
    </row>
    <row r="816" spans="1:2" ht="15.75" customHeight="1" x14ac:dyDescent="0.25">
      <c r="A816" s="6">
        <v>53087</v>
      </c>
      <c r="B816" s="6" t="s">
        <v>1103</v>
      </c>
    </row>
    <row r="817" spans="1:2" ht="15.75" customHeight="1" x14ac:dyDescent="0.25">
      <c r="A817" s="6">
        <v>53109</v>
      </c>
      <c r="B817" s="6" t="s">
        <v>1661</v>
      </c>
    </row>
    <row r="818" spans="1:2" ht="15.75" customHeight="1" x14ac:dyDescent="0.25">
      <c r="A818" s="6">
        <v>66002</v>
      </c>
      <c r="B818" s="6" t="s">
        <v>1661</v>
      </c>
    </row>
    <row r="819" spans="1:2" ht="15.75" customHeight="1" x14ac:dyDescent="0.25">
      <c r="A819" s="6">
        <v>67002</v>
      </c>
      <c r="B819" s="6" t="s">
        <v>1661</v>
      </c>
    </row>
    <row r="820" spans="1:2" ht="15.75" customHeight="1" x14ac:dyDescent="0.25">
      <c r="A820" s="6">
        <v>66019</v>
      </c>
      <c r="B820" s="6" t="s">
        <v>2122</v>
      </c>
    </row>
    <row r="821" spans="1:2" ht="15.75" customHeight="1" x14ac:dyDescent="0.25">
      <c r="A821" s="6">
        <v>53110</v>
      </c>
      <c r="B821" s="6" t="s">
        <v>1662</v>
      </c>
    </row>
    <row r="822" spans="1:2" ht="15.75" customHeight="1" x14ac:dyDescent="0.25">
      <c r="A822" s="6">
        <v>66004</v>
      </c>
      <c r="B822" s="6" t="s">
        <v>1662</v>
      </c>
    </row>
    <row r="823" spans="1:2" ht="15.75" customHeight="1" x14ac:dyDescent="0.25">
      <c r="A823" s="6">
        <v>67004</v>
      </c>
      <c r="B823" s="6" t="s">
        <v>1662</v>
      </c>
    </row>
    <row r="824" spans="1:2" ht="15.75" customHeight="1" x14ac:dyDescent="0.25">
      <c r="A824" s="6">
        <v>66018</v>
      </c>
      <c r="B824" s="6" t="s">
        <v>2123</v>
      </c>
    </row>
    <row r="825" spans="1:2" ht="15.75" customHeight="1" x14ac:dyDescent="0.25">
      <c r="A825" s="6">
        <v>53107</v>
      </c>
      <c r="B825" s="6" t="s">
        <v>1659</v>
      </c>
    </row>
    <row r="826" spans="1:2" ht="15.75" customHeight="1" x14ac:dyDescent="0.25">
      <c r="A826" s="6">
        <v>66001</v>
      </c>
      <c r="B826" s="6" t="s">
        <v>1659</v>
      </c>
    </row>
    <row r="827" spans="1:2" ht="15.75" customHeight="1" x14ac:dyDescent="0.25">
      <c r="A827" s="6">
        <v>67001</v>
      </c>
      <c r="B827" s="6" t="s">
        <v>1659</v>
      </c>
    </row>
    <row r="828" spans="1:2" ht="15.75" customHeight="1" x14ac:dyDescent="0.25">
      <c r="A828" s="6">
        <v>53108</v>
      </c>
      <c r="B828" s="6" t="s">
        <v>1660</v>
      </c>
    </row>
    <row r="829" spans="1:2" ht="15.75" customHeight="1" x14ac:dyDescent="0.25">
      <c r="A829" s="6">
        <v>66003</v>
      </c>
      <c r="B829" s="6" t="s">
        <v>1660</v>
      </c>
    </row>
    <row r="830" spans="1:2" ht="15.75" customHeight="1" x14ac:dyDescent="0.25">
      <c r="A830" s="6">
        <v>67003</v>
      </c>
      <c r="B830" s="6" t="s">
        <v>1660</v>
      </c>
    </row>
    <row r="831" spans="1:2" ht="15.75" customHeight="1" x14ac:dyDescent="0.25">
      <c r="A831" s="6">
        <v>53088</v>
      </c>
      <c r="B831" s="6" t="s">
        <v>1104</v>
      </c>
    </row>
    <row r="832" spans="1:2" ht="15.75" customHeight="1" x14ac:dyDescent="0.25">
      <c r="A832" s="6">
        <v>43031</v>
      </c>
      <c r="B832" s="6" t="s">
        <v>2124</v>
      </c>
    </row>
    <row r="833" spans="1:2" ht="15.75" customHeight="1" x14ac:dyDescent="0.25">
      <c r="A833" s="6">
        <v>43018</v>
      </c>
      <c r="B833" s="6" t="s">
        <v>1657</v>
      </c>
    </row>
    <row r="834" spans="1:2" ht="15.75" customHeight="1" x14ac:dyDescent="0.25">
      <c r="A834" s="6">
        <v>43025</v>
      </c>
      <c r="B834" s="6" t="s">
        <v>1866</v>
      </c>
    </row>
    <row r="835" spans="1:2" ht="15.75" customHeight="1" x14ac:dyDescent="0.25">
      <c r="A835" s="6">
        <v>43030</v>
      </c>
      <c r="B835" s="6" t="s">
        <v>2057</v>
      </c>
    </row>
    <row r="836" spans="1:2" ht="15.75" customHeight="1" x14ac:dyDescent="0.25">
      <c r="A836" s="6">
        <v>409011</v>
      </c>
      <c r="B836" s="6" t="s">
        <v>1105</v>
      </c>
    </row>
    <row r="837" spans="1:2" ht="15.75" customHeight="1" x14ac:dyDescent="0.25">
      <c r="A837" s="6">
        <v>32063</v>
      </c>
      <c r="B837" s="6" t="s">
        <v>1106</v>
      </c>
    </row>
    <row r="838" spans="1:2" ht="15.75" customHeight="1" x14ac:dyDescent="0.25">
      <c r="A838" s="6">
        <v>409006</v>
      </c>
      <c r="B838" s="6" t="s">
        <v>1107</v>
      </c>
    </row>
    <row r="839" spans="1:2" ht="15.75" customHeight="1" x14ac:dyDescent="0.25">
      <c r="A839" s="6">
        <v>462007</v>
      </c>
      <c r="B839" s="6" t="s">
        <v>1824</v>
      </c>
    </row>
    <row r="840" spans="1:2" ht="15.75" customHeight="1" x14ac:dyDescent="0.25">
      <c r="A840" s="6">
        <v>462008</v>
      </c>
      <c r="B840" s="6" t="s">
        <v>1825</v>
      </c>
    </row>
    <row r="841" spans="1:2" ht="15.75" customHeight="1" x14ac:dyDescent="0.25">
      <c r="A841" s="6">
        <v>462009</v>
      </c>
      <c r="B841" s="6" t="s">
        <v>1826</v>
      </c>
    </row>
    <row r="842" spans="1:2" ht="15.75" customHeight="1" x14ac:dyDescent="0.25">
      <c r="A842" s="6">
        <v>206003</v>
      </c>
      <c r="B842" s="6" t="s">
        <v>1108</v>
      </c>
    </row>
    <row r="843" spans="1:2" ht="15.75" customHeight="1" x14ac:dyDescent="0.25">
      <c r="A843" s="6">
        <v>45041</v>
      </c>
      <c r="B843" s="6" t="s">
        <v>1109</v>
      </c>
    </row>
    <row r="844" spans="1:2" ht="15.75" customHeight="1" x14ac:dyDescent="0.25">
      <c r="A844" s="6">
        <v>45042</v>
      </c>
      <c r="B844" s="6" t="s">
        <v>1110</v>
      </c>
    </row>
    <row r="845" spans="1:2" ht="15.75" customHeight="1" x14ac:dyDescent="0.25">
      <c r="A845" s="6">
        <v>45064</v>
      </c>
      <c r="B845" s="6" t="s">
        <v>1111</v>
      </c>
    </row>
    <row r="846" spans="1:2" ht="15.75" customHeight="1" x14ac:dyDescent="0.25">
      <c r="A846" s="6">
        <v>45043</v>
      </c>
      <c r="B846" s="6" t="s">
        <v>1112</v>
      </c>
    </row>
    <row r="847" spans="1:2" ht="15.75" customHeight="1" x14ac:dyDescent="0.25">
      <c r="A847" s="6">
        <v>45012</v>
      </c>
      <c r="B847" s="6" t="s">
        <v>1113</v>
      </c>
    </row>
    <row r="848" spans="1:2" ht="15.75" customHeight="1" x14ac:dyDescent="0.25">
      <c r="A848" s="6">
        <v>338007</v>
      </c>
      <c r="B848" s="6" t="s">
        <v>1114</v>
      </c>
    </row>
    <row r="849" spans="1:2" ht="15.75" customHeight="1" x14ac:dyDescent="0.25">
      <c r="A849" s="6">
        <v>216006</v>
      </c>
      <c r="B849" s="6" t="s">
        <v>1115</v>
      </c>
    </row>
    <row r="850" spans="1:2" ht="15.75" customHeight="1" x14ac:dyDescent="0.25">
      <c r="A850" s="6">
        <v>53057</v>
      </c>
      <c r="B850" s="6" t="s">
        <v>1116</v>
      </c>
    </row>
    <row r="851" spans="1:2" ht="15.75" customHeight="1" x14ac:dyDescent="0.25">
      <c r="A851" s="6">
        <v>53058</v>
      </c>
      <c r="B851" s="6" t="s">
        <v>1117</v>
      </c>
    </row>
    <row r="852" spans="1:2" ht="15.75" customHeight="1" x14ac:dyDescent="0.25">
      <c r="A852" s="6">
        <v>53055</v>
      </c>
      <c r="B852" s="6" t="s">
        <v>1118</v>
      </c>
    </row>
    <row r="853" spans="1:2" ht="15.75" customHeight="1" x14ac:dyDescent="0.25">
      <c r="A853" s="6">
        <v>53056</v>
      </c>
      <c r="B853" s="6" t="s">
        <v>1119</v>
      </c>
    </row>
    <row r="854" spans="1:2" ht="15.75" customHeight="1" x14ac:dyDescent="0.25">
      <c r="A854" s="6">
        <v>1001</v>
      </c>
      <c r="B854" s="6" t="s">
        <v>1120</v>
      </c>
    </row>
    <row r="855" spans="1:2" ht="15.75" customHeight="1" x14ac:dyDescent="0.25">
      <c r="A855" s="6">
        <v>1197</v>
      </c>
      <c r="B855" s="6" t="s">
        <v>1620</v>
      </c>
    </row>
    <row r="856" spans="1:2" ht="15.75" customHeight="1" x14ac:dyDescent="0.25">
      <c r="A856" s="6">
        <v>1196</v>
      </c>
      <c r="B856" s="6" t="s">
        <v>1619</v>
      </c>
    </row>
    <row r="857" spans="1:2" ht="15.75" customHeight="1" x14ac:dyDescent="0.25">
      <c r="A857" s="6">
        <v>1198</v>
      </c>
      <c r="B857" s="6" t="s">
        <v>1621</v>
      </c>
    </row>
    <row r="858" spans="1:2" ht="15.75" customHeight="1" x14ac:dyDescent="0.25">
      <c r="A858" s="6">
        <v>1176</v>
      </c>
      <c r="B858" s="6" t="s">
        <v>1121</v>
      </c>
    </row>
    <row r="859" spans="1:2" ht="15.75" customHeight="1" x14ac:dyDescent="0.25">
      <c r="A859" s="6">
        <v>1152</v>
      </c>
      <c r="B859" s="6" t="s">
        <v>1122</v>
      </c>
    </row>
    <row r="860" spans="1:2" ht="15.75" customHeight="1" x14ac:dyDescent="0.25">
      <c r="A860" s="6">
        <v>1151</v>
      </c>
      <c r="B860" s="6" t="s">
        <v>1123</v>
      </c>
    </row>
    <row r="861" spans="1:2" ht="15.75" customHeight="1" x14ac:dyDescent="0.25">
      <c r="A861" s="6">
        <v>1153</v>
      </c>
      <c r="B861" s="6" t="s">
        <v>1124</v>
      </c>
    </row>
    <row r="862" spans="1:2" ht="15.75" customHeight="1" x14ac:dyDescent="0.25">
      <c r="A862" s="6">
        <v>1154</v>
      </c>
      <c r="B862" s="6" t="s">
        <v>1125</v>
      </c>
    </row>
    <row r="863" spans="1:2" ht="15.75" customHeight="1" x14ac:dyDescent="0.25">
      <c r="A863" s="6">
        <v>1182</v>
      </c>
      <c r="B863" s="6" t="s">
        <v>1126</v>
      </c>
    </row>
    <row r="864" spans="1:2" ht="15.75" customHeight="1" x14ac:dyDescent="0.25">
      <c r="A864" s="6">
        <v>1181</v>
      </c>
      <c r="B864" s="6" t="s">
        <v>1127</v>
      </c>
    </row>
    <row r="865" spans="1:2" ht="15.75" customHeight="1" x14ac:dyDescent="0.25">
      <c r="A865" s="6">
        <v>1191</v>
      </c>
      <c r="B865" s="6" t="s">
        <v>1128</v>
      </c>
    </row>
    <row r="866" spans="1:2" ht="15.75" customHeight="1" x14ac:dyDescent="0.25">
      <c r="A866" s="6">
        <v>1078</v>
      </c>
      <c r="B866" s="6" t="s">
        <v>1129</v>
      </c>
    </row>
    <row r="867" spans="1:2" ht="15.75" customHeight="1" x14ac:dyDescent="0.25">
      <c r="A867" s="6">
        <v>1086</v>
      </c>
      <c r="B867" s="6" t="s">
        <v>1130</v>
      </c>
    </row>
    <row r="868" spans="1:2" ht="15.75" customHeight="1" x14ac:dyDescent="0.25">
      <c r="A868" s="6">
        <v>1205</v>
      </c>
      <c r="B868" s="6" t="s">
        <v>1677</v>
      </c>
    </row>
    <row r="869" spans="1:2" ht="15.75" customHeight="1" x14ac:dyDescent="0.25">
      <c r="A869" s="6">
        <v>1165</v>
      </c>
      <c r="B869" s="6" t="s">
        <v>1131</v>
      </c>
    </row>
    <row r="870" spans="1:2" ht="15.75" customHeight="1" x14ac:dyDescent="0.25">
      <c r="A870" s="6">
        <v>1187</v>
      </c>
      <c r="B870" s="6" t="s">
        <v>1132</v>
      </c>
    </row>
    <row r="871" spans="1:2" ht="15.75" customHeight="1" x14ac:dyDescent="0.25">
      <c r="A871" s="6">
        <v>1168</v>
      </c>
      <c r="B871" s="6" t="s">
        <v>1133</v>
      </c>
    </row>
    <row r="872" spans="1:2" ht="15.75" customHeight="1" x14ac:dyDescent="0.25">
      <c r="A872" s="6">
        <v>1178</v>
      </c>
      <c r="B872" s="6" t="s">
        <v>1134</v>
      </c>
    </row>
    <row r="873" spans="1:2" ht="15.75" customHeight="1" x14ac:dyDescent="0.25">
      <c r="A873" s="6">
        <v>1183</v>
      </c>
      <c r="B873" s="6" t="s">
        <v>1135</v>
      </c>
    </row>
    <row r="874" spans="1:2" ht="15.75" customHeight="1" x14ac:dyDescent="0.25">
      <c r="A874" s="6">
        <v>1177</v>
      </c>
      <c r="B874" s="6" t="s">
        <v>1136</v>
      </c>
    </row>
    <row r="875" spans="1:2" ht="15.75" customHeight="1" x14ac:dyDescent="0.25">
      <c r="A875" s="6">
        <v>1190</v>
      </c>
      <c r="B875" s="6" t="s">
        <v>1137</v>
      </c>
    </row>
    <row r="876" spans="1:2" ht="15.75" customHeight="1" x14ac:dyDescent="0.25">
      <c r="A876" s="6">
        <v>1159</v>
      </c>
      <c r="B876" s="6" t="s">
        <v>1138</v>
      </c>
    </row>
    <row r="877" spans="1:2" ht="15.75" customHeight="1" x14ac:dyDescent="0.25">
      <c r="A877" s="6">
        <v>1079</v>
      </c>
      <c r="B877" s="6" t="s">
        <v>1139</v>
      </c>
    </row>
    <row r="878" spans="1:2" ht="15.75" customHeight="1" x14ac:dyDescent="0.25">
      <c r="A878" s="6">
        <v>1087</v>
      </c>
      <c r="B878" s="6" t="s">
        <v>1140</v>
      </c>
    </row>
    <row r="879" spans="1:2" ht="15.75" customHeight="1" x14ac:dyDescent="0.25">
      <c r="A879" s="6">
        <v>1164</v>
      </c>
      <c r="B879" s="6" t="s">
        <v>1141</v>
      </c>
    </row>
    <row r="880" spans="1:2" ht="15.75" customHeight="1" x14ac:dyDescent="0.25">
      <c r="A880" s="6">
        <v>1195</v>
      </c>
      <c r="B880" s="6" t="s">
        <v>1618</v>
      </c>
    </row>
    <row r="881" spans="1:2" ht="15.75" customHeight="1" x14ac:dyDescent="0.25">
      <c r="A881" s="6">
        <v>1169</v>
      </c>
      <c r="B881" s="6" t="s">
        <v>1142</v>
      </c>
    </row>
    <row r="882" spans="1:2" ht="15.75" customHeight="1" x14ac:dyDescent="0.25">
      <c r="A882" s="6">
        <v>1175</v>
      </c>
      <c r="B882" s="6" t="s">
        <v>1143</v>
      </c>
    </row>
    <row r="883" spans="1:2" ht="15.75" customHeight="1" x14ac:dyDescent="0.25">
      <c r="A883" s="6">
        <v>1184</v>
      </c>
      <c r="B883" s="6" t="s">
        <v>1144</v>
      </c>
    </row>
    <row r="884" spans="1:2" ht="15.75" customHeight="1" x14ac:dyDescent="0.25">
      <c r="A884" s="6">
        <v>1189</v>
      </c>
      <c r="B884" s="6" t="s">
        <v>1145</v>
      </c>
    </row>
    <row r="885" spans="1:2" ht="15.75" customHeight="1" x14ac:dyDescent="0.25">
      <c r="A885" s="6">
        <v>1212</v>
      </c>
      <c r="B885" s="6" t="s">
        <v>1840</v>
      </c>
    </row>
    <row r="886" spans="1:2" ht="15.75" customHeight="1" x14ac:dyDescent="0.25">
      <c r="A886" s="6">
        <v>1161</v>
      </c>
      <c r="B886" s="6" t="s">
        <v>1146</v>
      </c>
    </row>
    <row r="887" spans="1:2" ht="15.75" customHeight="1" x14ac:dyDescent="0.25">
      <c r="A887" s="6">
        <v>1207</v>
      </c>
      <c r="B887" s="6" t="s">
        <v>1679</v>
      </c>
    </row>
    <row r="888" spans="1:2" ht="15.75" customHeight="1" x14ac:dyDescent="0.25">
      <c r="A888" s="6">
        <v>1157</v>
      </c>
      <c r="B888" s="6" t="s">
        <v>1147</v>
      </c>
    </row>
    <row r="889" spans="1:2" ht="15.75" customHeight="1" x14ac:dyDescent="0.25">
      <c r="A889" s="6">
        <v>1204</v>
      </c>
      <c r="B889" s="6" t="s">
        <v>1676</v>
      </c>
    </row>
    <row r="890" spans="1:2" ht="15.75" customHeight="1" x14ac:dyDescent="0.25">
      <c r="A890" s="6">
        <v>1193</v>
      </c>
      <c r="B890" s="6" t="s">
        <v>1616</v>
      </c>
    </row>
    <row r="891" spans="1:2" ht="15.75" customHeight="1" x14ac:dyDescent="0.25">
      <c r="A891" s="6">
        <v>1208</v>
      </c>
      <c r="B891" s="6" t="s">
        <v>1836</v>
      </c>
    </row>
    <row r="892" spans="1:2" ht="15.75" customHeight="1" x14ac:dyDescent="0.25">
      <c r="A892" s="6">
        <v>45037</v>
      </c>
      <c r="B892" s="6" t="s">
        <v>1148</v>
      </c>
    </row>
    <row r="893" spans="1:2" ht="15.75" customHeight="1" x14ac:dyDescent="0.25">
      <c r="A893" s="6">
        <v>45038</v>
      </c>
      <c r="B893" s="6" t="s">
        <v>1149</v>
      </c>
    </row>
    <row r="894" spans="1:2" ht="15.75" customHeight="1" x14ac:dyDescent="0.25">
      <c r="A894" s="6">
        <v>45036</v>
      </c>
      <c r="B894" s="6" t="s">
        <v>1150</v>
      </c>
    </row>
    <row r="895" spans="1:2" ht="15.75" customHeight="1" x14ac:dyDescent="0.25">
      <c r="A895" s="6">
        <v>710029</v>
      </c>
      <c r="B895" s="6" t="s">
        <v>2125</v>
      </c>
    </row>
    <row r="896" spans="1:2" ht="15.75" customHeight="1" x14ac:dyDescent="0.25">
      <c r="A896" s="6">
        <v>710026</v>
      </c>
      <c r="B896" s="6" t="s">
        <v>2126</v>
      </c>
    </row>
    <row r="897" spans="1:2" ht="15.75" customHeight="1" x14ac:dyDescent="0.25">
      <c r="A897" s="6">
        <v>63023</v>
      </c>
      <c r="B897" s="6" t="s">
        <v>1905</v>
      </c>
    </row>
    <row r="898" spans="1:2" ht="15.75" customHeight="1" x14ac:dyDescent="0.25">
      <c r="A898" s="6">
        <v>47023</v>
      </c>
      <c r="B898" s="6" t="s">
        <v>1700</v>
      </c>
    </row>
    <row r="899" spans="1:2" ht="15.75" customHeight="1" x14ac:dyDescent="0.25">
      <c r="A899" s="6">
        <v>63022</v>
      </c>
      <c r="B899" s="6" t="s">
        <v>1904</v>
      </c>
    </row>
    <row r="900" spans="1:2" ht="15.75" customHeight="1" x14ac:dyDescent="0.25">
      <c r="A900" s="6">
        <v>47022</v>
      </c>
      <c r="B900" s="6" t="s">
        <v>1699</v>
      </c>
    </row>
    <row r="901" spans="1:2" ht="15.75" customHeight="1" x14ac:dyDescent="0.25">
      <c r="A901" s="6">
        <v>63024</v>
      </c>
      <c r="B901" s="6" t="s">
        <v>1906</v>
      </c>
    </row>
    <row r="902" spans="1:2" ht="15.75" customHeight="1" x14ac:dyDescent="0.25">
      <c r="A902" s="6">
        <v>47024</v>
      </c>
      <c r="B902" s="6" t="s">
        <v>1701</v>
      </c>
    </row>
    <row r="903" spans="1:2" ht="15.75" customHeight="1" x14ac:dyDescent="0.25">
      <c r="A903" s="6">
        <v>710028</v>
      </c>
      <c r="B903" s="6" t="s">
        <v>2127</v>
      </c>
    </row>
    <row r="904" spans="1:2" ht="15.75" customHeight="1" x14ac:dyDescent="0.25">
      <c r="A904" s="6">
        <v>710025</v>
      </c>
      <c r="B904" s="6" t="s">
        <v>2128</v>
      </c>
    </row>
    <row r="905" spans="1:2" ht="15.75" customHeight="1" x14ac:dyDescent="0.25">
      <c r="A905" s="6">
        <v>710030</v>
      </c>
      <c r="B905" s="6" t="s">
        <v>2129</v>
      </c>
    </row>
    <row r="906" spans="1:2" ht="15.75" customHeight="1" x14ac:dyDescent="0.25">
      <c r="A906" s="6">
        <v>710027</v>
      </c>
      <c r="B906" s="6" t="s">
        <v>2130</v>
      </c>
    </row>
    <row r="907" spans="1:2" ht="15.75" customHeight="1" x14ac:dyDescent="0.25">
      <c r="A907" s="6">
        <v>710023</v>
      </c>
      <c r="B907" s="6" t="s">
        <v>2131</v>
      </c>
    </row>
    <row r="908" spans="1:2" ht="15.75" customHeight="1" x14ac:dyDescent="0.25">
      <c r="A908" s="6">
        <v>710020</v>
      </c>
      <c r="B908" s="6" t="s">
        <v>2132</v>
      </c>
    </row>
    <row r="909" spans="1:2" ht="15.75" customHeight="1" x14ac:dyDescent="0.25">
      <c r="A909" s="6">
        <v>63020</v>
      </c>
      <c r="B909" s="6" t="s">
        <v>1902</v>
      </c>
    </row>
    <row r="910" spans="1:2" ht="15.75" customHeight="1" x14ac:dyDescent="0.25">
      <c r="A910" s="6">
        <v>47020</v>
      </c>
      <c r="B910" s="6" t="s">
        <v>1697</v>
      </c>
    </row>
    <row r="911" spans="1:2" ht="15.75" customHeight="1" x14ac:dyDescent="0.25">
      <c r="A911" s="6">
        <v>63019</v>
      </c>
      <c r="B911" s="6" t="s">
        <v>1901</v>
      </c>
    </row>
    <row r="912" spans="1:2" ht="15.75" customHeight="1" x14ac:dyDescent="0.25">
      <c r="A912" s="6">
        <v>47019</v>
      </c>
      <c r="B912" s="6" t="s">
        <v>1696</v>
      </c>
    </row>
    <row r="913" spans="1:2" ht="15.75" customHeight="1" x14ac:dyDescent="0.25">
      <c r="A913" s="6">
        <v>63021</v>
      </c>
      <c r="B913" s="6" t="s">
        <v>1903</v>
      </c>
    </row>
    <row r="914" spans="1:2" ht="15.75" customHeight="1" x14ac:dyDescent="0.25">
      <c r="A914" s="6">
        <v>47021</v>
      </c>
      <c r="B914" s="6" t="s">
        <v>1698</v>
      </c>
    </row>
    <row r="915" spans="1:2" ht="15.75" customHeight="1" x14ac:dyDescent="0.25">
      <c r="A915" s="6">
        <v>710022</v>
      </c>
      <c r="B915" s="6" t="s">
        <v>2133</v>
      </c>
    </row>
    <row r="916" spans="1:2" ht="15.75" customHeight="1" x14ac:dyDescent="0.25">
      <c r="A916" s="6">
        <v>710019</v>
      </c>
      <c r="B916" s="6" t="s">
        <v>2134</v>
      </c>
    </row>
    <row r="917" spans="1:2" ht="15.75" customHeight="1" x14ac:dyDescent="0.25">
      <c r="A917" s="6">
        <v>710024</v>
      </c>
      <c r="B917" s="6" t="s">
        <v>2135</v>
      </c>
    </row>
    <row r="918" spans="1:2" ht="15.75" customHeight="1" x14ac:dyDescent="0.25">
      <c r="A918" s="6">
        <v>710021</v>
      </c>
      <c r="B918" s="6" t="s">
        <v>2136</v>
      </c>
    </row>
    <row r="919" spans="1:2" ht="15.75" customHeight="1" x14ac:dyDescent="0.25">
      <c r="A919" s="6">
        <v>314041</v>
      </c>
      <c r="B919" s="6" t="s">
        <v>1151</v>
      </c>
    </row>
    <row r="920" spans="1:2" ht="15.75" customHeight="1" x14ac:dyDescent="0.25">
      <c r="A920" s="6">
        <v>314017</v>
      </c>
      <c r="B920" s="6" t="s">
        <v>1152</v>
      </c>
    </row>
    <row r="921" spans="1:2" ht="15.75" customHeight="1" x14ac:dyDescent="0.25">
      <c r="A921" s="6">
        <v>314013</v>
      </c>
      <c r="B921" s="6" t="s">
        <v>1153</v>
      </c>
    </row>
    <row r="922" spans="1:2" ht="15.75" customHeight="1" x14ac:dyDescent="0.25">
      <c r="A922" s="6">
        <v>314014</v>
      </c>
      <c r="B922" s="6" t="s">
        <v>1154</v>
      </c>
    </row>
    <row r="923" spans="1:2" ht="15.75" customHeight="1" x14ac:dyDescent="0.25">
      <c r="A923" s="6">
        <v>314016</v>
      </c>
      <c r="B923" s="6" t="s">
        <v>1155</v>
      </c>
    </row>
    <row r="924" spans="1:2" ht="15.75" customHeight="1" x14ac:dyDescent="0.25">
      <c r="A924" s="6">
        <v>314015</v>
      </c>
      <c r="B924" s="6" t="s">
        <v>1156</v>
      </c>
    </row>
    <row r="925" spans="1:2" ht="15.75" customHeight="1" x14ac:dyDescent="0.25">
      <c r="A925" s="6">
        <v>209007</v>
      </c>
      <c r="B925" s="6" t="s">
        <v>1157</v>
      </c>
    </row>
    <row r="926" spans="1:2" ht="15.75" customHeight="1" x14ac:dyDescent="0.25">
      <c r="A926" s="6">
        <v>409043</v>
      </c>
      <c r="B926" s="6" t="s">
        <v>1157</v>
      </c>
    </row>
    <row r="927" spans="1:2" ht="15.75" customHeight="1" x14ac:dyDescent="0.25">
      <c r="A927" s="6">
        <v>44001</v>
      </c>
      <c r="B927" s="6" t="s">
        <v>1158</v>
      </c>
    </row>
    <row r="928" spans="1:2" ht="15.75" customHeight="1" x14ac:dyDescent="0.25">
      <c r="A928" s="6">
        <v>44004</v>
      </c>
      <c r="B928" s="6" t="s">
        <v>1159</v>
      </c>
    </row>
    <row r="929" spans="1:2" ht="15.75" customHeight="1" x14ac:dyDescent="0.25">
      <c r="A929" s="6">
        <v>44003</v>
      </c>
      <c r="B929" s="6" t="s">
        <v>1160</v>
      </c>
    </row>
    <row r="930" spans="1:2" ht="15.75" customHeight="1" x14ac:dyDescent="0.25">
      <c r="A930" s="6">
        <v>44002</v>
      </c>
      <c r="B930" s="6" t="s">
        <v>1161</v>
      </c>
    </row>
    <row r="931" spans="1:2" ht="15.75" customHeight="1" x14ac:dyDescent="0.25">
      <c r="A931" s="6">
        <v>408030</v>
      </c>
      <c r="B931" s="6" t="s">
        <v>1162</v>
      </c>
    </row>
    <row r="932" spans="1:2" ht="15.75" customHeight="1" x14ac:dyDescent="0.25">
      <c r="A932" s="6">
        <v>408033</v>
      </c>
      <c r="B932" s="6" t="s">
        <v>1163</v>
      </c>
    </row>
    <row r="933" spans="1:2" ht="15.75" customHeight="1" x14ac:dyDescent="0.25">
      <c r="A933" s="6">
        <v>45059</v>
      </c>
      <c r="B933" s="6" t="s">
        <v>1164</v>
      </c>
    </row>
    <row r="934" spans="1:2" ht="15.75" customHeight="1" x14ac:dyDescent="0.25">
      <c r="A934" s="6">
        <v>45060</v>
      </c>
      <c r="B934" s="6" t="s">
        <v>1165</v>
      </c>
    </row>
    <row r="935" spans="1:2" ht="15.75" customHeight="1" x14ac:dyDescent="0.25">
      <c r="A935" s="6">
        <v>45058</v>
      </c>
      <c r="B935" s="6" t="s">
        <v>1166</v>
      </c>
    </row>
    <row r="936" spans="1:2" ht="15.75" customHeight="1" x14ac:dyDescent="0.25">
      <c r="A936" s="6">
        <v>440055</v>
      </c>
      <c r="B936" s="6" t="s">
        <v>1167</v>
      </c>
    </row>
    <row r="937" spans="1:2" ht="15.75" customHeight="1" x14ac:dyDescent="0.25">
      <c r="A937" s="6">
        <v>440047</v>
      </c>
      <c r="B937" s="6" t="s">
        <v>1168</v>
      </c>
    </row>
    <row r="938" spans="1:2" ht="15.75" customHeight="1" x14ac:dyDescent="0.25">
      <c r="A938" s="6">
        <v>440049</v>
      </c>
      <c r="B938" s="6" t="s">
        <v>1169</v>
      </c>
    </row>
    <row r="939" spans="1:2" ht="15.75" customHeight="1" x14ac:dyDescent="0.25">
      <c r="A939" s="6">
        <v>440046</v>
      </c>
      <c r="B939" s="6" t="s">
        <v>1170</v>
      </c>
    </row>
    <row r="940" spans="1:2" ht="15.75" customHeight="1" x14ac:dyDescent="0.25">
      <c r="A940" s="6">
        <v>440053</v>
      </c>
      <c r="B940" s="6" t="s">
        <v>1171</v>
      </c>
    </row>
    <row r="941" spans="1:2" ht="15.75" customHeight="1" x14ac:dyDescent="0.25">
      <c r="A941" s="6">
        <v>440054</v>
      </c>
      <c r="B941" s="6" t="s">
        <v>1172</v>
      </c>
    </row>
    <row r="942" spans="1:2" ht="15.75" customHeight="1" x14ac:dyDescent="0.25">
      <c r="A942" s="6">
        <v>440050</v>
      </c>
      <c r="B942" s="6" t="s">
        <v>1173</v>
      </c>
    </row>
    <row r="943" spans="1:2" ht="15.75" customHeight="1" x14ac:dyDescent="0.25">
      <c r="A943" s="6">
        <v>440048</v>
      </c>
      <c r="B943" s="6" t="s">
        <v>1174</v>
      </c>
    </row>
    <row r="944" spans="1:2" ht="15.75" customHeight="1" x14ac:dyDescent="0.25">
      <c r="A944" s="6">
        <v>440052</v>
      </c>
      <c r="B944" s="6" t="s">
        <v>1175</v>
      </c>
    </row>
    <row r="945" spans="1:2" ht="15.75" customHeight="1" x14ac:dyDescent="0.25">
      <c r="A945" s="6">
        <v>440051</v>
      </c>
      <c r="B945" s="6" t="s">
        <v>1176</v>
      </c>
    </row>
    <row r="946" spans="1:2" ht="15.75" customHeight="1" x14ac:dyDescent="0.25">
      <c r="A946" s="6">
        <v>32110</v>
      </c>
      <c r="B946" s="6" t="s">
        <v>1177</v>
      </c>
    </row>
    <row r="947" spans="1:2" ht="15.75" customHeight="1" x14ac:dyDescent="0.25">
      <c r="A947" s="6" t="s">
        <v>1614</v>
      </c>
      <c r="B947" s="6" t="s">
        <v>1615</v>
      </c>
    </row>
    <row r="948" spans="1:2" ht="15.75" customHeight="1" x14ac:dyDescent="0.25">
      <c r="A948" s="6">
        <v>208021</v>
      </c>
      <c r="B948" s="6" t="s">
        <v>1178</v>
      </c>
    </row>
    <row r="949" spans="1:2" ht="15.75" customHeight="1" x14ac:dyDescent="0.25">
      <c r="A949" s="6">
        <v>32226</v>
      </c>
      <c r="B949" s="6" t="s">
        <v>1629</v>
      </c>
    </row>
    <row r="950" spans="1:2" ht="15.75" customHeight="1" x14ac:dyDescent="0.25">
      <c r="A950" s="6">
        <v>32256</v>
      </c>
      <c r="B950" s="6" t="s">
        <v>2042</v>
      </c>
    </row>
    <row r="951" spans="1:2" ht="15.75" customHeight="1" x14ac:dyDescent="0.25">
      <c r="A951" s="6">
        <v>32255</v>
      </c>
      <c r="B951" s="6" t="s">
        <v>2041</v>
      </c>
    </row>
    <row r="952" spans="1:2" ht="15.75" customHeight="1" x14ac:dyDescent="0.25">
      <c r="A952" s="6">
        <v>32207</v>
      </c>
      <c r="B952" s="6" t="s">
        <v>1179</v>
      </c>
    </row>
    <row r="953" spans="1:2" ht="15.75" customHeight="1" x14ac:dyDescent="0.25">
      <c r="A953" s="6">
        <v>32175</v>
      </c>
      <c r="B953" s="6" t="s">
        <v>1180</v>
      </c>
    </row>
    <row r="954" spans="1:2" ht="15.75" customHeight="1" x14ac:dyDescent="0.25">
      <c r="A954" s="6">
        <v>32031</v>
      </c>
      <c r="B954" s="6" t="s">
        <v>1181</v>
      </c>
    </row>
    <row r="955" spans="1:2" ht="15.75" customHeight="1" x14ac:dyDescent="0.25">
      <c r="A955" s="6">
        <v>32011</v>
      </c>
      <c r="B955" s="6" t="s">
        <v>1182</v>
      </c>
    </row>
    <row r="956" spans="1:2" ht="15.75" customHeight="1" x14ac:dyDescent="0.25">
      <c r="A956" s="6">
        <v>32183</v>
      </c>
      <c r="B956" s="6" t="s">
        <v>1183</v>
      </c>
    </row>
    <row r="957" spans="1:2" ht="15.75" customHeight="1" x14ac:dyDescent="0.25">
      <c r="A957" s="6">
        <v>32206</v>
      </c>
      <c r="B957" s="6" t="s">
        <v>1184</v>
      </c>
    </row>
    <row r="958" spans="1:2" ht="15.75" customHeight="1" x14ac:dyDescent="0.25">
      <c r="A958" s="6">
        <v>32124</v>
      </c>
      <c r="B958" s="6" t="s">
        <v>1185</v>
      </c>
    </row>
    <row r="959" spans="1:2" ht="15.75" customHeight="1" x14ac:dyDescent="0.25">
      <c r="A959" s="6">
        <v>32261</v>
      </c>
      <c r="B959" s="6" t="s">
        <v>2047</v>
      </c>
    </row>
    <row r="960" spans="1:2" ht="15.75" customHeight="1" x14ac:dyDescent="0.25">
      <c r="A960" s="6">
        <v>32275</v>
      </c>
      <c r="B960" s="6" t="s">
        <v>2137</v>
      </c>
    </row>
    <row r="961" spans="1:2" ht="15.75" customHeight="1" x14ac:dyDescent="0.25">
      <c r="A961" s="6">
        <v>32237</v>
      </c>
      <c r="B961" s="6" t="s">
        <v>1846</v>
      </c>
    </row>
    <row r="962" spans="1:2" ht="15.75" customHeight="1" x14ac:dyDescent="0.25">
      <c r="A962" s="6">
        <v>32225</v>
      </c>
      <c r="B962" s="6" t="s">
        <v>489</v>
      </c>
    </row>
    <row r="963" spans="1:2" ht="15.75" customHeight="1" x14ac:dyDescent="0.25">
      <c r="A963" s="6">
        <v>32274</v>
      </c>
      <c r="B963" s="6" t="s">
        <v>2138</v>
      </c>
    </row>
    <row r="964" spans="1:2" ht="15.75" customHeight="1" x14ac:dyDescent="0.25">
      <c r="A964" s="6">
        <v>32018</v>
      </c>
      <c r="B964" s="6" t="s">
        <v>1186</v>
      </c>
    </row>
    <row r="965" spans="1:2" ht="15.75" customHeight="1" x14ac:dyDescent="0.25">
      <c r="A965" s="6">
        <v>32278</v>
      </c>
      <c r="B965" s="6" t="s">
        <v>2139</v>
      </c>
    </row>
    <row r="966" spans="1:2" ht="15.75" customHeight="1" x14ac:dyDescent="0.25">
      <c r="A966" s="6">
        <v>32017</v>
      </c>
      <c r="B966" s="6" t="s">
        <v>1187</v>
      </c>
    </row>
    <row r="967" spans="1:2" ht="15.75" customHeight="1" x14ac:dyDescent="0.25">
      <c r="A967" s="6">
        <v>32032</v>
      </c>
      <c r="B967" s="6" t="s">
        <v>1188</v>
      </c>
    </row>
    <row r="968" spans="1:2" ht="15.75" customHeight="1" x14ac:dyDescent="0.25">
      <c r="A968" s="6">
        <v>32158</v>
      </c>
      <c r="B968" s="6" t="s">
        <v>1189</v>
      </c>
    </row>
    <row r="969" spans="1:2" ht="15.75" customHeight="1" x14ac:dyDescent="0.25">
      <c r="A969" s="6">
        <v>32220</v>
      </c>
      <c r="B969" s="6" t="s">
        <v>1190</v>
      </c>
    </row>
    <row r="970" spans="1:2" ht="15.75" customHeight="1" x14ac:dyDescent="0.25">
      <c r="A970" s="6">
        <v>32229</v>
      </c>
      <c r="B970" s="6" t="s">
        <v>1632</v>
      </c>
    </row>
    <row r="971" spans="1:2" ht="15.75" customHeight="1" x14ac:dyDescent="0.25">
      <c r="A971" s="6">
        <v>32258</v>
      </c>
      <c r="B971" s="6" t="s">
        <v>2044</v>
      </c>
    </row>
    <row r="972" spans="1:2" ht="15.75" customHeight="1" x14ac:dyDescent="0.25">
      <c r="A972" s="6">
        <v>32257</v>
      </c>
      <c r="B972" s="6" t="s">
        <v>2043</v>
      </c>
    </row>
    <row r="973" spans="1:2" ht="15.75" customHeight="1" x14ac:dyDescent="0.25">
      <c r="A973" s="6">
        <v>32281</v>
      </c>
      <c r="B973" s="6" t="s">
        <v>2140</v>
      </c>
    </row>
    <row r="974" spans="1:2" ht="15.75" customHeight="1" x14ac:dyDescent="0.25">
      <c r="A974" s="6">
        <v>32192</v>
      </c>
      <c r="B974" s="6" t="s">
        <v>1191</v>
      </c>
    </row>
    <row r="975" spans="1:2" ht="15.75" customHeight="1" x14ac:dyDescent="0.25">
      <c r="A975" s="6">
        <v>32191</v>
      </c>
      <c r="B975" s="6" t="s">
        <v>1192</v>
      </c>
    </row>
    <row r="976" spans="1:2" ht="15.75" customHeight="1" x14ac:dyDescent="0.25">
      <c r="A976" s="6">
        <v>32141</v>
      </c>
      <c r="B976" s="6" t="s">
        <v>1193</v>
      </c>
    </row>
    <row r="977" spans="1:2" ht="15.75" customHeight="1" x14ac:dyDescent="0.25">
      <c r="A977" s="6">
        <v>32159</v>
      </c>
      <c r="B977" s="6" t="s">
        <v>1194</v>
      </c>
    </row>
    <row r="978" spans="1:2" ht="15.75" customHeight="1" x14ac:dyDescent="0.25">
      <c r="A978" s="6">
        <v>32133</v>
      </c>
      <c r="B978" s="6" t="s">
        <v>1195</v>
      </c>
    </row>
    <row r="979" spans="1:2" ht="15.75" customHeight="1" x14ac:dyDescent="0.25">
      <c r="A979" s="6">
        <v>32174</v>
      </c>
      <c r="B979" s="6" t="s">
        <v>1196</v>
      </c>
    </row>
    <row r="980" spans="1:2" ht="15.75" customHeight="1" x14ac:dyDescent="0.25">
      <c r="A980" s="6">
        <v>32131</v>
      </c>
      <c r="B980" s="6" t="s">
        <v>1197</v>
      </c>
    </row>
    <row r="981" spans="1:2" ht="15.75" customHeight="1" x14ac:dyDescent="0.25">
      <c r="A981" s="6">
        <v>32132</v>
      </c>
      <c r="B981" s="6" t="s">
        <v>1198</v>
      </c>
    </row>
    <row r="982" spans="1:2" ht="15.75" customHeight="1" x14ac:dyDescent="0.25">
      <c r="A982" s="6">
        <v>32202</v>
      </c>
      <c r="B982" s="6" t="s">
        <v>1199</v>
      </c>
    </row>
    <row r="983" spans="1:2" ht="15.75" customHeight="1" x14ac:dyDescent="0.25">
      <c r="A983" s="6">
        <v>32134</v>
      </c>
      <c r="B983" s="6" t="s">
        <v>1200</v>
      </c>
    </row>
    <row r="984" spans="1:2" ht="15.75" customHeight="1" x14ac:dyDescent="0.25">
      <c r="A984" s="6">
        <v>32218</v>
      </c>
      <c r="B984" s="6" t="s">
        <v>1201</v>
      </c>
    </row>
    <row r="985" spans="1:2" ht="15.75" customHeight="1" x14ac:dyDescent="0.25">
      <c r="A985" s="6">
        <v>32176</v>
      </c>
      <c r="B985" s="6" t="s">
        <v>1202</v>
      </c>
    </row>
    <row r="986" spans="1:2" ht="15.75" customHeight="1" x14ac:dyDescent="0.25">
      <c r="A986" s="6">
        <v>32219</v>
      </c>
      <c r="B986" s="6" t="s">
        <v>1203</v>
      </c>
    </row>
    <row r="987" spans="1:2" ht="15.75" customHeight="1" x14ac:dyDescent="0.25">
      <c r="A987" s="6">
        <v>32160</v>
      </c>
      <c r="B987" s="6" t="s">
        <v>1204</v>
      </c>
    </row>
    <row r="988" spans="1:2" ht="15.75" customHeight="1" x14ac:dyDescent="0.25">
      <c r="A988" s="6">
        <v>32122</v>
      </c>
      <c r="B988" s="6" t="s">
        <v>1205</v>
      </c>
    </row>
    <row r="989" spans="1:2" ht="15.75" customHeight="1" x14ac:dyDescent="0.25">
      <c r="A989" s="6">
        <v>32228</v>
      </c>
      <c r="B989" s="6" t="s">
        <v>1631</v>
      </c>
    </row>
    <row r="990" spans="1:2" ht="15.75" customHeight="1" x14ac:dyDescent="0.25">
      <c r="A990" s="6">
        <v>32169</v>
      </c>
      <c r="B990" s="6" t="s">
        <v>1206</v>
      </c>
    </row>
    <row r="991" spans="1:2" ht="15.75" customHeight="1" x14ac:dyDescent="0.25">
      <c r="A991" s="6">
        <v>32072</v>
      </c>
      <c r="B991" s="6" t="s">
        <v>1207</v>
      </c>
    </row>
    <row r="992" spans="1:2" ht="15.75" customHeight="1" x14ac:dyDescent="0.25">
      <c r="A992" s="6">
        <v>32201</v>
      </c>
      <c r="B992" s="6" t="s">
        <v>1208</v>
      </c>
    </row>
    <row r="993" spans="1:2" ht="15.75" customHeight="1" x14ac:dyDescent="0.25">
      <c r="A993" s="6">
        <v>32282</v>
      </c>
      <c r="B993" s="6" t="s">
        <v>2141</v>
      </c>
    </row>
    <row r="994" spans="1:2" ht="15.75" customHeight="1" x14ac:dyDescent="0.25">
      <c r="A994" s="6">
        <v>32232</v>
      </c>
      <c r="B994" s="6" t="s">
        <v>1635</v>
      </c>
    </row>
    <row r="995" spans="1:2" ht="15.75" customHeight="1" x14ac:dyDescent="0.25">
      <c r="A995" s="6">
        <v>32197</v>
      </c>
      <c r="B995" s="6" t="s">
        <v>486</v>
      </c>
    </row>
    <row r="996" spans="1:2" ht="15.75" customHeight="1" x14ac:dyDescent="0.25">
      <c r="A996" s="6">
        <v>32233</v>
      </c>
      <c r="B996" s="6" t="s">
        <v>1636</v>
      </c>
    </row>
    <row r="997" spans="1:2" ht="15.75" customHeight="1" x14ac:dyDescent="0.25">
      <c r="A997" s="6">
        <v>32246</v>
      </c>
      <c r="B997" s="6" t="s">
        <v>1855</v>
      </c>
    </row>
    <row r="998" spans="1:2" ht="15.75" customHeight="1" x14ac:dyDescent="0.25">
      <c r="A998" s="6">
        <v>32227</v>
      </c>
      <c r="B998" s="6" t="s">
        <v>1630</v>
      </c>
    </row>
    <row r="999" spans="1:2" ht="15.75" customHeight="1" x14ac:dyDescent="0.25">
      <c r="A999" s="6">
        <v>32259</v>
      </c>
      <c r="B999" s="6" t="s">
        <v>2045</v>
      </c>
    </row>
    <row r="1000" spans="1:2" ht="15.75" customHeight="1" x14ac:dyDescent="0.25">
      <c r="A1000" s="6">
        <v>32253</v>
      </c>
      <c r="B1000" s="6" t="s">
        <v>2039</v>
      </c>
    </row>
    <row r="1001" spans="1:2" ht="15.75" customHeight="1" x14ac:dyDescent="0.25">
      <c r="A1001" s="6">
        <v>32215</v>
      </c>
      <c r="B1001" s="6" t="s">
        <v>1209</v>
      </c>
    </row>
    <row r="1002" spans="1:2" ht="15.75" customHeight="1" x14ac:dyDescent="0.25">
      <c r="A1002" s="6">
        <v>32198</v>
      </c>
      <c r="B1002" s="6" t="s">
        <v>1210</v>
      </c>
    </row>
    <row r="1003" spans="1:2" ht="15.75" customHeight="1" x14ac:dyDescent="0.25">
      <c r="A1003" s="6">
        <v>32280</v>
      </c>
      <c r="B1003" s="6" t="s">
        <v>2142</v>
      </c>
    </row>
    <row r="1004" spans="1:2" ht="15.75" customHeight="1" x14ac:dyDescent="0.25">
      <c r="A1004" s="6">
        <v>32249</v>
      </c>
      <c r="B1004" s="6" t="s">
        <v>1858</v>
      </c>
    </row>
    <row r="1005" spans="1:2" ht="15.75" customHeight="1" x14ac:dyDescent="0.25">
      <c r="A1005" s="6">
        <v>32279</v>
      </c>
      <c r="B1005" s="6" t="s">
        <v>2143</v>
      </c>
    </row>
    <row r="1006" spans="1:2" ht="15.75" customHeight="1" x14ac:dyDescent="0.25">
      <c r="A1006" s="6">
        <v>32244</v>
      </c>
      <c r="B1006" s="6" t="s">
        <v>1853</v>
      </c>
    </row>
    <row r="1007" spans="1:2" ht="15.75" customHeight="1" x14ac:dyDescent="0.25">
      <c r="A1007" s="6">
        <v>32242</v>
      </c>
      <c r="B1007" s="6" t="s">
        <v>1851</v>
      </c>
    </row>
    <row r="1008" spans="1:2" ht="15.75" customHeight="1" x14ac:dyDescent="0.25">
      <c r="A1008" s="6">
        <v>32243</v>
      </c>
      <c r="B1008" s="6" t="s">
        <v>1852</v>
      </c>
    </row>
    <row r="1009" spans="1:2" ht="15.75" customHeight="1" x14ac:dyDescent="0.25">
      <c r="A1009" s="6">
        <v>32157</v>
      </c>
      <c r="B1009" s="6" t="s">
        <v>1211</v>
      </c>
    </row>
    <row r="1010" spans="1:2" ht="15.75" customHeight="1" x14ac:dyDescent="0.25">
      <c r="A1010" s="6">
        <v>32193</v>
      </c>
      <c r="B1010" s="6" t="s">
        <v>1212</v>
      </c>
    </row>
    <row r="1011" spans="1:2" ht="15.75" customHeight="1" x14ac:dyDescent="0.25">
      <c r="A1011" s="6">
        <v>32260</v>
      </c>
      <c r="B1011" s="6" t="s">
        <v>2046</v>
      </c>
    </row>
    <row r="1012" spans="1:2" ht="15.75" customHeight="1" x14ac:dyDescent="0.25">
      <c r="A1012" s="6">
        <v>206005</v>
      </c>
      <c r="B1012" s="6" t="s">
        <v>1213</v>
      </c>
    </row>
    <row r="1013" spans="1:2" ht="15.75" customHeight="1" x14ac:dyDescent="0.25">
      <c r="A1013" s="6">
        <v>45023</v>
      </c>
      <c r="B1013" s="6" t="s">
        <v>1214</v>
      </c>
    </row>
    <row r="1014" spans="1:2" ht="15.75" customHeight="1" x14ac:dyDescent="0.25">
      <c r="A1014" s="6">
        <v>45024</v>
      </c>
      <c r="B1014" s="6" t="s">
        <v>1215</v>
      </c>
    </row>
    <row r="1015" spans="1:2" ht="15.75" customHeight="1" x14ac:dyDescent="0.25">
      <c r="A1015" s="6">
        <v>45022</v>
      </c>
      <c r="B1015" s="6" t="s">
        <v>1216</v>
      </c>
    </row>
    <row r="1016" spans="1:2" ht="15.75" customHeight="1" x14ac:dyDescent="0.25">
      <c r="A1016" s="6">
        <v>49004</v>
      </c>
      <c r="B1016" s="6" t="s">
        <v>1217</v>
      </c>
    </row>
    <row r="1017" spans="1:2" ht="15.75" customHeight="1" x14ac:dyDescent="0.25">
      <c r="A1017" s="6">
        <v>49005</v>
      </c>
      <c r="B1017" s="6" t="s">
        <v>1218</v>
      </c>
    </row>
    <row r="1018" spans="1:2" ht="15.75" customHeight="1" x14ac:dyDescent="0.25">
      <c r="A1018" s="6">
        <v>49003</v>
      </c>
      <c r="B1018" s="6" t="s">
        <v>1219</v>
      </c>
    </row>
    <row r="1019" spans="1:2" ht="15.75" customHeight="1" x14ac:dyDescent="0.25">
      <c r="A1019" s="6">
        <v>224002</v>
      </c>
      <c r="B1019" s="6" t="s">
        <v>1220</v>
      </c>
    </row>
    <row r="1020" spans="1:2" ht="15.75" customHeight="1" x14ac:dyDescent="0.25">
      <c r="A1020" s="6">
        <v>224001</v>
      </c>
      <c r="B1020" s="6" t="s">
        <v>1221</v>
      </c>
    </row>
    <row r="1021" spans="1:2" ht="15.75" customHeight="1" x14ac:dyDescent="0.25">
      <c r="A1021" s="6">
        <v>7009</v>
      </c>
      <c r="B1021" s="6" t="s">
        <v>1222</v>
      </c>
    </row>
    <row r="1022" spans="1:2" ht="15.75" customHeight="1" x14ac:dyDescent="0.25">
      <c r="A1022" s="6">
        <v>7010</v>
      </c>
      <c r="B1022" s="6" t="s">
        <v>1223</v>
      </c>
    </row>
    <row r="1023" spans="1:2" ht="15.75" customHeight="1" x14ac:dyDescent="0.25">
      <c r="A1023" s="6">
        <v>7011</v>
      </c>
      <c r="B1023" s="6" t="s">
        <v>1224</v>
      </c>
    </row>
    <row r="1024" spans="1:2" ht="15.75" customHeight="1" x14ac:dyDescent="0.25">
      <c r="A1024" s="6">
        <v>7008</v>
      </c>
      <c r="B1024" s="6" t="s">
        <v>1225</v>
      </c>
    </row>
    <row r="1025" spans="1:2" ht="15.75" customHeight="1" x14ac:dyDescent="0.25">
      <c r="A1025" s="6">
        <v>208015</v>
      </c>
      <c r="B1025" s="6" t="s">
        <v>1226</v>
      </c>
    </row>
    <row r="1026" spans="1:2" ht="15.75" customHeight="1" x14ac:dyDescent="0.25">
      <c r="A1026" s="6">
        <v>57001</v>
      </c>
      <c r="B1026" s="6" t="s">
        <v>1672</v>
      </c>
    </row>
    <row r="1027" spans="1:2" ht="15.75" customHeight="1" x14ac:dyDescent="0.25">
      <c r="A1027" s="6">
        <v>69001</v>
      </c>
      <c r="B1027" s="6" t="s">
        <v>1672</v>
      </c>
    </row>
    <row r="1028" spans="1:2" ht="15.75" customHeight="1" x14ac:dyDescent="0.25">
      <c r="A1028" s="6">
        <v>369001</v>
      </c>
      <c r="B1028" s="6" t="s">
        <v>1672</v>
      </c>
    </row>
    <row r="1029" spans="1:2" ht="15.75" customHeight="1" x14ac:dyDescent="0.25">
      <c r="A1029" s="6">
        <v>217002</v>
      </c>
      <c r="B1029" s="6" t="s">
        <v>1227</v>
      </c>
    </row>
    <row r="1030" spans="1:2" ht="15.75" customHeight="1" x14ac:dyDescent="0.25">
      <c r="A1030" s="6">
        <v>206007</v>
      </c>
      <c r="B1030" s="6" t="s">
        <v>1228</v>
      </c>
    </row>
    <row r="1031" spans="1:2" ht="15.75" customHeight="1" x14ac:dyDescent="0.25">
      <c r="A1031" s="6">
        <v>216019</v>
      </c>
      <c r="B1031" s="6" t="s">
        <v>1229</v>
      </c>
    </row>
    <row r="1032" spans="1:2" ht="15.75" customHeight="1" x14ac:dyDescent="0.25">
      <c r="A1032" s="6">
        <v>220029</v>
      </c>
      <c r="B1032" s="6" t="s">
        <v>1230</v>
      </c>
    </row>
    <row r="1033" spans="1:2" ht="15.75" customHeight="1" x14ac:dyDescent="0.25">
      <c r="A1033" s="6">
        <v>212001</v>
      </c>
      <c r="B1033" s="6" t="s">
        <v>1231</v>
      </c>
    </row>
    <row r="1034" spans="1:2" ht="15.75" customHeight="1" x14ac:dyDescent="0.25">
      <c r="A1034" s="6">
        <v>412001</v>
      </c>
      <c r="B1034" s="6" t="s">
        <v>1231</v>
      </c>
    </row>
    <row r="1035" spans="1:2" ht="15.75" customHeight="1" x14ac:dyDescent="0.25">
      <c r="A1035" s="6">
        <v>208005</v>
      </c>
      <c r="B1035" s="6" t="s">
        <v>1232</v>
      </c>
    </row>
    <row r="1036" spans="1:2" ht="15.75" customHeight="1" x14ac:dyDescent="0.25">
      <c r="A1036" s="6">
        <v>216003</v>
      </c>
      <c r="B1036" s="6" t="s">
        <v>1233</v>
      </c>
    </row>
    <row r="1037" spans="1:2" ht="15.75" customHeight="1" x14ac:dyDescent="0.25">
      <c r="A1037" s="6">
        <v>216001</v>
      </c>
      <c r="B1037" s="6" t="s">
        <v>1234</v>
      </c>
    </row>
    <row r="1038" spans="1:2" ht="15.75" customHeight="1" x14ac:dyDescent="0.25">
      <c r="A1038" s="6">
        <v>216002</v>
      </c>
      <c r="B1038" s="6" t="s">
        <v>1235</v>
      </c>
    </row>
    <row r="1039" spans="1:2" ht="15.75" customHeight="1" x14ac:dyDescent="0.25">
      <c r="A1039" s="6">
        <v>1119</v>
      </c>
      <c r="B1039" s="6" t="s">
        <v>1236</v>
      </c>
    </row>
    <row r="1040" spans="1:2" ht="15.75" customHeight="1" x14ac:dyDescent="0.25">
      <c r="A1040" s="6">
        <v>1120</v>
      </c>
      <c r="B1040" s="6" t="s">
        <v>1237</v>
      </c>
    </row>
    <row r="1041" spans="1:2" ht="15.75" customHeight="1" x14ac:dyDescent="0.25">
      <c r="A1041" s="6">
        <v>1121</v>
      </c>
      <c r="B1041" s="6" t="s">
        <v>1238</v>
      </c>
    </row>
    <row r="1042" spans="1:2" ht="15.75" customHeight="1" x14ac:dyDescent="0.25">
      <c r="A1042" s="6">
        <v>1106</v>
      </c>
      <c r="B1042" s="6" t="s">
        <v>1239</v>
      </c>
    </row>
    <row r="1043" spans="1:2" ht="15.75" customHeight="1" x14ac:dyDescent="0.25">
      <c r="A1043" s="6">
        <v>1145</v>
      </c>
      <c r="B1043" s="6" t="s">
        <v>1240</v>
      </c>
    </row>
    <row r="1044" spans="1:2" ht="15.75" customHeight="1" x14ac:dyDescent="0.25">
      <c r="A1044" s="6">
        <v>1026</v>
      </c>
      <c r="B1044" s="6" t="s">
        <v>1241</v>
      </c>
    </row>
    <row r="1045" spans="1:2" ht="15.75" customHeight="1" x14ac:dyDescent="0.25">
      <c r="A1045" s="6">
        <v>1025</v>
      </c>
      <c r="B1045" s="6" t="s">
        <v>1242</v>
      </c>
    </row>
    <row r="1046" spans="1:2" ht="15.75" customHeight="1" x14ac:dyDescent="0.25">
      <c r="A1046" s="6">
        <v>1024</v>
      </c>
      <c r="B1046" s="6" t="s">
        <v>1243</v>
      </c>
    </row>
    <row r="1047" spans="1:2" ht="15.75" customHeight="1" x14ac:dyDescent="0.25">
      <c r="A1047" s="6">
        <v>1033</v>
      </c>
      <c r="B1047" s="6" t="s">
        <v>1244</v>
      </c>
    </row>
    <row r="1048" spans="1:2" ht="15.75" customHeight="1" x14ac:dyDescent="0.25">
      <c r="A1048" s="6">
        <v>1034</v>
      </c>
      <c r="B1048" s="6" t="s">
        <v>1245</v>
      </c>
    </row>
    <row r="1049" spans="1:2" ht="15.75" customHeight="1" x14ac:dyDescent="0.25">
      <c r="A1049" s="6">
        <v>1039</v>
      </c>
      <c r="B1049" s="6" t="s">
        <v>1246</v>
      </c>
    </row>
    <row r="1050" spans="1:2" ht="15.75" customHeight="1" x14ac:dyDescent="0.25">
      <c r="A1050" s="6">
        <v>1093</v>
      </c>
      <c r="B1050" s="6" t="s">
        <v>1247</v>
      </c>
    </row>
    <row r="1051" spans="1:2" ht="15.75" customHeight="1" x14ac:dyDescent="0.25">
      <c r="A1051" s="6">
        <v>1094</v>
      </c>
      <c r="B1051" s="6" t="s">
        <v>1248</v>
      </c>
    </row>
    <row r="1052" spans="1:2" ht="15.75" customHeight="1" x14ac:dyDescent="0.25">
      <c r="A1052" s="6">
        <v>1108</v>
      </c>
      <c r="B1052" s="6" t="s">
        <v>1249</v>
      </c>
    </row>
    <row r="1053" spans="1:2" ht="15.75" customHeight="1" x14ac:dyDescent="0.25">
      <c r="A1053" s="6">
        <v>1150</v>
      </c>
      <c r="B1053" s="6" t="s">
        <v>1250</v>
      </c>
    </row>
    <row r="1054" spans="1:2" ht="15.75" customHeight="1" x14ac:dyDescent="0.25">
      <c r="A1054" s="6">
        <v>1156</v>
      </c>
      <c r="B1054" s="6" t="s">
        <v>1251</v>
      </c>
    </row>
    <row r="1055" spans="1:2" ht="15.75" customHeight="1" x14ac:dyDescent="0.25">
      <c r="A1055" s="6">
        <v>1028</v>
      </c>
      <c r="B1055" s="6" t="s">
        <v>1252</v>
      </c>
    </row>
    <row r="1056" spans="1:2" ht="15.75" customHeight="1" x14ac:dyDescent="0.25">
      <c r="A1056" s="6">
        <v>1109</v>
      </c>
      <c r="B1056" s="6" t="s">
        <v>1253</v>
      </c>
    </row>
    <row r="1057" spans="1:2" ht="15.75" customHeight="1" x14ac:dyDescent="0.25">
      <c r="A1057" s="6">
        <v>1027</v>
      </c>
      <c r="B1057" s="6" t="s">
        <v>1254</v>
      </c>
    </row>
    <row r="1058" spans="1:2" ht="15.75" customHeight="1" x14ac:dyDescent="0.25">
      <c r="A1058" s="6">
        <v>220013</v>
      </c>
      <c r="B1058" s="6" t="s">
        <v>1255</v>
      </c>
    </row>
    <row r="1059" spans="1:2" ht="15.75" customHeight="1" x14ac:dyDescent="0.25">
      <c r="A1059" s="6">
        <v>408029</v>
      </c>
      <c r="B1059" s="6" t="s">
        <v>1256</v>
      </c>
    </row>
    <row r="1060" spans="1:2" ht="15.75" customHeight="1" x14ac:dyDescent="0.25">
      <c r="A1060" s="6">
        <v>212004</v>
      </c>
      <c r="B1060" s="6" t="s">
        <v>1257</v>
      </c>
    </row>
    <row r="1061" spans="1:2" ht="15.75" customHeight="1" x14ac:dyDescent="0.25">
      <c r="A1061" s="6">
        <v>32129</v>
      </c>
      <c r="B1061" s="6" t="s">
        <v>1258</v>
      </c>
    </row>
    <row r="1062" spans="1:2" ht="15.75" customHeight="1" x14ac:dyDescent="0.25">
      <c r="A1062" s="6">
        <v>32128</v>
      </c>
      <c r="B1062" s="6" t="s">
        <v>1259</v>
      </c>
    </row>
    <row r="1063" spans="1:2" ht="15.75" customHeight="1" x14ac:dyDescent="0.25">
      <c r="A1063" s="6">
        <v>57003</v>
      </c>
      <c r="B1063" s="6" t="s">
        <v>2063</v>
      </c>
    </row>
    <row r="1064" spans="1:2" ht="15.75" customHeight="1" x14ac:dyDescent="0.25">
      <c r="A1064" s="6">
        <v>68001</v>
      </c>
      <c r="B1064" s="6" t="s">
        <v>2063</v>
      </c>
    </row>
    <row r="1065" spans="1:2" ht="15.75" customHeight="1" x14ac:dyDescent="0.25">
      <c r="A1065" s="6">
        <v>409023</v>
      </c>
      <c r="B1065" s="6" t="s">
        <v>1260</v>
      </c>
    </row>
    <row r="1066" spans="1:2" ht="15.75" customHeight="1" x14ac:dyDescent="0.25">
      <c r="A1066" s="6">
        <v>409033</v>
      </c>
      <c r="B1066" s="6" t="s">
        <v>1260</v>
      </c>
    </row>
    <row r="1067" spans="1:2" ht="15.75" customHeight="1" x14ac:dyDescent="0.25">
      <c r="A1067" s="6">
        <v>212013</v>
      </c>
      <c r="B1067" s="6" t="s">
        <v>1261</v>
      </c>
    </row>
    <row r="1068" spans="1:2" ht="15.75" customHeight="1" x14ac:dyDescent="0.25">
      <c r="A1068" s="6">
        <v>53045</v>
      </c>
      <c r="B1068" s="6" t="s">
        <v>1262</v>
      </c>
    </row>
    <row r="1069" spans="1:2" ht="15.75" customHeight="1" x14ac:dyDescent="0.25">
      <c r="A1069" s="6">
        <v>53046</v>
      </c>
      <c r="B1069" s="6" t="s">
        <v>1263</v>
      </c>
    </row>
    <row r="1070" spans="1:2" ht="15.75" customHeight="1" x14ac:dyDescent="0.25">
      <c r="A1070" s="6">
        <v>53043</v>
      </c>
      <c r="B1070" s="6" t="s">
        <v>1264</v>
      </c>
    </row>
    <row r="1071" spans="1:2" ht="15.75" customHeight="1" x14ac:dyDescent="0.25">
      <c r="A1071" s="6">
        <v>53044</v>
      </c>
      <c r="B1071" s="6" t="s">
        <v>1265</v>
      </c>
    </row>
    <row r="1072" spans="1:2" ht="15.75" customHeight="1" x14ac:dyDescent="0.25">
      <c r="A1072" s="6">
        <v>32054</v>
      </c>
      <c r="B1072" s="6" t="s">
        <v>1266</v>
      </c>
    </row>
    <row r="1073" spans="1:2" ht="15.75" customHeight="1" x14ac:dyDescent="0.25">
      <c r="A1073" s="6">
        <v>30002</v>
      </c>
      <c r="B1073" s="6" t="s">
        <v>1267</v>
      </c>
    </row>
    <row r="1074" spans="1:2" ht="15.75" customHeight="1" x14ac:dyDescent="0.25">
      <c r="A1074" s="6">
        <v>30001</v>
      </c>
      <c r="B1074" s="6" t="s">
        <v>1268</v>
      </c>
    </row>
    <row r="1075" spans="1:2" ht="15.75" customHeight="1" x14ac:dyDescent="0.25">
      <c r="A1075" s="6">
        <v>462011</v>
      </c>
      <c r="B1075" s="6" t="s">
        <v>1828</v>
      </c>
    </row>
    <row r="1076" spans="1:2" ht="15.75" customHeight="1" x14ac:dyDescent="0.25">
      <c r="A1076" s="6">
        <v>222004</v>
      </c>
      <c r="B1076" s="6" t="s">
        <v>1272</v>
      </c>
    </row>
    <row r="1077" spans="1:2" ht="15.75" customHeight="1" x14ac:dyDescent="0.25">
      <c r="A1077" s="6">
        <v>222005</v>
      </c>
      <c r="B1077" s="6" t="s">
        <v>1273</v>
      </c>
    </row>
    <row r="1078" spans="1:2" ht="15.75" customHeight="1" x14ac:dyDescent="0.25">
      <c r="A1078" s="6">
        <v>222006</v>
      </c>
      <c r="B1078" s="6" t="s">
        <v>1274</v>
      </c>
    </row>
    <row r="1079" spans="1:2" ht="15.75" customHeight="1" x14ac:dyDescent="0.25">
      <c r="A1079" s="6">
        <v>222007</v>
      </c>
      <c r="B1079" s="6" t="s">
        <v>1275</v>
      </c>
    </row>
    <row r="1080" spans="1:2" ht="15.75" customHeight="1" x14ac:dyDescent="0.25">
      <c r="A1080" s="6">
        <v>222008</v>
      </c>
      <c r="B1080" s="6" t="s">
        <v>1276</v>
      </c>
    </row>
    <row r="1081" spans="1:2" ht="15.75" customHeight="1" x14ac:dyDescent="0.25">
      <c r="A1081" s="6">
        <v>222009</v>
      </c>
      <c r="B1081" s="6" t="s">
        <v>1277</v>
      </c>
    </row>
    <row r="1082" spans="1:2" ht="15.75" customHeight="1" x14ac:dyDescent="0.25">
      <c r="A1082" s="6">
        <v>222010</v>
      </c>
      <c r="B1082" s="6" t="s">
        <v>1278</v>
      </c>
    </row>
    <row r="1083" spans="1:2" ht="15.75" customHeight="1" x14ac:dyDescent="0.25">
      <c r="A1083" s="6">
        <v>44005</v>
      </c>
      <c r="B1083" s="6" t="s">
        <v>1279</v>
      </c>
    </row>
    <row r="1084" spans="1:2" ht="15.75" customHeight="1" x14ac:dyDescent="0.25">
      <c r="A1084" s="6">
        <v>265004</v>
      </c>
      <c r="B1084" s="6" t="s">
        <v>1960</v>
      </c>
    </row>
    <row r="1085" spans="1:2" ht="15.75" customHeight="1" x14ac:dyDescent="0.25">
      <c r="A1085" s="6">
        <v>472014</v>
      </c>
      <c r="B1085" s="6" t="s">
        <v>1960</v>
      </c>
    </row>
    <row r="1086" spans="1:2" ht="15.75" customHeight="1" x14ac:dyDescent="0.25">
      <c r="A1086" s="6">
        <v>265020</v>
      </c>
      <c r="B1086" s="6" t="s">
        <v>1976</v>
      </c>
    </row>
    <row r="1087" spans="1:2" ht="15.75" customHeight="1" x14ac:dyDescent="0.25">
      <c r="A1087" s="6">
        <v>472068</v>
      </c>
      <c r="B1087" s="6" t="s">
        <v>1976</v>
      </c>
    </row>
    <row r="1088" spans="1:2" ht="15.75" customHeight="1" x14ac:dyDescent="0.25">
      <c r="A1088" s="6">
        <v>265021</v>
      </c>
      <c r="B1088" s="6" t="s">
        <v>1977</v>
      </c>
    </row>
    <row r="1089" spans="1:2" ht="15.75" customHeight="1" x14ac:dyDescent="0.25">
      <c r="A1089" s="6">
        <v>472069</v>
      </c>
      <c r="B1089" s="6" t="s">
        <v>1977</v>
      </c>
    </row>
    <row r="1090" spans="1:2" ht="15.75" customHeight="1" x14ac:dyDescent="0.25">
      <c r="A1090" s="6">
        <v>265022</v>
      </c>
      <c r="B1090" s="6" t="s">
        <v>1978</v>
      </c>
    </row>
    <row r="1091" spans="1:2" ht="15.75" customHeight="1" x14ac:dyDescent="0.25">
      <c r="A1091" s="6">
        <v>472070</v>
      </c>
      <c r="B1091" s="6" t="s">
        <v>1978</v>
      </c>
    </row>
    <row r="1092" spans="1:2" ht="15.75" customHeight="1" x14ac:dyDescent="0.25">
      <c r="A1092" s="6">
        <v>210002</v>
      </c>
      <c r="B1092" s="6" t="s">
        <v>1280</v>
      </c>
    </row>
    <row r="1093" spans="1:2" ht="15.75" customHeight="1" x14ac:dyDescent="0.25">
      <c r="A1093" s="6">
        <v>210003</v>
      </c>
      <c r="B1093" s="6" t="s">
        <v>1281</v>
      </c>
    </row>
    <row r="1094" spans="1:2" ht="15.75" customHeight="1" x14ac:dyDescent="0.25">
      <c r="A1094" s="6">
        <v>210004</v>
      </c>
      <c r="B1094" s="6" t="s">
        <v>1282</v>
      </c>
    </row>
    <row r="1095" spans="1:2" ht="15.75" customHeight="1" x14ac:dyDescent="0.25">
      <c r="A1095" s="6">
        <v>210005</v>
      </c>
      <c r="B1095" s="6" t="s">
        <v>1283</v>
      </c>
    </row>
    <row r="1096" spans="1:2" ht="15.75" customHeight="1" x14ac:dyDescent="0.25">
      <c r="A1096" s="6">
        <v>210006</v>
      </c>
      <c r="B1096" s="6" t="s">
        <v>1284</v>
      </c>
    </row>
    <row r="1097" spans="1:2" ht="15.75" customHeight="1" x14ac:dyDescent="0.25">
      <c r="A1097" s="6">
        <v>210007</v>
      </c>
      <c r="B1097" s="6" t="s">
        <v>1285</v>
      </c>
    </row>
    <row r="1098" spans="1:2" ht="15.75" customHeight="1" x14ac:dyDescent="0.25">
      <c r="A1098" s="6">
        <v>210008</v>
      </c>
      <c r="B1098" s="6" t="s">
        <v>1286</v>
      </c>
    </row>
    <row r="1099" spans="1:2" ht="15.75" customHeight="1" x14ac:dyDescent="0.25">
      <c r="A1099" s="6">
        <v>210009</v>
      </c>
      <c r="B1099" s="6" t="s">
        <v>1287</v>
      </c>
    </row>
    <row r="1100" spans="1:2" ht="15.75" customHeight="1" x14ac:dyDescent="0.25">
      <c r="A1100" s="6">
        <v>210010</v>
      </c>
      <c r="B1100" s="6" t="s">
        <v>1288</v>
      </c>
    </row>
    <row r="1101" spans="1:2" ht="15.75" customHeight="1" x14ac:dyDescent="0.25">
      <c r="A1101" s="6">
        <v>210011</v>
      </c>
      <c r="B1101" s="6" t="s">
        <v>1289</v>
      </c>
    </row>
    <row r="1102" spans="1:2" ht="15.75" customHeight="1" x14ac:dyDescent="0.25">
      <c r="A1102" s="6">
        <v>210012</v>
      </c>
      <c r="B1102" s="6" t="s">
        <v>1290</v>
      </c>
    </row>
    <row r="1103" spans="1:2" ht="15.75" customHeight="1" x14ac:dyDescent="0.25">
      <c r="A1103" s="6">
        <v>265002</v>
      </c>
      <c r="B1103" s="6" t="s">
        <v>1958</v>
      </c>
    </row>
    <row r="1104" spans="1:2" ht="15.75" customHeight="1" x14ac:dyDescent="0.25">
      <c r="A1104" s="6">
        <v>472010</v>
      </c>
      <c r="B1104" s="6" t="s">
        <v>1958</v>
      </c>
    </row>
    <row r="1105" spans="1:2" ht="15.75" customHeight="1" x14ac:dyDescent="0.25">
      <c r="A1105" s="6">
        <v>265024</v>
      </c>
      <c r="B1105" s="6" t="s">
        <v>1980</v>
      </c>
    </row>
    <row r="1106" spans="1:2" ht="15.75" customHeight="1" x14ac:dyDescent="0.25">
      <c r="A1106" s="6">
        <v>472072</v>
      </c>
      <c r="B1106" s="6" t="s">
        <v>1980</v>
      </c>
    </row>
    <row r="1107" spans="1:2" ht="15.75" customHeight="1" x14ac:dyDescent="0.25">
      <c r="A1107" s="6">
        <v>265025</v>
      </c>
      <c r="B1107" s="6" t="s">
        <v>1981</v>
      </c>
    </row>
    <row r="1108" spans="1:2" ht="15.75" customHeight="1" x14ac:dyDescent="0.25">
      <c r="A1108" s="6">
        <v>472073</v>
      </c>
      <c r="B1108" s="6" t="s">
        <v>1981</v>
      </c>
    </row>
    <row r="1109" spans="1:2" ht="15.75" customHeight="1" x14ac:dyDescent="0.25">
      <c r="A1109" s="6">
        <v>265026</v>
      </c>
      <c r="B1109" s="6" t="s">
        <v>1982</v>
      </c>
    </row>
    <row r="1110" spans="1:2" ht="15.75" customHeight="1" x14ac:dyDescent="0.25">
      <c r="A1110" s="6">
        <v>472074</v>
      </c>
      <c r="B1110" s="6" t="s">
        <v>1982</v>
      </c>
    </row>
    <row r="1111" spans="1:2" ht="15.75" customHeight="1" x14ac:dyDescent="0.25">
      <c r="A1111" s="6">
        <v>265027</v>
      </c>
      <c r="B1111" s="6" t="s">
        <v>1983</v>
      </c>
    </row>
    <row r="1112" spans="1:2" ht="15.75" customHeight="1" x14ac:dyDescent="0.25">
      <c r="A1112" s="6">
        <v>472075</v>
      </c>
      <c r="B1112" s="6" t="s">
        <v>1983</v>
      </c>
    </row>
    <row r="1113" spans="1:2" ht="15.75" customHeight="1" x14ac:dyDescent="0.25">
      <c r="A1113" s="6">
        <v>265028</v>
      </c>
      <c r="B1113" s="6" t="s">
        <v>1984</v>
      </c>
    </row>
    <row r="1114" spans="1:2" ht="15.75" customHeight="1" x14ac:dyDescent="0.25">
      <c r="A1114" s="6">
        <v>472076</v>
      </c>
      <c r="B1114" s="6" t="s">
        <v>1984</v>
      </c>
    </row>
    <row r="1115" spans="1:2" ht="15.75" customHeight="1" x14ac:dyDescent="0.25">
      <c r="A1115" s="6">
        <v>265029</v>
      </c>
      <c r="B1115" s="6" t="s">
        <v>1985</v>
      </c>
    </row>
    <row r="1116" spans="1:2" ht="15.75" customHeight="1" x14ac:dyDescent="0.25">
      <c r="A1116" s="6">
        <v>472077</v>
      </c>
      <c r="B1116" s="6" t="s">
        <v>1985</v>
      </c>
    </row>
    <row r="1117" spans="1:2" ht="15.75" customHeight="1" x14ac:dyDescent="0.25">
      <c r="A1117" s="6">
        <v>265030</v>
      </c>
      <c r="B1117" s="6" t="s">
        <v>1986</v>
      </c>
    </row>
    <row r="1118" spans="1:2" ht="15.75" customHeight="1" x14ac:dyDescent="0.25">
      <c r="A1118" s="6">
        <v>472078</v>
      </c>
      <c r="B1118" s="6" t="s">
        <v>1986</v>
      </c>
    </row>
    <row r="1119" spans="1:2" ht="15.75" customHeight="1" x14ac:dyDescent="0.25">
      <c r="A1119" s="6">
        <v>265031</v>
      </c>
      <c r="B1119" s="6" t="s">
        <v>1987</v>
      </c>
    </row>
    <row r="1120" spans="1:2" ht="15.75" customHeight="1" x14ac:dyDescent="0.25">
      <c r="A1120" s="6">
        <v>472079</v>
      </c>
      <c r="B1120" s="6" t="s">
        <v>1987</v>
      </c>
    </row>
    <row r="1121" spans="1:2" ht="15.75" customHeight="1" x14ac:dyDescent="0.25">
      <c r="A1121" s="6">
        <v>265032</v>
      </c>
      <c r="B1121" s="6" t="s">
        <v>1988</v>
      </c>
    </row>
    <row r="1122" spans="1:2" ht="15.75" customHeight="1" x14ac:dyDescent="0.25">
      <c r="A1122" s="6">
        <v>472080</v>
      </c>
      <c r="B1122" s="6" t="s">
        <v>1988</v>
      </c>
    </row>
    <row r="1123" spans="1:2" ht="15.75" customHeight="1" x14ac:dyDescent="0.25">
      <c r="A1123" s="6">
        <v>216010</v>
      </c>
      <c r="B1123" s="6" t="s">
        <v>1291</v>
      </c>
    </row>
    <row r="1124" spans="1:2" ht="15.75" customHeight="1" x14ac:dyDescent="0.25">
      <c r="A1124" s="6">
        <v>216009</v>
      </c>
      <c r="B1124" s="6" t="s">
        <v>1292</v>
      </c>
    </row>
    <row r="1125" spans="1:2" ht="15.75" customHeight="1" x14ac:dyDescent="0.25">
      <c r="A1125" s="6">
        <v>208004</v>
      </c>
      <c r="B1125" s="6" t="s">
        <v>1293</v>
      </c>
    </row>
    <row r="1126" spans="1:2" ht="15.75" customHeight="1" x14ac:dyDescent="0.25">
      <c r="A1126" s="6">
        <v>264003</v>
      </c>
      <c r="B1126" s="6" t="s">
        <v>1909</v>
      </c>
    </row>
    <row r="1127" spans="1:2" ht="15.75" customHeight="1" x14ac:dyDescent="0.25">
      <c r="A1127" s="6">
        <v>472003</v>
      </c>
      <c r="B1127" s="6" t="s">
        <v>1909</v>
      </c>
    </row>
    <row r="1128" spans="1:2" ht="15.75" customHeight="1" x14ac:dyDescent="0.25">
      <c r="A1128" s="6">
        <v>264050</v>
      </c>
      <c r="B1128" s="6" t="s">
        <v>1955</v>
      </c>
    </row>
    <row r="1129" spans="1:2" ht="15.75" customHeight="1" x14ac:dyDescent="0.25">
      <c r="A1129" s="6">
        <v>264051</v>
      </c>
      <c r="B1129" s="6" t="s">
        <v>1956</v>
      </c>
    </row>
    <row r="1130" spans="1:2" ht="15.75" customHeight="1" x14ac:dyDescent="0.25">
      <c r="A1130" s="6">
        <v>212005</v>
      </c>
      <c r="B1130" s="6" t="s">
        <v>1294</v>
      </c>
    </row>
    <row r="1131" spans="1:2" ht="15.75" customHeight="1" x14ac:dyDescent="0.25">
      <c r="A1131" s="6">
        <v>208016</v>
      </c>
      <c r="B1131" s="6" t="s">
        <v>1295</v>
      </c>
    </row>
    <row r="1132" spans="1:2" ht="15.75" customHeight="1" x14ac:dyDescent="0.25">
      <c r="A1132" s="6">
        <v>53119</v>
      </c>
      <c r="B1132" s="6" t="s">
        <v>2013</v>
      </c>
    </row>
    <row r="1133" spans="1:2" ht="15.75" customHeight="1" x14ac:dyDescent="0.25">
      <c r="A1133" s="6">
        <v>409032</v>
      </c>
      <c r="B1133" s="6" t="s">
        <v>1683</v>
      </c>
    </row>
    <row r="1134" spans="1:2" ht="15.75" customHeight="1" x14ac:dyDescent="0.25">
      <c r="A1134" s="6">
        <v>212012</v>
      </c>
      <c r="B1134" s="6" t="s">
        <v>1296</v>
      </c>
    </row>
    <row r="1135" spans="1:2" ht="15.75" customHeight="1" x14ac:dyDescent="0.25">
      <c r="A1135" s="6">
        <v>316004</v>
      </c>
      <c r="B1135" s="6" t="s">
        <v>1297</v>
      </c>
    </row>
    <row r="1136" spans="1:2" ht="15.75" customHeight="1" x14ac:dyDescent="0.25">
      <c r="A1136" s="6">
        <v>45026</v>
      </c>
      <c r="B1136" s="6" t="s">
        <v>1298</v>
      </c>
    </row>
    <row r="1137" spans="1:2" ht="15.75" customHeight="1" x14ac:dyDescent="0.25">
      <c r="A1137" s="6">
        <v>45027</v>
      </c>
      <c r="B1137" s="6" t="s">
        <v>1299</v>
      </c>
    </row>
    <row r="1138" spans="1:2" ht="15.75" customHeight="1" x14ac:dyDescent="0.25">
      <c r="A1138" s="6">
        <v>45028</v>
      </c>
      <c r="B1138" s="6" t="s">
        <v>1300</v>
      </c>
    </row>
    <row r="1139" spans="1:2" ht="15.75" customHeight="1" x14ac:dyDescent="0.25">
      <c r="A1139" s="6">
        <v>45025</v>
      </c>
      <c r="B1139" s="6" t="s">
        <v>1301</v>
      </c>
    </row>
    <row r="1140" spans="1:2" ht="15.75" customHeight="1" x14ac:dyDescent="0.25">
      <c r="A1140" s="6">
        <v>216011</v>
      </c>
      <c r="B1140" s="6" t="s">
        <v>1302</v>
      </c>
    </row>
    <row r="1141" spans="1:2" ht="15.75" customHeight="1" x14ac:dyDescent="0.25">
      <c r="A1141" s="6">
        <v>216012</v>
      </c>
      <c r="B1141" s="6" t="s">
        <v>1303</v>
      </c>
    </row>
    <row r="1142" spans="1:2" ht="15.75" customHeight="1" x14ac:dyDescent="0.25">
      <c r="A1142" s="6">
        <v>1240</v>
      </c>
      <c r="B1142" s="6" t="s">
        <v>2144</v>
      </c>
    </row>
    <row r="1143" spans="1:2" ht="15.75" customHeight="1" x14ac:dyDescent="0.25">
      <c r="A1143" s="6">
        <v>1241</v>
      </c>
      <c r="B1143" s="6" t="s">
        <v>2145</v>
      </c>
    </row>
    <row r="1144" spans="1:2" ht="15.75" customHeight="1" x14ac:dyDescent="0.25">
      <c r="A1144" s="6">
        <v>1239</v>
      </c>
      <c r="B1144" s="6" t="s">
        <v>2146</v>
      </c>
    </row>
    <row r="1145" spans="1:2" ht="15.75" customHeight="1" x14ac:dyDescent="0.25">
      <c r="A1145" s="6">
        <v>1238</v>
      </c>
      <c r="B1145" s="6" t="s">
        <v>2147</v>
      </c>
    </row>
    <row r="1146" spans="1:2" ht="15.75" customHeight="1" x14ac:dyDescent="0.25">
      <c r="A1146" s="6">
        <v>1013</v>
      </c>
      <c r="B1146" s="6" t="s">
        <v>1304</v>
      </c>
    </row>
    <row r="1147" spans="1:2" ht="15.75" customHeight="1" x14ac:dyDescent="0.25">
      <c r="A1147" s="6">
        <v>1232</v>
      </c>
      <c r="B1147" s="6" t="s">
        <v>2033</v>
      </c>
    </row>
    <row r="1148" spans="1:2" ht="15.75" customHeight="1" x14ac:dyDescent="0.25">
      <c r="A1148" s="6">
        <v>1070</v>
      </c>
      <c r="B1148" s="6" t="s">
        <v>1305</v>
      </c>
    </row>
    <row r="1149" spans="1:2" ht="15.75" customHeight="1" x14ac:dyDescent="0.25">
      <c r="A1149" s="6">
        <v>1202</v>
      </c>
      <c r="B1149" s="6" t="s">
        <v>1674</v>
      </c>
    </row>
    <row r="1150" spans="1:2" ht="15.75" customHeight="1" x14ac:dyDescent="0.25">
      <c r="A1150" s="6">
        <v>1160</v>
      </c>
      <c r="B1150" s="6" t="s">
        <v>1306</v>
      </c>
    </row>
    <row r="1151" spans="1:2" ht="15.75" customHeight="1" x14ac:dyDescent="0.25">
      <c r="A1151" s="6">
        <v>1245</v>
      </c>
      <c r="B1151" s="6" t="s">
        <v>2148</v>
      </c>
    </row>
    <row r="1152" spans="1:2" ht="15.75" customHeight="1" x14ac:dyDescent="0.25">
      <c r="A1152" s="6">
        <v>1244</v>
      </c>
      <c r="B1152" s="6" t="s">
        <v>2149</v>
      </c>
    </row>
    <row r="1153" spans="1:2" ht="15.75" customHeight="1" x14ac:dyDescent="0.25">
      <c r="A1153" s="6">
        <v>1242</v>
      </c>
      <c r="B1153" s="6" t="s">
        <v>2150</v>
      </c>
    </row>
    <row r="1154" spans="1:2" ht="15.75" customHeight="1" x14ac:dyDescent="0.25">
      <c r="A1154" s="6">
        <v>1158</v>
      </c>
      <c r="B1154" s="6" t="s">
        <v>1307</v>
      </c>
    </row>
    <row r="1155" spans="1:2" ht="15.75" customHeight="1" x14ac:dyDescent="0.25">
      <c r="A1155" s="6">
        <v>1143</v>
      </c>
      <c r="B1155" s="6" t="s">
        <v>1308</v>
      </c>
    </row>
    <row r="1156" spans="1:2" ht="15.75" customHeight="1" x14ac:dyDescent="0.25">
      <c r="A1156" s="6">
        <v>1122</v>
      </c>
      <c r="B1156" s="6" t="s">
        <v>1309</v>
      </c>
    </row>
    <row r="1157" spans="1:2" ht="15.75" customHeight="1" x14ac:dyDescent="0.25">
      <c r="A1157" s="6">
        <v>1172</v>
      </c>
      <c r="B1157" s="6" t="s">
        <v>1310</v>
      </c>
    </row>
    <row r="1158" spans="1:2" ht="15.75" customHeight="1" x14ac:dyDescent="0.25">
      <c r="A1158" s="6">
        <v>1100</v>
      </c>
      <c r="B1158" s="6" t="s">
        <v>1311</v>
      </c>
    </row>
    <row r="1159" spans="1:2" ht="15.75" customHeight="1" x14ac:dyDescent="0.25">
      <c r="A1159" s="6">
        <v>1101</v>
      </c>
      <c r="B1159" s="6" t="s">
        <v>1312</v>
      </c>
    </row>
    <row r="1160" spans="1:2" ht="15.75" customHeight="1" x14ac:dyDescent="0.25">
      <c r="A1160" s="6">
        <v>1102</v>
      </c>
      <c r="B1160" s="6" t="s">
        <v>1313</v>
      </c>
    </row>
    <row r="1161" spans="1:2" ht="15.75" customHeight="1" x14ac:dyDescent="0.25">
      <c r="A1161" s="6">
        <v>1073</v>
      </c>
      <c r="B1161" s="6" t="s">
        <v>1314</v>
      </c>
    </row>
    <row r="1162" spans="1:2" ht="15.75" customHeight="1" x14ac:dyDescent="0.25">
      <c r="A1162" s="6">
        <v>1074</v>
      </c>
      <c r="B1162" s="6" t="s">
        <v>1315</v>
      </c>
    </row>
    <row r="1163" spans="1:2" ht="15.75" customHeight="1" x14ac:dyDescent="0.25">
      <c r="A1163" s="6">
        <v>1148</v>
      </c>
      <c r="B1163" s="6" t="s">
        <v>1316</v>
      </c>
    </row>
    <row r="1164" spans="1:2" ht="15.75" customHeight="1" x14ac:dyDescent="0.25">
      <c r="A1164" s="6">
        <v>1228</v>
      </c>
      <c r="B1164" s="6" t="s">
        <v>2029</v>
      </c>
    </row>
    <row r="1165" spans="1:2" ht="15.75" customHeight="1" x14ac:dyDescent="0.25">
      <c r="A1165" s="6">
        <v>1227</v>
      </c>
      <c r="B1165" s="6" t="s">
        <v>2028</v>
      </c>
    </row>
    <row r="1166" spans="1:2" ht="15.75" customHeight="1" x14ac:dyDescent="0.25">
      <c r="A1166" s="6">
        <v>1226</v>
      </c>
      <c r="B1166" s="6" t="s">
        <v>2027</v>
      </c>
    </row>
    <row r="1167" spans="1:2" ht="15.75" customHeight="1" x14ac:dyDescent="0.25">
      <c r="A1167" s="6">
        <v>1243</v>
      </c>
      <c r="B1167" s="6" t="s">
        <v>2151</v>
      </c>
    </row>
    <row r="1168" spans="1:2" ht="15.75" customHeight="1" x14ac:dyDescent="0.25">
      <c r="A1168" s="6">
        <v>1233</v>
      </c>
      <c r="B1168" s="6" t="s">
        <v>2034</v>
      </c>
    </row>
    <row r="1169" spans="1:2" ht="15.75" customHeight="1" x14ac:dyDescent="0.25">
      <c r="A1169" s="6">
        <v>1149</v>
      </c>
      <c r="B1169" s="6" t="s">
        <v>1317</v>
      </c>
    </row>
    <row r="1170" spans="1:2" ht="15.75" customHeight="1" x14ac:dyDescent="0.25">
      <c r="A1170" s="6">
        <v>1104</v>
      </c>
      <c r="B1170" s="6" t="s">
        <v>1318</v>
      </c>
    </row>
    <row r="1171" spans="1:2" ht="15.75" customHeight="1" x14ac:dyDescent="0.25">
      <c r="A1171" s="6">
        <v>1075</v>
      </c>
      <c r="B1171" s="6" t="s">
        <v>1319</v>
      </c>
    </row>
    <row r="1172" spans="1:2" ht="15.75" customHeight="1" x14ac:dyDescent="0.25">
      <c r="A1172" s="6">
        <v>1076</v>
      </c>
      <c r="B1172" s="6" t="s">
        <v>1320</v>
      </c>
    </row>
    <row r="1173" spans="1:2" ht="15.75" customHeight="1" x14ac:dyDescent="0.25">
      <c r="A1173" s="6">
        <v>1105</v>
      </c>
      <c r="B1173" s="6" t="s">
        <v>1321</v>
      </c>
    </row>
    <row r="1174" spans="1:2" ht="15.75" customHeight="1" x14ac:dyDescent="0.25">
      <c r="A1174" s="6">
        <v>1008</v>
      </c>
      <c r="B1174" s="6" t="s">
        <v>1322</v>
      </c>
    </row>
    <row r="1175" spans="1:2" ht="15.75" customHeight="1" x14ac:dyDescent="0.25">
      <c r="A1175" s="6">
        <v>1110</v>
      </c>
      <c r="B1175" s="6" t="s">
        <v>1323</v>
      </c>
    </row>
    <row r="1176" spans="1:2" ht="15.75" customHeight="1" x14ac:dyDescent="0.25">
      <c r="A1176" s="6">
        <v>1071</v>
      </c>
      <c r="B1176" s="6" t="s">
        <v>1324</v>
      </c>
    </row>
    <row r="1177" spans="1:2" ht="15.75" customHeight="1" x14ac:dyDescent="0.25">
      <c r="A1177" s="6">
        <v>1218</v>
      </c>
      <c r="B1177" s="6" t="s">
        <v>2019</v>
      </c>
    </row>
    <row r="1178" spans="1:2" ht="15.75" customHeight="1" x14ac:dyDescent="0.25">
      <c r="A1178" s="6">
        <v>1217</v>
      </c>
      <c r="B1178" s="6" t="s">
        <v>2018</v>
      </c>
    </row>
    <row r="1179" spans="1:2" ht="15.75" customHeight="1" x14ac:dyDescent="0.25">
      <c r="A1179" s="6">
        <v>1216</v>
      </c>
      <c r="B1179" s="6" t="s">
        <v>2017</v>
      </c>
    </row>
    <row r="1180" spans="1:2" ht="15.75" customHeight="1" x14ac:dyDescent="0.25">
      <c r="A1180" s="6">
        <v>1222</v>
      </c>
      <c r="B1180" s="6" t="s">
        <v>2023</v>
      </c>
    </row>
    <row r="1181" spans="1:2" ht="15.75" customHeight="1" x14ac:dyDescent="0.25">
      <c r="A1181" s="6">
        <v>1221</v>
      </c>
      <c r="B1181" s="6" t="s">
        <v>2022</v>
      </c>
    </row>
    <row r="1182" spans="1:2" ht="15.75" customHeight="1" x14ac:dyDescent="0.25">
      <c r="A1182" s="6">
        <v>1220</v>
      </c>
      <c r="B1182" s="6" t="s">
        <v>2021</v>
      </c>
    </row>
    <row r="1183" spans="1:2" ht="15.75" customHeight="1" x14ac:dyDescent="0.25">
      <c r="A1183" s="6">
        <v>1219</v>
      </c>
      <c r="B1183" s="6" t="s">
        <v>2020</v>
      </c>
    </row>
    <row r="1184" spans="1:2" ht="15.75" customHeight="1" x14ac:dyDescent="0.25">
      <c r="A1184" s="6">
        <v>1186</v>
      </c>
      <c r="B1184" s="6" t="s">
        <v>1325</v>
      </c>
    </row>
    <row r="1185" spans="1:2" ht="15.75" customHeight="1" x14ac:dyDescent="0.25">
      <c r="A1185" s="6">
        <v>1103</v>
      </c>
      <c r="B1185" s="6" t="s">
        <v>1326</v>
      </c>
    </row>
    <row r="1186" spans="1:2" ht="15.75" customHeight="1" x14ac:dyDescent="0.25">
      <c r="A1186" s="6">
        <v>1072</v>
      </c>
      <c r="B1186" s="6" t="s">
        <v>1327</v>
      </c>
    </row>
    <row r="1187" spans="1:2" ht="15.75" customHeight="1" x14ac:dyDescent="0.25">
      <c r="A1187" s="6">
        <v>1215</v>
      </c>
      <c r="B1187" s="6" t="s">
        <v>2016</v>
      </c>
    </row>
    <row r="1188" spans="1:2" ht="15.75" customHeight="1" x14ac:dyDescent="0.25">
      <c r="A1188" s="6">
        <v>1214</v>
      </c>
      <c r="B1188" s="6" t="s">
        <v>2015</v>
      </c>
    </row>
    <row r="1189" spans="1:2" ht="15.75" customHeight="1" x14ac:dyDescent="0.25">
      <c r="A1189" s="6">
        <v>1213</v>
      </c>
      <c r="B1189" s="6" t="s">
        <v>2014</v>
      </c>
    </row>
    <row r="1190" spans="1:2" ht="15.75" customHeight="1" x14ac:dyDescent="0.25">
      <c r="A1190" s="6">
        <v>1225</v>
      </c>
      <c r="B1190" s="6" t="s">
        <v>2026</v>
      </c>
    </row>
    <row r="1191" spans="1:2" ht="15.75" customHeight="1" x14ac:dyDescent="0.25">
      <c r="A1191" s="6">
        <v>1224</v>
      </c>
      <c r="B1191" s="6" t="s">
        <v>2025</v>
      </c>
    </row>
    <row r="1192" spans="1:2" ht="15.75" customHeight="1" x14ac:dyDescent="0.25">
      <c r="A1192" s="6">
        <v>1223</v>
      </c>
      <c r="B1192" s="6" t="s">
        <v>2024</v>
      </c>
    </row>
    <row r="1193" spans="1:2" ht="15.75" customHeight="1" x14ac:dyDescent="0.25">
      <c r="A1193" s="6">
        <v>1139</v>
      </c>
      <c r="B1193" s="6" t="s">
        <v>1328</v>
      </c>
    </row>
    <row r="1194" spans="1:2" ht="15.75" customHeight="1" x14ac:dyDescent="0.25">
      <c r="A1194" s="6">
        <v>1134</v>
      </c>
      <c r="B1194" s="6" t="s">
        <v>1329</v>
      </c>
    </row>
    <row r="1195" spans="1:2" ht="15.75" customHeight="1" x14ac:dyDescent="0.25">
      <c r="A1195" s="6">
        <v>1140</v>
      </c>
      <c r="B1195" s="6" t="s">
        <v>1330</v>
      </c>
    </row>
    <row r="1196" spans="1:2" ht="15.75" customHeight="1" x14ac:dyDescent="0.25">
      <c r="A1196" s="6">
        <v>1237</v>
      </c>
      <c r="B1196" s="6" t="s">
        <v>2152</v>
      </c>
    </row>
    <row r="1197" spans="1:2" ht="15.75" customHeight="1" x14ac:dyDescent="0.25">
      <c r="A1197" s="6">
        <v>1192</v>
      </c>
      <c r="B1197" s="6" t="s">
        <v>1331</v>
      </c>
    </row>
    <row r="1198" spans="1:2" ht="15.75" customHeight="1" x14ac:dyDescent="0.25">
      <c r="A1198" s="6">
        <v>1188</v>
      </c>
      <c r="B1198" s="6" t="s">
        <v>1332</v>
      </c>
    </row>
    <row r="1199" spans="1:2" ht="15.75" customHeight="1" x14ac:dyDescent="0.25">
      <c r="A1199" s="6">
        <v>1210</v>
      </c>
      <c r="B1199" s="6" t="s">
        <v>1838</v>
      </c>
    </row>
    <row r="1200" spans="1:2" ht="15.75" customHeight="1" x14ac:dyDescent="0.25">
      <c r="A1200" s="6">
        <v>1231</v>
      </c>
      <c r="B1200" s="6" t="s">
        <v>2032</v>
      </c>
    </row>
    <row r="1201" spans="1:2" ht="15.75" customHeight="1" x14ac:dyDescent="0.25">
      <c r="A1201" s="6">
        <v>1209</v>
      </c>
      <c r="B1201" s="6" t="s">
        <v>1837</v>
      </c>
    </row>
    <row r="1202" spans="1:2" ht="15.75" customHeight="1" x14ac:dyDescent="0.25">
      <c r="A1202" s="6">
        <v>1206</v>
      </c>
      <c r="B1202" s="6" t="s">
        <v>1678</v>
      </c>
    </row>
    <row r="1203" spans="1:2" ht="15.75" customHeight="1" x14ac:dyDescent="0.25">
      <c r="A1203" s="6">
        <v>1203</v>
      </c>
      <c r="B1203" s="6" t="s">
        <v>1675</v>
      </c>
    </row>
    <row r="1204" spans="1:2" ht="15.75" customHeight="1" x14ac:dyDescent="0.25">
      <c r="A1204" s="6">
        <v>1201</v>
      </c>
      <c r="B1204" s="6" t="s">
        <v>1624</v>
      </c>
    </row>
    <row r="1205" spans="1:2" ht="15.75" customHeight="1" x14ac:dyDescent="0.25">
      <c r="A1205" s="6">
        <v>1163</v>
      </c>
      <c r="B1205" s="6" t="s">
        <v>1333</v>
      </c>
    </row>
    <row r="1206" spans="1:2" ht="15.75" customHeight="1" x14ac:dyDescent="0.25">
      <c r="A1206" s="6">
        <v>1180</v>
      </c>
      <c r="B1206" s="6" t="s">
        <v>1334</v>
      </c>
    </row>
    <row r="1207" spans="1:2" ht="15.75" customHeight="1" x14ac:dyDescent="0.25">
      <c r="A1207" s="6">
        <v>1199</v>
      </c>
      <c r="B1207" s="6" t="s">
        <v>1622</v>
      </c>
    </row>
    <row r="1208" spans="1:2" ht="15.75" customHeight="1" x14ac:dyDescent="0.25">
      <c r="A1208" s="6">
        <v>1133</v>
      </c>
      <c r="B1208" s="6" t="s">
        <v>1335</v>
      </c>
    </row>
    <row r="1209" spans="1:2" ht="15.75" customHeight="1" x14ac:dyDescent="0.25">
      <c r="A1209" s="6">
        <v>1127</v>
      </c>
      <c r="B1209" s="6" t="s">
        <v>1336</v>
      </c>
    </row>
    <row r="1210" spans="1:2" ht="15.75" customHeight="1" x14ac:dyDescent="0.25">
      <c r="A1210" s="6">
        <v>1118</v>
      </c>
      <c r="B1210" s="6" t="s">
        <v>1337</v>
      </c>
    </row>
    <row r="1211" spans="1:2" ht="15.75" customHeight="1" x14ac:dyDescent="0.25">
      <c r="A1211" s="6">
        <v>1166</v>
      </c>
      <c r="B1211" s="6" t="s">
        <v>1338</v>
      </c>
    </row>
    <row r="1212" spans="1:2" ht="15.75" customHeight="1" x14ac:dyDescent="0.25">
      <c r="A1212" s="6">
        <v>1162</v>
      </c>
      <c r="B1212" s="6" t="s">
        <v>1339</v>
      </c>
    </row>
    <row r="1213" spans="1:2" ht="15.75" customHeight="1" x14ac:dyDescent="0.25">
      <c r="A1213" s="6">
        <v>1132</v>
      </c>
      <c r="B1213" s="6" t="s">
        <v>1340</v>
      </c>
    </row>
    <row r="1214" spans="1:2" ht="15.75" customHeight="1" x14ac:dyDescent="0.25">
      <c r="A1214" s="6">
        <v>1126</v>
      </c>
      <c r="B1214" s="6" t="s">
        <v>1341</v>
      </c>
    </row>
    <row r="1215" spans="1:2" ht="15.75" customHeight="1" x14ac:dyDescent="0.25">
      <c r="A1215" s="6">
        <v>1171</v>
      </c>
      <c r="B1215" s="6" t="s">
        <v>1342</v>
      </c>
    </row>
    <row r="1216" spans="1:2" ht="15.75" customHeight="1" x14ac:dyDescent="0.25">
      <c r="A1216" s="6">
        <v>1135</v>
      </c>
      <c r="B1216" s="6" t="s">
        <v>1343</v>
      </c>
    </row>
    <row r="1217" spans="1:2" ht="15.75" customHeight="1" x14ac:dyDescent="0.25">
      <c r="A1217" s="6">
        <v>1200</v>
      </c>
      <c r="B1217" s="6" t="s">
        <v>1623</v>
      </c>
    </row>
    <row r="1218" spans="1:2" ht="15.75" customHeight="1" x14ac:dyDescent="0.25">
      <c r="A1218" s="6">
        <v>1230</v>
      </c>
      <c r="B1218" s="6" t="s">
        <v>2031</v>
      </c>
    </row>
    <row r="1219" spans="1:2" ht="15.75" customHeight="1" x14ac:dyDescent="0.25">
      <c r="A1219" s="6">
        <v>1179</v>
      </c>
      <c r="B1219" s="6" t="s">
        <v>1344</v>
      </c>
    </row>
    <row r="1220" spans="1:2" ht="15.75" customHeight="1" x14ac:dyDescent="0.25">
      <c r="A1220" s="6">
        <v>1194</v>
      </c>
      <c r="B1220" s="6" t="s">
        <v>1617</v>
      </c>
    </row>
    <row r="1221" spans="1:2" ht="15.75" customHeight="1" x14ac:dyDescent="0.25">
      <c r="A1221" s="6">
        <v>1236</v>
      </c>
      <c r="B1221" s="6" t="s">
        <v>2037</v>
      </c>
    </row>
    <row r="1222" spans="1:2" ht="15.75" customHeight="1" x14ac:dyDescent="0.25">
      <c r="A1222" s="6">
        <v>1234</v>
      </c>
      <c r="B1222" s="6" t="s">
        <v>2035</v>
      </c>
    </row>
    <row r="1223" spans="1:2" ht="15.75" customHeight="1" x14ac:dyDescent="0.25">
      <c r="A1223" s="6">
        <v>1235</v>
      </c>
      <c r="B1223" s="6" t="s">
        <v>2036</v>
      </c>
    </row>
    <row r="1224" spans="1:2" ht="15.75" customHeight="1" x14ac:dyDescent="0.25">
      <c r="A1224" s="6">
        <v>1185</v>
      </c>
      <c r="B1224" s="6" t="s">
        <v>1345</v>
      </c>
    </row>
    <row r="1225" spans="1:2" ht="15.75" customHeight="1" x14ac:dyDescent="0.25">
      <c r="A1225" s="6">
        <v>1229</v>
      </c>
      <c r="B1225" s="6" t="s">
        <v>2030</v>
      </c>
    </row>
    <row r="1226" spans="1:2" ht="15.75" customHeight="1" x14ac:dyDescent="0.25">
      <c r="A1226" s="6">
        <v>1167</v>
      </c>
      <c r="B1226" s="6" t="s">
        <v>1346</v>
      </c>
    </row>
    <row r="1227" spans="1:2" ht="15.75" customHeight="1" x14ac:dyDescent="0.25">
      <c r="A1227" s="6">
        <v>210016</v>
      </c>
      <c r="B1227" s="6" t="s">
        <v>1347</v>
      </c>
    </row>
    <row r="1228" spans="1:2" ht="15.75" customHeight="1" x14ac:dyDescent="0.25">
      <c r="A1228" s="6">
        <v>222014</v>
      </c>
      <c r="B1228" s="6" t="s">
        <v>1347</v>
      </c>
    </row>
    <row r="1229" spans="1:2" ht="15.75" customHeight="1" x14ac:dyDescent="0.25">
      <c r="A1229" s="6">
        <v>26039</v>
      </c>
      <c r="B1229" s="6" t="s">
        <v>1348</v>
      </c>
    </row>
    <row r="1230" spans="1:2" ht="15.75" customHeight="1" x14ac:dyDescent="0.25">
      <c r="A1230" s="6">
        <v>208026</v>
      </c>
      <c r="B1230" s="6" t="s">
        <v>1349</v>
      </c>
    </row>
    <row r="1231" spans="1:2" ht="15.75" customHeight="1" x14ac:dyDescent="0.25">
      <c r="A1231" s="6">
        <v>211001</v>
      </c>
      <c r="B1231" s="6" t="s">
        <v>1349</v>
      </c>
    </row>
    <row r="1232" spans="1:2" ht="15.75" customHeight="1" x14ac:dyDescent="0.25">
      <c r="A1232" s="6">
        <v>211004</v>
      </c>
      <c r="B1232" s="6" t="s">
        <v>1350</v>
      </c>
    </row>
    <row r="1233" spans="1:2" ht="15.75" customHeight="1" x14ac:dyDescent="0.25">
      <c r="A1233" s="6">
        <v>220014</v>
      </c>
      <c r="B1233" s="6" t="s">
        <v>1351</v>
      </c>
    </row>
    <row r="1234" spans="1:2" ht="15.75" customHeight="1" x14ac:dyDescent="0.25">
      <c r="A1234" s="6">
        <v>52003</v>
      </c>
      <c r="B1234" s="6" t="s">
        <v>1352</v>
      </c>
    </row>
    <row r="1235" spans="1:2" ht="15.75" customHeight="1" x14ac:dyDescent="0.25">
      <c r="A1235" s="6">
        <v>53061</v>
      </c>
      <c r="B1235" s="6" t="s">
        <v>1353</v>
      </c>
    </row>
    <row r="1236" spans="1:2" ht="15.75" customHeight="1" x14ac:dyDescent="0.25">
      <c r="A1236" s="6">
        <v>53062</v>
      </c>
      <c r="B1236" s="6" t="s">
        <v>1354</v>
      </c>
    </row>
    <row r="1237" spans="1:2" ht="15.75" customHeight="1" x14ac:dyDescent="0.25">
      <c r="A1237" s="6">
        <v>53059</v>
      </c>
      <c r="B1237" s="6" t="s">
        <v>1355</v>
      </c>
    </row>
    <row r="1238" spans="1:2" ht="15.75" customHeight="1" x14ac:dyDescent="0.25">
      <c r="A1238" s="6">
        <v>66011</v>
      </c>
      <c r="B1238" s="6" t="s">
        <v>1355</v>
      </c>
    </row>
    <row r="1239" spans="1:2" ht="15.75" customHeight="1" x14ac:dyDescent="0.25">
      <c r="A1239" s="6">
        <v>67011</v>
      </c>
      <c r="B1239" s="6" t="s">
        <v>1355</v>
      </c>
    </row>
    <row r="1240" spans="1:2" ht="15.75" customHeight="1" x14ac:dyDescent="0.25">
      <c r="A1240" s="6">
        <v>66012</v>
      </c>
      <c r="B1240" s="6" t="s">
        <v>2011</v>
      </c>
    </row>
    <row r="1241" spans="1:2" ht="15.75" customHeight="1" x14ac:dyDescent="0.25">
      <c r="A1241" s="6">
        <v>67012</v>
      </c>
      <c r="B1241" s="6" t="s">
        <v>2011</v>
      </c>
    </row>
    <row r="1242" spans="1:2" ht="15.75" customHeight="1" x14ac:dyDescent="0.25">
      <c r="A1242" s="6">
        <v>53060</v>
      </c>
      <c r="B1242" s="6" t="s">
        <v>1356</v>
      </c>
    </row>
    <row r="1243" spans="1:2" ht="15.75" customHeight="1" x14ac:dyDescent="0.25">
      <c r="A1243" s="6">
        <v>262003</v>
      </c>
      <c r="B1243" s="6" t="s">
        <v>1831</v>
      </c>
    </row>
    <row r="1244" spans="1:2" ht="15.75" customHeight="1" x14ac:dyDescent="0.25">
      <c r="A1244" s="6">
        <v>462014</v>
      </c>
      <c r="B1244" s="6" t="s">
        <v>1831</v>
      </c>
    </row>
    <row r="1245" spans="1:2" ht="15.75" customHeight="1" x14ac:dyDescent="0.25">
      <c r="A1245" s="6">
        <v>462004</v>
      </c>
      <c r="B1245" s="6" t="s">
        <v>1821</v>
      </c>
    </row>
    <row r="1246" spans="1:2" ht="15.75" customHeight="1" x14ac:dyDescent="0.25">
      <c r="A1246" s="6">
        <v>309004</v>
      </c>
      <c r="B1246" s="6" t="s">
        <v>1357</v>
      </c>
    </row>
    <row r="1247" spans="1:2" ht="15.75" customHeight="1" x14ac:dyDescent="0.25">
      <c r="A1247" s="6">
        <v>208022</v>
      </c>
      <c r="B1247" s="6" t="s">
        <v>1358</v>
      </c>
    </row>
    <row r="1248" spans="1:2" ht="15.75" customHeight="1" x14ac:dyDescent="0.25">
      <c r="A1248" s="6">
        <v>210024</v>
      </c>
      <c r="B1248" s="6" t="s">
        <v>1358</v>
      </c>
    </row>
    <row r="1249" spans="1:2" ht="15.75" customHeight="1" x14ac:dyDescent="0.25">
      <c r="A1249" s="6">
        <v>222019</v>
      </c>
      <c r="B1249" s="6" t="s">
        <v>1358</v>
      </c>
    </row>
    <row r="1250" spans="1:2" ht="15.75" customHeight="1" x14ac:dyDescent="0.25">
      <c r="A1250" s="6">
        <v>434014</v>
      </c>
      <c r="B1250" s="6" t="s">
        <v>1359</v>
      </c>
    </row>
    <row r="1251" spans="1:2" ht="15.75" customHeight="1" x14ac:dyDescent="0.25">
      <c r="A1251" s="6">
        <v>434015</v>
      </c>
      <c r="B1251" s="6" t="s">
        <v>1360</v>
      </c>
    </row>
    <row r="1252" spans="1:2" ht="15.75" customHeight="1" x14ac:dyDescent="0.25">
      <c r="A1252" s="6">
        <v>51001</v>
      </c>
      <c r="B1252" s="6" t="s">
        <v>1361</v>
      </c>
    </row>
    <row r="1253" spans="1:2" ht="15.75" customHeight="1" x14ac:dyDescent="0.25">
      <c r="A1253" s="6">
        <v>37015</v>
      </c>
      <c r="B1253" s="6" t="s">
        <v>1362</v>
      </c>
    </row>
    <row r="1254" spans="1:2" ht="15.75" customHeight="1" x14ac:dyDescent="0.25">
      <c r="A1254" s="6">
        <v>37016</v>
      </c>
      <c r="B1254" s="6" t="s">
        <v>1363</v>
      </c>
    </row>
    <row r="1255" spans="1:2" ht="15.75" customHeight="1" x14ac:dyDescent="0.25">
      <c r="A1255" s="6">
        <v>137017</v>
      </c>
      <c r="B1255" s="6" t="s">
        <v>1364</v>
      </c>
    </row>
    <row r="1256" spans="1:2" ht="15.75" customHeight="1" x14ac:dyDescent="0.25">
      <c r="A1256" s="6">
        <v>434016</v>
      </c>
      <c r="B1256" s="6" t="s">
        <v>1365</v>
      </c>
    </row>
    <row r="1257" spans="1:2" ht="15.75" customHeight="1" x14ac:dyDescent="0.25">
      <c r="A1257" s="6">
        <v>434017</v>
      </c>
      <c r="B1257" s="6" t="s">
        <v>1366</v>
      </c>
    </row>
    <row r="1258" spans="1:2" ht="15.75" customHeight="1" x14ac:dyDescent="0.25">
      <c r="A1258" s="6">
        <v>409027</v>
      </c>
      <c r="B1258" s="6" t="s">
        <v>1680</v>
      </c>
    </row>
    <row r="1259" spans="1:2" ht="15.75" customHeight="1" x14ac:dyDescent="0.25">
      <c r="A1259" s="6">
        <v>73007</v>
      </c>
      <c r="B1259" s="6" t="s">
        <v>2153</v>
      </c>
    </row>
    <row r="1260" spans="1:2" ht="15.75" customHeight="1" x14ac:dyDescent="0.25">
      <c r="A1260" s="6">
        <v>73009</v>
      </c>
      <c r="B1260" s="6" t="s">
        <v>2154</v>
      </c>
    </row>
    <row r="1261" spans="1:2" ht="15.75" customHeight="1" x14ac:dyDescent="0.25">
      <c r="A1261" s="6">
        <v>73002</v>
      </c>
      <c r="B1261" s="6" t="s">
        <v>2155</v>
      </c>
    </row>
    <row r="1262" spans="1:2" ht="15.75" customHeight="1" x14ac:dyDescent="0.25">
      <c r="A1262" s="6">
        <v>73006</v>
      </c>
      <c r="B1262" s="6" t="s">
        <v>2156</v>
      </c>
    </row>
    <row r="1263" spans="1:2" ht="15.75" customHeight="1" x14ac:dyDescent="0.25">
      <c r="A1263" s="6">
        <v>73008</v>
      </c>
      <c r="B1263" s="6" t="s">
        <v>2157</v>
      </c>
    </row>
    <row r="1264" spans="1:2" ht="15.75" customHeight="1" x14ac:dyDescent="0.25">
      <c r="A1264" s="6">
        <v>73001</v>
      </c>
      <c r="B1264" s="6" t="s">
        <v>2158</v>
      </c>
    </row>
    <row r="1265" spans="1:2" ht="15.75" customHeight="1" x14ac:dyDescent="0.25">
      <c r="A1265" s="6">
        <v>73005</v>
      </c>
      <c r="B1265" s="6" t="s">
        <v>2159</v>
      </c>
    </row>
    <row r="1266" spans="1:2" ht="15.75" customHeight="1" x14ac:dyDescent="0.25">
      <c r="A1266" s="6">
        <v>73010</v>
      </c>
      <c r="B1266" s="6" t="s">
        <v>2160</v>
      </c>
    </row>
    <row r="1267" spans="1:2" ht="15.75" customHeight="1" x14ac:dyDescent="0.25">
      <c r="A1267" s="6">
        <v>73004</v>
      </c>
      <c r="B1267" s="6" t="s">
        <v>2161</v>
      </c>
    </row>
    <row r="1268" spans="1:2" ht="15.75" customHeight="1" x14ac:dyDescent="0.25">
      <c r="A1268" s="6">
        <v>73003</v>
      </c>
      <c r="B1268" s="6" t="s">
        <v>2162</v>
      </c>
    </row>
    <row r="1269" spans="1:2" ht="15.75" customHeight="1" x14ac:dyDescent="0.25">
      <c r="A1269" s="6">
        <v>21001</v>
      </c>
      <c r="B1269" s="6" t="s">
        <v>422</v>
      </c>
    </row>
    <row r="1270" spans="1:2" ht="15.75" customHeight="1" x14ac:dyDescent="0.25">
      <c r="A1270" s="6">
        <v>220039</v>
      </c>
      <c r="B1270" s="6" t="s">
        <v>422</v>
      </c>
    </row>
    <row r="1271" spans="1:2" ht="15.75" customHeight="1" x14ac:dyDescent="0.25">
      <c r="A1271" s="6">
        <v>48003</v>
      </c>
      <c r="B1271" s="6" t="s">
        <v>1367</v>
      </c>
    </row>
    <row r="1272" spans="1:2" ht="15.75" customHeight="1" x14ac:dyDescent="0.25">
      <c r="A1272" s="6">
        <v>48004</v>
      </c>
      <c r="B1272" s="6" t="s">
        <v>1368</v>
      </c>
    </row>
    <row r="1273" spans="1:2" ht="15.75" customHeight="1" x14ac:dyDescent="0.25">
      <c r="A1273" s="6">
        <v>220015</v>
      </c>
      <c r="B1273" s="6" t="s">
        <v>1369</v>
      </c>
    </row>
    <row r="1274" spans="1:2" ht="15.75" customHeight="1" x14ac:dyDescent="0.25">
      <c r="A1274" s="6">
        <v>25002</v>
      </c>
      <c r="B1274" s="6" t="s">
        <v>1370</v>
      </c>
    </row>
    <row r="1275" spans="1:2" ht="15.75" customHeight="1" x14ac:dyDescent="0.25">
      <c r="A1275" s="6">
        <v>25001</v>
      </c>
      <c r="B1275" s="6" t="s">
        <v>1371</v>
      </c>
    </row>
    <row r="1276" spans="1:2" ht="15.75" customHeight="1" x14ac:dyDescent="0.25">
      <c r="A1276" s="6">
        <v>25003</v>
      </c>
      <c r="B1276" s="6" t="s">
        <v>1373</v>
      </c>
    </row>
    <row r="1277" spans="1:2" ht="15.75" customHeight="1" x14ac:dyDescent="0.25">
      <c r="A1277" s="6">
        <v>210017</v>
      </c>
      <c r="B1277" s="6" t="s">
        <v>1374</v>
      </c>
    </row>
    <row r="1278" spans="1:2" ht="15.75" customHeight="1" x14ac:dyDescent="0.25">
      <c r="A1278" s="6">
        <v>222022</v>
      </c>
      <c r="B1278" s="6" t="s">
        <v>1375</v>
      </c>
    </row>
    <row r="1279" spans="1:2" ht="15.75" customHeight="1" x14ac:dyDescent="0.25">
      <c r="A1279" s="6">
        <v>434018</v>
      </c>
      <c r="B1279" s="6" t="s">
        <v>1376</v>
      </c>
    </row>
    <row r="1280" spans="1:2" ht="15.75" customHeight="1" x14ac:dyDescent="0.25">
      <c r="A1280" s="6">
        <v>434019</v>
      </c>
      <c r="B1280" s="6" t="s">
        <v>1377</v>
      </c>
    </row>
    <row r="1281" spans="1:2" ht="15.75" customHeight="1" x14ac:dyDescent="0.25">
      <c r="A1281" s="6">
        <v>35004</v>
      </c>
      <c r="B1281" s="6" t="s">
        <v>568</v>
      </c>
    </row>
    <row r="1282" spans="1:2" ht="15.75" customHeight="1" x14ac:dyDescent="0.25">
      <c r="A1282" s="6">
        <v>35005</v>
      </c>
      <c r="B1282" s="6" t="s">
        <v>564</v>
      </c>
    </row>
    <row r="1283" spans="1:2" ht="15.75" customHeight="1" x14ac:dyDescent="0.25">
      <c r="A1283" s="6">
        <v>409014</v>
      </c>
      <c r="B1283" s="6" t="s">
        <v>1378</v>
      </c>
    </row>
    <row r="1284" spans="1:2" ht="15.75" customHeight="1" x14ac:dyDescent="0.25">
      <c r="A1284" s="6">
        <v>209017</v>
      </c>
      <c r="B1284" s="6" t="s">
        <v>1379</v>
      </c>
    </row>
    <row r="1285" spans="1:2" ht="15.75" customHeight="1" x14ac:dyDescent="0.25">
      <c r="A1285" s="6">
        <v>470002</v>
      </c>
      <c r="B1285" s="6" t="s">
        <v>2065</v>
      </c>
    </row>
    <row r="1286" spans="1:2" ht="15.75" customHeight="1" x14ac:dyDescent="0.25">
      <c r="A1286" s="6">
        <v>220016</v>
      </c>
      <c r="B1286" s="6" t="s">
        <v>1380</v>
      </c>
    </row>
    <row r="1287" spans="1:2" ht="15.75" customHeight="1" x14ac:dyDescent="0.25">
      <c r="A1287" s="6">
        <v>221007</v>
      </c>
      <c r="B1287" s="6" t="s">
        <v>1380</v>
      </c>
    </row>
    <row r="1288" spans="1:2" ht="15.75" customHeight="1" x14ac:dyDescent="0.25">
      <c r="A1288" s="6">
        <v>220031</v>
      </c>
      <c r="B1288" s="6" t="s">
        <v>1381</v>
      </c>
    </row>
    <row r="1289" spans="1:2" ht="15.75" customHeight="1" x14ac:dyDescent="0.25">
      <c r="A1289" s="6">
        <v>236006</v>
      </c>
      <c r="B1289" s="6" t="s">
        <v>1382</v>
      </c>
    </row>
    <row r="1290" spans="1:2" ht="15.75" customHeight="1" x14ac:dyDescent="0.25">
      <c r="A1290" s="6">
        <v>236005</v>
      </c>
      <c r="B1290" s="6" t="s">
        <v>1383</v>
      </c>
    </row>
    <row r="1291" spans="1:2" ht="15.75" customHeight="1" x14ac:dyDescent="0.25">
      <c r="A1291" s="6">
        <v>236002</v>
      </c>
      <c r="B1291" s="6" t="s">
        <v>1384</v>
      </c>
    </row>
    <row r="1292" spans="1:2" ht="15.75" customHeight="1" x14ac:dyDescent="0.25">
      <c r="A1292" s="6">
        <v>227004</v>
      </c>
      <c r="B1292" s="6" t="s">
        <v>1385</v>
      </c>
    </row>
    <row r="1293" spans="1:2" ht="15.75" customHeight="1" x14ac:dyDescent="0.25">
      <c r="A1293" s="6">
        <v>227007</v>
      </c>
      <c r="B1293" s="6" t="s">
        <v>1386</v>
      </c>
    </row>
    <row r="1294" spans="1:2" ht="15.75" customHeight="1" x14ac:dyDescent="0.25">
      <c r="A1294" s="6">
        <v>227003</v>
      </c>
      <c r="B1294" s="6" t="s">
        <v>1387</v>
      </c>
    </row>
    <row r="1295" spans="1:2" ht="15.75" customHeight="1" x14ac:dyDescent="0.25">
      <c r="A1295" s="6">
        <v>227006</v>
      </c>
      <c r="B1295" s="6" t="s">
        <v>1388</v>
      </c>
    </row>
    <row r="1296" spans="1:2" ht="15.75" customHeight="1" x14ac:dyDescent="0.25">
      <c r="A1296" s="6">
        <v>227002</v>
      </c>
      <c r="B1296" s="6" t="s">
        <v>1389</v>
      </c>
    </row>
    <row r="1297" spans="1:2" ht="15.75" customHeight="1" x14ac:dyDescent="0.25">
      <c r="A1297" s="6">
        <v>227005</v>
      </c>
      <c r="B1297" s="6" t="s">
        <v>1390</v>
      </c>
    </row>
    <row r="1298" spans="1:2" ht="15.75" customHeight="1" x14ac:dyDescent="0.25">
      <c r="A1298" s="6">
        <v>227001</v>
      </c>
      <c r="B1298" s="6" t="s">
        <v>1391</v>
      </c>
    </row>
    <row r="1299" spans="1:2" ht="15.75" customHeight="1" x14ac:dyDescent="0.25">
      <c r="A1299" s="6">
        <v>227008</v>
      </c>
      <c r="B1299" s="6" t="s">
        <v>1392</v>
      </c>
    </row>
    <row r="1300" spans="1:2" ht="15.75" customHeight="1" x14ac:dyDescent="0.25">
      <c r="A1300" s="6">
        <v>236003</v>
      </c>
      <c r="B1300" s="6" t="s">
        <v>1393</v>
      </c>
    </row>
    <row r="1301" spans="1:2" ht="15.75" customHeight="1" x14ac:dyDescent="0.25">
      <c r="A1301" s="6">
        <v>236001</v>
      </c>
      <c r="B1301" s="6" t="s">
        <v>1394</v>
      </c>
    </row>
    <row r="1302" spans="1:2" ht="15.75" customHeight="1" x14ac:dyDescent="0.25">
      <c r="A1302" s="6">
        <v>236004</v>
      </c>
      <c r="B1302" s="6" t="s">
        <v>1395</v>
      </c>
    </row>
    <row r="1303" spans="1:2" ht="15.75" customHeight="1" x14ac:dyDescent="0.25">
      <c r="A1303" s="6">
        <v>227009</v>
      </c>
      <c r="B1303" s="6" t="s">
        <v>1396</v>
      </c>
    </row>
    <row r="1304" spans="1:2" ht="15.75" customHeight="1" x14ac:dyDescent="0.25">
      <c r="A1304" s="6">
        <v>220017</v>
      </c>
      <c r="B1304" s="6" t="s">
        <v>1397</v>
      </c>
    </row>
    <row r="1305" spans="1:2" ht="15.75" customHeight="1" x14ac:dyDescent="0.25">
      <c r="A1305" s="6">
        <v>53072</v>
      </c>
      <c r="B1305" s="6" t="s">
        <v>1398</v>
      </c>
    </row>
    <row r="1306" spans="1:2" ht="15.75" customHeight="1" x14ac:dyDescent="0.25">
      <c r="A1306" s="6">
        <v>53074</v>
      </c>
      <c r="B1306" s="6" t="s">
        <v>1399</v>
      </c>
    </row>
    <row r="1307" spans="1:2" ht="15.75" customHeight="1" x14ac:dyDescent="0.25">
      <c r="A1307" s="6">
        <v>53071</v>
      </c>
      <c r="B1307" s="6" t="s">
        <v>1400</v>
      </c>
    </row>
    <row r="1308" spans="1:2" ht="15.75" customHeight="1" x14ac:dyDescent="0.25">
      <c r="A1308" s="6">
        <v>53073</v>
      </c>
      <c r="B1308" s="6" t="s">
        <v>1401</v>
      </c>
    </row>
    <row r="1309" spans="1:2" ht="15.75" customHeight="1" x14ac:dyDescent="0.25">
      <c r="A1309" s="6">
        <v>220018</v>
      </c>
      <c r="B1309" s="6" t="s">
        <v>1402</v>
      </c>
    </row>
    <row r="1310" spans="1:2" ht="15.75" customHeight="1" x14ac:dyDescent="0.25">
      <c r="A1310" s="6">
        <v>462006</v>
      </c>
      <c r="B1310" s="6" t="s">
        <v>1823</v>
      </c>
    </row>
    <row r="1311" spans="1:2" ht="15.75" customHeight="1" x14ac:dyDescent="0.25">
      <c r="A1311" s="6">
        <v>220019</v>
      </c>
      <c r="B1311" s="6" t="s">
        <v>1403</v>
      </c>
    </row>
    <row r="1312" spans="1:2" ht="15.75" customHeight="1" x14ac:dyDescent="0.25">
      <c r="A1312" s="6">
        <v>1123</v>
      </c>
      <c r="B1312" s="6" t="s">
        <v>1404</v>
      </c>
    </row>
    <row r="1313" spans="1:2" ht="15.75" customHeight="1" x14ac:dyDescent="0.25">
      <c r="A1313" s="6">
        <v>1112</v>
      </c>
      <c r="B1313" s="6" t="s">
        <v>1405</v>
      </c>
    </row>
    <row r="1314" spans="1:2" ht="15.75" customHeight="1" x14ac:dyDescent="0.25">
      <c r="A1314" s="6">
        <v>1043</v>
      </c>
      <c r="B1314" s="6" t="s">
        <v>1406</v>
      </c>
    </row>
    <row r="1315" spans="1:2" ht="15.75" customHeight="1" x14ac:dyDescent="0.25">
      <c r="A1315" s="6">
        <v>1113</v>
      </c>
      <c r="B1315" s="6" t="s">
        <v>1407</v>
      </c>
    </row>
    <row r="1316" spans="1:2" ht="15.75" customHeight="1" x14ac:dyDescent="0.25">
      <c r="A1316" s="6">
        <v>1019</v>
      </c>
      <c r="B1316" s="6" t="s">
        <v>1408</v>
      </c>
    </row>
    <row r="1317" spans="1:2" ht="15.75" customHeight="1" x14ac:dyDescent="0.25">
      <c r="A1317" s="6">
        <v>1051</v>
      </c>
      <c r="B1317" s="6" t="s">
        <v>1409</v>
      </c>
    </row>
    <row r="1318" spans="1:2" ht="15.75" customHeight="1" x14ac:dyDescent="0.25">
      <c r="A1318" s="6">
        <v>1054</v>
      </c>
      <c r="B1318" s="6" t="s">
        <v>1410</v>
      </c>
    </row>
    <row r="1319" spans="1:2" ht="15.75" customHeight="1" x14ac:dyDescent="0.25">
      <c r="A1319" s="6">
        <v>101018</v>
      </c>
      <c r="B1319" s="6" t="s">
        <v>1411</v>
      </c>
    </row>
    <row r="1320" spans="1:2" ht="15.75" customHeight="1" x14ac:dyDescent="0.25">
      <c r="A1320" s="6">
        <v>1080</v>
      </c>
      <c r="B1320" s="6" t="s">
        <v>1412</v>
      </c>
    </row>
    <row r="1321" spans="1:2" ht="15.75" customHeight="1" x14ac:dyDescent="0.25">
      <c r="A1321" s="6">
        <v>220020</v>
      </c>
      <c r="B1321" s="6" t="s">
        <v>1413</v>
      </c>
    </row>
    <row r="1322" spans="1:2" ht="15.75" customHeight="1" x14ac:dyDescent="0.25">
      <c r="A1322" s="6">
        <v>57002</v>
      </c>
      <c r="B1322" s="6" t="s">
        <v>1673</v>
      </c>
    </row>
    <row r="1323" spans="1:2" ht="15.75" customHeight="1" x14ac:dyDescent="0.25">
      <c r="A1323" s="6">
        <v>59001</v>
      </c>
      <c r="B1323" s="6" t="s">
        <v>1673</v>
      </c>
    </row>
    <row r="1324" spans="1:2" ht="15.75" customHeight="1" x14ac:dyDescent="0.25">
      <c r="A1324" s="6">
        <v>132022</v>
      </c>
      <c r="B1324" s="6" t="s">
        <v>1645</v>
      </c>
    </row>
    <row r="1325" spans="1:2" ht="15.75" customHeight="1" x14ac:dyDescent="0.25">
      <c r="A1325" s="6">
        <v>220021</v>
      </c>
      <c r="B1325" s="6" t="s">
        <v>1414</v>
      </c>
    </row>
    <row r="1326" spans="1:2" ht="15.75" customHeight="1" x14ac:dyDescent="0.25">
      <c r="A1326" s="6">
        <v>26022</v>
      </c>
      <c r="B1326" s="6" t="s">
        <v>1416</v>
      </c>
    </row>
    <row r="1327" spans="1:2" ht="15.75" customHeight="1" x14ac:dyDescent="0.25">
      <c r="A1327" s="6">
        <v>26037</v>
      </c>
      <c r="B1327" s="6" t="s">
        <v>1417</v>
      </c>
    </row>
    <row r="1328" spans="1:2" ht="15.75" customHeight="1" x14ac:dyDescent="0.25">
      <c r="A1328" s="6">
        <v>26021</v>
      </c>
      <c r="B1328" s="6" t="s">
        <v>1419</v>
      </c>
    </row>
    <row r="1329" spans="1:2" ht="15.75" customHeight="1" x14ac:dyDescent="0.25">
      <c r="A1329" s="6">
        <v>26038</v>
      </c>
      <c r="B1329" s="6" t="s">
        <v>1420</v>
      </c>
    </row>
    <row r="1330" spans="1:2" ht="15.75" customHeight="1" x14ac:dyDescent="0.25">
      <c r="A1330" s="6">
        <v>26036</v>
      </c>
      <c r="B1330" s="6" t="s">
        <v>1421</v>
      </c>
    </row>
    <row r="1331" spans="1:2" ht="15.75" customHeight="1" x14ac:dyDescent="0.25">
      <c r="A1331" s="6">
        <v>26026</v>
      </c>
      <c r="B1331" s="6" t="s">
        <v>1423</v>
      </c>
    </row>
    <row r="1332" spans="1:2" ht="15.75" customHeight="1" x14ac:dyDescent="0.25">
      <c r="A1332" s="6">
        <v>26027</v>
      </c>
      <c r="B1332" s="6" t="s">
        <v>1424</v>
      </c>
    </row>
    <row r="1333" spans="1:2" ht="15.75" customHeight="1" x14ac:dyDescent="0.25">
      <c r="A1333" s="6">
        <v>53027</v>
      </c>
      <c r="B1333" s="6" t="s">
        <v>1426</v>
      </c>
    </row>
    <row r="1334" spans="1:2" ht="15.75" customHeight="1" x14ac:dyDescent="0.25">
      <c r="A1334" s="6">
        <v>53028</v>
      </c>
      <c r="B1334" s="6" t="s">
        <v>1427</v>
      </c>
    </row>
    <row r="1335" spans="1:2" ht="15.75" customHeight="1" x14ac:dyDescent="0.25">
      <c r="A1335" s="6">
        <v>53025</v>
      </c>
      <c r="B1335" s="6" t="s">
        <v>1428</v>
      </c>
    </row>
    <row r="1336" spans="1:2" ht="15.75" customHeight="1" x14ac:dyDescent="0.25">
      <c r="A1336" s="6">
        <v>53026</v>
      </c>
      <c r="B1336" s="6" t="s">
        <v>1429</v>
      </c>
    </row>
    <row r="1337" spans="1:2" ht="15.75" customHeight="1" x14ac:dyDescent="0.25">
      <c r="A1337" s="6">
        <v>434020</v>
      </c>
      <c r="B1337" s="6" t="s">
        <v>1430</v>
      </c>
    </row>
    <row r="1338" spans="1:2" ht="15.75" customHeight="1" x14ac:dyDescent="0.25">
      <c r="A1338" s="6">
        <v>434021</v>
      </c>
      <c r="B1338" s="6" t="s">
        <v>1431</v>
      </c>
    </row>
    <row r="1339" spans="1:2" ht="15.75" customHeight="1" x14ac:dyDescent="0.25">
      <c r="A1339" s="6">
        <v>434022</v>
      </c>
      <c r="B1339" s="6" t="s">
        <v>1432</v>
      </c>
    </row>
    <row r="1340" spans="1:2" ht="15.75" customHeight="1" x14ac:dyDescent="0.25">
      <c r="A1340" s="6">
        <v>264001</v>
      </c>
      <c r="B1340" s="6" t="s">
        <v>1907</v>
      </c>
    </row>
    <row r="1341" spans="1:2" ht="15.75" customHeight="1" x14ac:dyDescent="0.25">
      <c r="A1341" s="6">
        <v>472001</v>
      </c>
      <c r="B1341" s="6" t="s">
        <v>1907</v>
      </c>
    </row>
    <row r="1342" spans="1:2" ht="15.75" customHeight="1" x14ac:dyDescent="0.25">
      <c r="A1342" s="6">
        <v>264005</v>
      </c>
      <c r="B1342" s="6" t="s">
        <v>1911</v>
      </c>
    </row>
    <row r="1343" spans="1:2" ht="15.75" customHeight="1" x14ac:dyDescent="0.25">
      <c r="A1343" s="6">
        <v>472005</v>
      </c>
      <c r="B1343" s="6" t="s">
        <v>1911</v>
      </c>
    </row>
    <row r="1344" spans="1:2" ht="15.75" customHeight="1" x14ac:dyDescent="0.25">
      <c r="A1344" s="6">
        <v>264006</v>
      </c>
      <c r="B1344" s="6" t="s">
        <v>1912</v>
      </c>
    </row>
    <row r="1345" spans="1:2" ht="15.75" customHeight="1" x14ac:dyDescent="0.25">
      <c r="A1345" s="6">
        <v>472006</v>
      </c>
      <c r="B1345" s="6" t="s">
        <v>1912</v>
      </c>
    </row>
    <row r="1346" spans="1:2" ht="15.75" customHeight="1" x14ac:dyDescent="0.25">
      <c r="A1346" s="6">
        <v>264009</v>
      </c>
      <c r="B1346" s="6" t="s">
        <v>1914</v>
      </c>
    </row>
    <row r="1347" spans="1:2" ht="15.75" customHeight="1" x14ac:dyDescent="0.25">
      <c r="A1347" s="6">
        <v>472015</v>
      </c>
      <c r="B1347" s="6" t="s">
        <v>1914</v>
      </c>
    </row>
    <row r="1348" spans="1:2" ht="15.75" customHeight="1" x14ac:dyDescent="0.25">
      <c r="A1348" s="6">
        <v>264010</v>
      </c>
      <c r="B1348" s="6" t="s">
        <v>1915</v>
      </c>
    </row>
    <row r="1349" spans="1:2" ht="15.75" customHeight="1" x14ac:dyDescent="0.25">
      <c r="A1349" s="6">
        <v>472016</v>
      </c>
      <c r="B1349" s="6" t="s">
        <v>1915</v>
      </c>
    </row>
    <row r="1350" spans="1:2" ht="15.75" customHeight="1" x14ac:dyDescent="0.25">
      <c r="A1350" s="6">
        <v>264011</v>
      </c>
      <c r="B1350" s="6" t="s">
        <v>1916</v>
      </c>
    </row>
    <row r="1351" spans="1:2" ht="15.75" customHeight="1" x14ac:dyDescent="0.25">
      <c r="A1351" s="6">
        <v>472017</v>
      </c>
      <c r="B1351" s="6" t="s">
        <v>1916</v>
      </c>
    </row>
    <row r="1352" spans="1:2" ht="15.75" customHeight="1" x14ac:dyDescent="0.25">
      <c r="A1352" s="6">
        <v>264012</v>
      </c>
      <c r="B1352" s="6" t="s">
        <v>1917</v>
      </c>
    </row>
    <row r="1353" spans="1:2" ht="15.75" customHeight="1" x14ac:dyDescent="0.25">
      <c r="A1353" s="6">
        <v>472018</v>
      </c>
      <c r="B1353" s="6" t="s">
        <v>1917</v>
      </c>
    </row>
    <row r="1354" spans="1:2" ht="15.75" customHeight="1" x14ac:dyDescent="0.25">
      <c r="A1354" s="6">
        <v>264013</v>
      </c>
      <c r="B1354" s="6" t="s">
        <v>1918</v>
      </c>
    </row>
    <row r="1355" spans="1:2" ht="15.75" customHeight="1" x14ac:dyDescent="0.25">
      <c r="A1355" s="6">
        <v>472019</v>
      </c>
      <c r="B1355" s="6" t="s">
        <v>1918</v>
      </c>
    </row>
    <row r="1356" spans="1:2" ht="15.75" customHeight="1" x14ac:dyDescent="0.25">
      <c r="A1356" s="6">
        <v>264014</v>
      </c>
      <c r="B1356" s="6" t="s">
        <v>1919</v>
      </c>
    </row>
    <row r="1357" spans="1:2" ht="15.75" customHeight="1" x14ac:dyDescent="0.25">
      <c r="A1357" s="6">
        <v>272020</v>
      </c>
      <c r="B1357" s="6" t="s">
        <v>1919</v>
      </c>
    </row>
    <row r="1358" spans="1:2" ht="15.75" customHeight="1" x14ac:dyDescent="0.25">
      <c r="A1358" s="6">
        <v>264015</v>
      </c>
      <c r="B1358" s="6" t="s">
        <v>1920</v>
      </c>
    </row>
    <row r="1359" spans="1:2" ht="15.75" customHeight="1" x14ac:dyDescent="0.25">
      <c r="A1359" s="6">
        <v>272021</v>
      </c>
      <c r="B1359" s="6" t="s">
        <v>1920</v>
      </c>
    </row>
    <row r="1360" spans="1:2" ht="15.75" customHeight="1" x14ac:dyDescent="0.25">
      <c r="A1360" s="6">
        <v>264016</v>
      </c>
      <c r="B1360" s="6" t="s">
        <v>1921</v>
      </c>
    </row>
    <row r="1361" spans="1:2" ht="15.75" customHeight="1" x14ac:dyDescent="0.25">
      <c r="A1361" s="6">
        <v>272022</v>
      </c>
      <c r="B1361" s="6" t="s">
        <v>1921</v>
      </c>
    </row>
    <row r="1362" spans="1:2" ht="15.75" customHeight="1" x14ac:dyDescent="0.25">
      <c r="A1362" s="6">
        <v>264017</v>
      </c>
      <c r="B1362" s="6" t="s">
        <v>1922</v>
      </c>
    </row>
    <row r="1363" spans="1:2" ht="15.75" customHeight="1" x14ac:dyDescent="0.25">
      <c r="A1363" s="6">
        <v>272023</v>
      </c>
      <c r="B1363" s="6" t="s">
        <v>1922</v>
      </c>
    </row>
    <row r="1364" spans="1:2" ht="15.75" customHeight="1" x14ac:dyDescent="0.25">
      <c r="A1364" s="6">
        <v>272024</v>
      </c>
      <c r="B1364" s="6" t="s">
        <v>2163</v>
      </c>
    </row>
    <row r="1365" spans="1:2" ht="15.75" customHeight="1" x14ac:dyDescent="0.25">
      <c r="A1365" s="6">
        <v>264018</v>
      </c>
      <c r="B1365" s="6" t="s">
        <v>1923</v>
      </c>
    </row>
    <row r="1366" spans="1:2" ht="15.75" customHeight="1" x14ac:dyDescent="0.25">
      <c r="A1366" s="6">
        <v>264019</v>
      </c>
      <c r="B1366" s="6" t="s">
        <v>1924</v>
      </c>
    </row>
    <row r="1367" spans="1:2" ht="15.75" customHeight="1" x14ac:dyDescent="0.25">
      <c r="A1367" s="6">
        <v>272025</v>
      </c>
      <c r="B1367" s="6" t="s">
        <v>1924</v>
      </c>
    </row>
    <row r="1368" spans="1:2" ht="15.75" customHeight="1" x14ac:dyDescent="0.25">
      <c r="A1368" s="6">
        <v>264020</v>
      </c>
      <c r="B1368" s="6" t="s">
        <v>1925</v>
      </c>
    </row>
    <row r="1369" spans="1:2" ht="15.75" customHeight="1" x14ac:dyDescent="0.25">
      <c r="A1369" s="6">
        <v>272026</v>
      </c>
      <c r="B1369" s="6" t="s">
        <v>1925</v>
      </c>
    </row>
    <row r="1370" spans="1:2" ht="15.75" customHeight="1" x14ac:dyDescent="0.25">
      <c r="A1370" s="6">
        <v>264021</v>
      </c>
      <c r="B1370" s="6" t="s">
        <v>1926</v>
      </c>
    </row>
    <row r="1371" spans="1:2" ht="15.75" customHeight="1" x14ac:dyDescent="0.25">
      <c r="A1371" s="6">
        <v>272027</v>
      </c>
      <c r="B1371" s="6" t="s">
        <v>2164</v>
      </c>
    </row>
    <row r="1372" spans="1:2" ht="15.75" customHeight="1" x14ac:dyDescent="0.25">
      <c r="A1372" s="6">
        <v>264022</v>
      </c>
      <c r="B1372" s="6" t="s">
        <v>1927</v>
      </c>
    </row>
    <row r="1373" spans="1:2" ht="15.75" customHeight="1" x14ac:dyDescent="0.25">
      <c r="A1373" s="6">
        <v>272028</v>
      </c>
      <c r="B1373" s="6" t="s">
        <v>1927</v>
      </c>
    </row>
    <row r="1374" spans="1:2" ht="15.75" customHeight="1" x14ac:dyDescent="0.25">
      <c r="A1374" s="6">
        <v>264023</v>
      </c>
      <c r="B1374" s="6" t="s">
        <v>1928</v>
      </c>
    </row>
    <row r="1375" spans="1:2" ht="15.75" customHeight="1" x14ac:dyDescent="0.25">
      <c r="A1375" s="6">
        <v>272029</v>
      </c>
      <c r="B1375" s="6" t="s">
        <v>1928</v>
      </c>
    </row>
    <row r="1376" spans="1:2" ht="15.75" customHeight="1" x14ac:dyDescent="0.25">
      <c r="A1376" s="6">
        <v>264024</v>
      </c>
      <c r="B1376" s="6" t="s">
        <v>1929</v>
      </c>
    </row>
    <row r="1377" spans="1:2" ht="15.75" customHeight="1" x14ac:dyDescent="0.25">
      <c r="A1377" s="6">
        <v>272030</v>
      </c>
      <c r="B1377" s="6" t="s">
        <v>1929</v>
      </c>
    </row>
    <row r="1378" spans="1:2" ht="15.75" customHeight="1" x14ac:dyDescent="0.25">
      <c r="A1378" s="6">
        <v>264025</v>
      </c>
      <c r="B1378" s="6" t="s">
        <v>1930</v>
      </c>
    </row>
    <row r="1379" spans="1:2" ht="15.75" customHeight="1" x14ac:dyDescent="0.25">
      <c r="A1379" s="6">
        <v>272031</v>
      </c>
      <c r="B1379" s="6" t="s">
        <v>1930</v>
      </c>
    </row>
    <row r="1380" spans="1:2" ht="15.75" customHeight="1" x14ac:dyDescent="0.25">
      <c r="A1380" s="6">
        <v>264026</v>
      </c>
      <c r="B1380" s="6" t="s">
        <v>1931</v>
      </c>
    </row>
    <row r="1381" spans="1:2" ht="15.75" customHeight="1" x14ac:dyDescent="0.25">
      <c r="A1381" s="6">
        <v>272032</v>
      </c>
      <c r="B1381" s="6" t="s">
        <v>1931</v>
      </c>
    </row>
    <row r="1382" spans="1:2" ht="15.75" customHeight="1" x14ac:dyDescent="0.25">
      <c r="A1382" s="6">
        <v>264027</v>
      </c>
      <c r="B1382" s="6" t="s">
        <v>1932</v>
      </c>
    </row>
    <row r="1383" spans="1:2" ht="15.75" customHeight="1" x14ac:dyDescent="0.25">
      <c r="A1383" s="6">
        <v>272033</v>
      </c>
      <c r="B1383" s="6" t="s">
        <v>1932</v>
      </c>
    </row>
    <row r="1384" spans="1:2" ht="15.75" customHeight="1" x14ac:dyDescent="0.25">
      <c r="A1384" s="6">
        <v>264028</v>
      </c>
      <c r="B1384" s="6" t="s">
        <v>1933</v>
      </c>
    </row>
    <row r="1385" spans="1:2" ht="15.75" customHeight="1" x14ac:dyDescent="0.25">
      <c r="A1385" s="6">
        <v>272034</v>
      </c>
      <c r="B1385" s="6" t="s">
        <v>1933</v>
      </c>
    </row>
    <row r="1386" spans="1:2" ht="15.75" customHeight="1" x14ac:dyDescent="0.25">
      <c r="A1386" s="6">
        <v>264029</v>
      </c>
      <c r="B1386" s="6" t="s">
        <v>1934</v>
      </c>
    </row>
    <row r="1387" spans="1:2" ht="15.75" customHeight="1" x14ac:dyDescent="0.25">
      <c r="A1387" s="6">
        <v>272035</v>
      </c>
      <c r="B1387" s="6" t="s">
        <v>1934</v>
      </c>
    </row>
    <row r="1388" spans="1:2" ht="15.75" customHeight="1" x14ac:dyDescent="0.25">
      <c r="A1388" s="6">
        <v>264030</v>
      </c>
      <c r="B1388" s="6" t="s">
        <v>1935</v>
      </c>
    </row>
    <row r="1389" spans="1:2" ht="15.75" customHeight="1" x14ac:dyDescent="0.25">
      <c r="A1389" s="6">
        <v>272036</v>
      </c>
      <c r="B1389" s="6" t="s">
        <v>1935</v>
      </c>
    </row>
    <row r="1390" spans="1:2" ht="15.75" customHeight="1" x14ac:dyDescent="0.25">
      <c r="A1390" s="6">
        <v>264031</v>
      </c>
      <c r="B1390" s="6" t="s">
        <v>1936</v>
      </c>
    </row>
    <row r="1391" spans="1:2" ht="15.75" customHeight="1" x14ac:dyDescent="0.25">
      <c r="A1391" s="6">
        <v>272037</v>
      </c>
      <c r="B1391" s="6" t="s">
        <v>1936</v>
      </c>
    </row>
    <row r="1392" spans="1:2" ht="15.75" customHeight="1" x14ac:dyDescent="0.25">
      <c r="A1392" s="6">
        <v>264032</v>
      </c>
      <c r="B1392" s="6" t="s">
        <v>1937</v>
      </c>
    </row>
    <row r="1393" spans="1:2" ht="15.75" customHeight="1" x14ac:dyDescent="0.25">
      <c r="A1393" s="6">
        <v>472038</v>
      </c>
      <c r="B1393" s="6" t="s">
        <v>1937</v>
      </c>
    </row>
    <row r="1394" spans="1:2" ht="15.75" customHeight="1" x14ac:dyDescent="0.25">
      <c r="A1394" s="6">
        <v>264033</v>
      </c>
      <c r="B1394" s="6" t="s">
        <v>1938</v>
      </c>
    </row>
    <row r="1395" spans="1:2" ht="15.75" customHeight="1" x14ac:dyDescent="0.25">
      <c r="A1395" s="6">
        <v>472039</v>
      </c>
      <c r="B1395" s="6" t="s">
        <v>1938</v>
      </c>
    </row>
    <row r="1396" spans="1:2" ht="15.75" customHeight="1" x14ac:dyDescent="0.25">
      <c r="A1396" s="6">
        <v>264034</v>
      </c>
      <c r="B1396" s="6" t="s">
        <v>1939</v>
      </c>
    </row>
    <row r="1397" spans="1:2" ht="15.75" customHeight="1" x14ac:dyDescent="0.25">
      <c r="A1397" s="6">
        <v>472040</v>
      </c>
      <c r="B1397" s="6" t="s">
        <v>1939</v>
      </c>
    </row>
    <row r="1398" spans="1:2" ht="15.75" customHeight="1" x14ac:dyDescent="0.25">
      <c r="A1398" s="6">
        <v>264035</v>
      </c>
      <c r="B1398" s="6" t="s">
        <v>1940</v>
      </c>
    </row>
    <row r="1399" spans="1:2" ht="15.75" customHeight="1" x14ac:dyDescent="0.25">
      <c r="A1399" s="6">
        <v>472041</v>
      </c>
      <c r="B1399" s="6" t="s">
        <v>1940</v>
      </c>
    </row>
    <row r="1400" spans="1:2" ht="15.75" customHeight="1" x14ac:dyDescent="0.25">
      <c r="A1400" s="6">
        <v>264036</v>
      </c>
      <c r="B1400" s="6" t="s">
        <v>1941</v>
      </c>
    </row>
    <row r="1401" spans="1:2" ht="15.75" customHeight="1" x14ac:dyDescent="0.25">
      <c r="A1401" s="6">
        <v>472042</v>
      </c>
      <c r="B1401" s="6" t="s">
        <v>2165</v>
      </c>
    </row>
    <row r="1402" spans="1:2" ht="15.75" customHeight="1" x14ac:dyDescent="0.25">
      <c r="A1402" s="6">
        <v>264037</v>
      </c>
      <c r="B1402" s="6" t="s">
        <v>1942</v>
      </c>
    </row>
    <row r="1403" spans="1:2" ht="15.75" customHeight="1" x14ac:dyDescent="0.25">
      <c r="A1403" s="6">
        <v>472043</v>
      </c>
      <c r="B1403" s="6" t="s">
        <v>1942</v>
      </c>
    </row>
    <row r="1404" spans="1:2" ht="15.75" customHeight="1" x14ac:dyDescent="0.25">
      <c r="A1404" s="6">
        <v>264038</v>
      </c>
      <c r="B1404" s="6" t="s">
        <v>1943</v>
      </c>
    </row>
    <row r="1405" spans="1:2" ht="15.75" customHeight="1" x14ac:dyDescent="0.25">
      <c r="A1405" s="6">
        <v>472044</v>
      </c>
      <c r="B1405" s="6" t="s">
        <v>1943</v>
      </c>
    </row>
    <row r="1406" spans="1:2" ht="15.75" customHeight="1" x14ac:dyDescent="0.25">
      <c r="A1406" s="6">
        <v>264039</v>
      </c>
      <c r="B1406" s="6" t="s">
        <v>1944</v>
      </c>
    </row>
    <row r="1407" spans="1:2" ht="15.75" customHeight="1" x14ac:dyDescent="0.25">
      <c r="A1407" s="6">
        <v>472045</v>
      </c>
      <c r="B1407" s="6" t="s">
        <v>1944</v>
      </c>
    </row>
    <row r="1408" spans="1:2" ht="15.75" customHeight="1" x14ac:dyDescent="0.25">
      <c r="A1408" s="6">
        <v>264040</v>
      </c>
      <c r="B1408" s="6" t="s">
        <v>1945</v>
      </c>
    </row>
    <row r="1409" spans="1:2" ht="15.75" customHeight="1" x14ac:dyDescent="0.25">
      <c r="A1409" s="6">
        <v>472046</v>
      </c>
      <c r="B1409" s="6" t="s">
        <v>1945</v>
      </c>
    </row>
    <row r="1410" spans="1:2" ht="15.75" customHeight="1" x14ac:dyDescent="0.25">
      <c r="A1410" s="6">
        <v>472047</v>
      </c>
      <c r="B1410" s="6" t="s">
        <v>2166</v>
      </c>
    </row>
    <row r="1411" spans="1:2" ht="15.75" customHeight="1" x14ac:dyDescent="0.25">
      <c r="A1411" s="6">
        <v>472048</v>
      </c>
      <c r="B1411" s="6" t="s">
        <v>2167</v>
      </c>
    </row>
    <row r="1412" spans="1:2" ht="15.75" customHeight="1" x14ac:dyDescent="0.25">
      <c r="A1412" s="6">
        <v>472049</v>
      </c>
      <c r="B1412" s="6" t="s">
        <v>2168</v>
      </c>
    </row>
    <row r="1413" spans="1:2" ht="15.75" customHeight="1" x14ac:dyDescent="0.25">
      <c r="A1413" s="6">
        <v>472050</v>
      </c>
      <c r="B1413" s="6" t="s">
        <v>2169</v>
      </c>
    </row>
    <row r="1414" spans="1:2" ht="15.75" customHeight="1" x14ac:dyDescent="0.25">
      <c r="A1414" s="6">
        <v>32057</v>
      </c>
      <c r="B1414" s="6" t="s">
        <v>1433</v>
      </c>
    </row>
    <row r="1415" spans="1:2" ht="15.75" customHeight="1" x14ac:dyDescent="0.25">
      <c r="A1415" s="6">
        <v>32161</v>
      </c>
      <c r="B1415" s="6" t="s">
        <v>1434</v>
      </c>
    </row>
    <row r="1416" spans="1:2" ht="15.75" customHeight="1" x14ac:dyDescent="0.25">
      <c r="A1416" s="6">
        <v>32213</v>
      </c>
      <c r="B1416" s="6" t="s">
        <v>1435</v>
      </c>
    </row>
    <row r="1417" spans="1:2" ht="15.75" customHeight="1" x14ac:dyDescent="0.25">
      <c r="A1417" s="6">
        <v>29001</v>
      </c>
      <c r="B1417" s="6" t="s">
        <v>1436</v>
      </c>
    </row>
    <row r="1418" spans="1:2" ht="15.75" customHeight="1" x14ac:dyDescent="0.25">
      <c r="A1418" s="6">
        <v>264041</v>
      </c>
      <c r="B1418" s="6" t="s">
        <v>1946</v>
      </c>
    </row>
    <row r="1419" spans="1:2" ht="15.75" customHeight="1" x14ac:dyDescent="0.25">
      <c r="A1419" s="6">
        <v>264042</v>
      </c>
      <c r="B1419" s="6" t="s">
        <v>1947</v>
      </c>
    </row>
    <row r="1420" spans="1:2" ht="15.75" customHeight="1" x14ac:dyDescent="0.25">
      <c r="A1420" s="6">
        <v>264043</v>
      </c>
      <c r="B1420" s="6" t="s">
        <v>1948</v>
      </c>
    </row>
    <row r="1421" spans="1:2" ht="15.75" customHeight="1" x14ac:dyDescent="0.25">
      <c r="A1421" s="6">
        <v>264044</v>
      </c>
      <c r="B1421" s="6" t="s">
        <v>1949</v>
      </c>
    </row>
    <row r="1422" spans="1:2" ht="15.75" customHeight="1" x14ac:dyDescent="0.25">
      <c r="A1422" s="6">
        <v>45030</v>
      </c>
      <c r="B1422" s="6" t="s">
        <v>1437</v>
      </c>
    </row>
    <row r="1423" spans="1:2" ht="15.75" customHeight="1" x14ac:dyDescent="0.25">
      <c r="A1423" s="6">
        <v>45031</v>
      </c>
      <c r="B1423" s="6" t="s">
        <v>1438</v>
      </c>
    </row>
    <row r="1424" spans="1:2" ht="15.75" customHeight="1" x14ac:dyDescent="0.25">
      <c r="A1424" s="6">
        <v>45029</v>
      </c>
      <c r="B1424" s="6" t="s">
        <v>1439</v>
      </c>
    </row>
    <row r="1425" spans="1:2" ht="15.75" customHeight="1" x14ac:dyDescent="0.25">
      <c r="A1425" s="6">
        <v>21002</v>
      </c>
      <c r="B1425" s="6" t="s">
        <v>1440</v>
      </c>
    </row>
    <row r="1426" spans="1:2" ht="15.75" customHeight="1" x14ac:dyDescent="0.25">
      <c r="A1426" s="6">
        <v>48005</v>
      </c>
      <c r="B1426" s="6" t="s">
        <v>1440</v>
      </c>
    </row>
    <row r="1427" spans="1:2" ht="15.75" customHeight="1" x14ac:dyDescent="0.25">
      <c r="A1427" s="6">
        <v>220022</v>
      </c>
      <c r="B1427" s="6" t="s">
        <v>1440</v>
      </c>
    </row>
    <row r="1428" spans="1:2" ht="15.75" customHeight="1" x14ac:dyDescent="0.25">
      <c r="A1428" s="6">
        <v>409026</v>
      </c>
      <c r="B1428" s="6" t="s">
        <v>1441</v>
      </c>
    </row>
    <row r="1429" spans="1:2" ht="15.75" customHeight="1" x14ac:dyDescent="0.25">
      <c r="A1429" s="6">
        <v>73015</v>
      </c>
      <c r="B1429" s="6" t="s">
        <v>2170</v>
      </c>
    </row>
    <row r="1430" spans="1:2" ht="15.75" customHeight="1" x14ac:dyDescent="0.25">
      <c r="A1430" s="6">
        <v>73014</v>
      </c>
      <c r="B1430" s="6" t="s">
        <v>2171</v>
      </c>
    </row>
    <row r="1431" spans="1:2" ht="15.75" customHeight="1" x14ac:dyDescent="0.25">
      <c r="A1431" s="6">
        <v>73016</v>
      </c>
      <c r="B1431" s="6" t="s">
        <v>2172</v>
      </c>
    </row>
    <row r="1432" spans="1:2" ht="15.75" customHeight="1" x14ac:dyDescent="0.25">
      <c r="A1432" s="6">
        <v>408028</v>
      </c>
      <c r="B1432" s="6" t="s">
        <v>1442</v>
      </c>
    </row>
    <row r="1433" spans="1:2" ht="15.75" customHeight="1" x14ac:dyDescent="0.25">
      <c r="A1433" s="6">
        <v>58020</v>
      </c>
      <c r="B1433" s="6" t="s">
        <v>1725</v>
      </c>
    </row>
    <row r="1434" spans="1:2" ht="15.75" customHeight="1" x14ac:dyDescent="0.25">
      <c r="A1434" s="6">
        <v>58010</v>
      </c>
      <c r="B1434" s="6" t="s">
        <v>1715</v>
      </c>
    </row>
    <row r="1435" spans="1:2" ht="15.75" customHeight="1" x14ac:dyDescent="0.25">
      <c r="A1435" s="6">
        <v>58019</v>
      </c>
      <c r="B1435" s="6" t="s">
        <v>1724</v>
      </c>
    </row>
    <row r="1436" spans="1:2" ht="15.75" customHeight="1" x14ac:dyDescent="0.25">
      <c r="A1436" s="6">
        <v>58009</v>
      </c>
      <c r="B1436" s="6" t="s">
        <v>1714</v>
      </c>
    </row>
    <row r="1437" spans="1:2" ht="15.75" customHeight="1" x14ac:dyDescent="0.25">
      <c r="A1437" s="6">
        <v>58015</v>
      </c>
      <c r="B1437" s="6" t="s">
        <v>1720</v>
      </c>
    </row>
    <row r="1438" spans="1:2" ht="15.75" customHeight="1" x14ac:dyDescent="0.25">
      <c r="A1438" s="6">
        <v>58005</v>
      </c>
      <c r="B1438" s="6" t="s">
        <v>1710</v>
      </c>
    </row>
    <row r="1439" spans="1:2" ht="15.75" customHeight="1" x14ac:dyDescent="0.25">
      <c r="A1439" s="6">
        <v>58008</v>
      </c>
      <c r="B1439" s="6" t="s">
        <v>1713</v>
      </c>
    </row>
    <row r="1440" spans="1:2" ht="15.75" customHeight="1" x14ac:dyDescent="0.25">
      <c r="A1440" s="6">
        <v>58018</v>
      </c>
      <c r="B1440" s="6" t="s">
        <v>1723</v>
      </c>
    </row>
    <row r="1441" spans="1:2" ht="15.75" customHeight="1" x14ac:dyDescent="0.25">
      <c r="A1441" s="6">
        <v>58017</v>
      </c>
      <c r="B1441" s="6" t="s">
        <v>1722</v>
      </c>
    </row>
    <row r="1442" spans="1:2" ht="15.75" customHeight="1" x14ac:dyDescent="0.25">
      <c r="A1442" s="6">
        <v>58007</v>
      </c>
      <c r="B1442" s="6" t="s">
        <v>1712</v>
      </c>
    </row>
    <row r="1443" spans="1:2" ht="15.75" customHeight="1" x14ac:dyDescent="0.25">
      <c r="A1443" s="6">
        <v>58016</v>
      </c>
      <c r="B1443" s="6" t="s">
        <v>1721</v>
      </c>
    </row>
    <row r="1444" spans="1:2" ht="15.75" customHeight="1" x14ac:dyDescent="0.25">
      <c r="A1444" s="6">
        <v>58006</v>
      </c>
      <c r="B1444" s="6" t="s">
        <v>1711</v>
      </c>
    </row>
    <row r="1445" spans="1:2" ht="15.75" customHeight="1" x14ac:dyDescent="0.25">
      <c r="A1445" s="6">
        <v>58013</v>
      </c>
      <c r="B1445" s="6" t="s">
        <v>1718</v>
      </c>
    </row>
    <row r="1446" spans="1:2" ht="15.75" customHeight="1" x14ac:dyDescent="0.25">
      <c r="A1446" s="6">
        <v>58014</v>
      </c>
      <c r="B1446" s="6" t="s">
        <v>1719</v>
      </c>
    </row>
    <row r="1447" spans="1:2" ht="15.75" customHeight="1" x14ac:dyDescent="0.25">
      <c r="A1447" s="6">
        <v>58004</v>
      </c>
      <c r="B1447" s="6" t="s">
        <v>1709</v>
      </c>
    </row>
    <row r="1448" spans="1:2" ht="15.75" customHeight="1" x14ac:dyDescent="0.25">
      <c r="A1448" s="6">
        <v>58003</v>
      </c>
      <c r="B1448" s="6" t="s">
        <v>1708</v>
      </c>
    </row>
    <row r="1449" spans="1:2" ht="15.75" customHeight="1" x14ac:dyDescent="0.25">
      <c r="A1449" s="6">
        <v>58011</v>
      </c>
      <c r="B1449" s="6" t="s">
        <v>1716</v>
      </c>
    </row>
    <row r="1450" spans="1:2" ht="15.75" customHeight="1" x14ac:dyDescent="0.25">
      <c r="A1450" s="6">
        <v>58001</v>
      </c>
      <c r="B1450" s="6" t="s">
        <v>1706</v>
      </c>
    </row>
    <row r="1451" spans="1:2" ht="15.75" customHeight="1" x14ac:dyDescent="0.25">
      <c r="A1451" s="6">
        <v>58012</v>
      </c>
      <c r="B1451" s="6" t="s">
        <v>1717</v>
      </c>
    </row>
    <row r="1452" spans="1:2" ht="15.75" customHeight="1" x14ac:dyDescent="0.25">
      <c r="A1452" s="6">
        <v>58002</v>
      </c>
      <c r="B1452" s="6" t="s">
        <v>1707</v>
      </c>
    </row>
    <row r="1453" spans="1:2" ht="15.75" customHeight="1" x14ac:dyDescent="0.25">
      <c r="A1453" s="6">
        <v>53049</v>
      </c>
      <c r="B1453" s="6" t="s">
        <v>1443</v>
      </c>
    </row>
    <row r="1454" spans="1:2" ht="15.75" customHeight="1" x14ac:dyDescent="0.25">
      <c r="A1454" s="6">
        <v>53050</v>
      </c>
      <c r="B1454" s="6" t="s">
        <v>1444</v>
      </c>
    </row>
    <row r="1455" spans="1:2" ht="15.75" customHeight="1" x14ac:dyDescent="0.25">
      <c r="A1455" s="6">
        <v>53047</v>
      </c>
      <c r="B1455" s="6" t="s">
        <v>1445</v>
      </c>
    </row>
    <row r="1456" spans="1:2" ht="15.75" customHeight="1" x14ac:dyDescent="0.25">
      <c r="A1456" s="6">
        <v>53048</v>
      </c>
      <c r="B1456" s="6" t="s">
        <v>1446</v>
      </c>
    </row>
    <row r="1457" spans="1:2" ht="15.75" customHeight="1" x14ac:dyDescent="0.25">
      <c r="A1457" s="6">
        <v>220037</v>
      </c>
      <c r="B1457" s="6" t="s">
        <v>1447</v>
      </c>
    </row>
    <row r="1458" spans="1:2" ht="15.75" customHeight="1" x14ac:dyDescent="0.25">
      <c r="A1458" s="6">
        <v>43014</v>
      </c>
      <c r="B1458" s="6" t="s">
        <v>1448</v>
      </c>
    </row>
    <row r="1459" spans="1:2" ht="15.75" customHeight="1" x14ac:dyDescent="0.25">
      <c r="A1459" s="6">
        <v>1018</v>
      </c>
      <c r="B1459" s="6" t="s">
        <v>1449</v>
      </c>
    </row>
    <row r="1460" spans="1:2" ht="15.75" customHeight="1" x14ac:dyDescent="0.25">
      <c r="A1460" s="6">
        <v>1017</v>
      </c>
      <c r="B1460" s="6" t="s">
        <v>1450</v>
      </c>
    </row>
    <row r="1461" spans="1:2" ht="15.75" customHeight="1" x14ac:dyDescent="0.25">
      <c r="A1461" s="6">
        <v>37007</v>
      </c>
      <c r="B1461" s="6" t="s">
        <v>1451</v>
      </c>
    </row>
    <row r="1462" spans="1:2" ht="15.75" customHeight="1" x14ac:dyDescent="0.25">
      <c r="A1462" s="6">
        <v>37010</v>
      </c>
      <c r="B1462" s="6" t="s">
        <v>1452</v>
      </c>
    </row>
    <row r="1463" spans="1:2" ht="15.75" customHeight="1" x14ac:dyDescent="0.25">
      <c r="A1463" s="6">
        <v>37006</v>
      </c>
      <c r="B1463" s="6" t="s">
        <v>1453</v>
      </c>
    </row>
    <row r="1464" spans="1:2" ht="15.75" customHeight="1" x14ac:dyDescent="0.25">
      <c r="A1464" s="6">
        <v>37009</v>
      </c>
      <c r="B1464" s="6" t="s">
        <v>1454</v>
      </c>
    </row>
    <row r="1465" spans="1:2" ht="15.75" customHeight="1" x14ac:dyDescent="0.25">
      <c r="A1465" s="6">
        <v>37005</v>
      </c>
      <c r="B1465" s="6" t="s">
        <v>1455</v>
      </c>
    </row>
    <row r="1466" spans="1:2" ht="15.75" customHeight="1" x14ac:dyDescent="0.25">
      <c r="A1466" s="6">
        <v>37008</v>
      </c>
      <c r="B1466" s="6" t="s">
        <v>1456</v>
      </c>
    </row>
    <row r="1467" spans="1:2" ht="15.75" customHeight="1" x14ac:dyDescent="0.25">
      <c r="A1467" s="6">
        <v>220025</v>
      </c>
      <c r="B1467" s="6" t="s">
        <v>1457</v>
      </c>
    </row>
    <row r="1468" spans="1:2" ht="15.75" customHeight="1" x14ac:dyDescent="0.25">
      <c r="A1468" s="6">
        <v>220024</v>
      </c>
      <c r="B1468" s="6" t="s">
        <v>1458</v>
      </c>
    </row>
    <row r="1469" spans="1:2" ht="15.75" customHeight="1" x14ac:dyDescent="0.25">
      <c r="A1469" s="6">
        <v>220023</v>
      </c>
      <c r="B1469" s="6" t="s">
        <v>1459</v>
      </c>
    </row>
    <row r="1470" spans="1:2" ht="15.75" customHeight="1" x14ac:dyDescent="0.25">
      <c r="A1470" s="6">
        <v>208020</v>
      </c>
      <c r="B1470" s="6" t="s">
        <v>1460</v>
      </c>
    </row>
    <row r="1471" spans="1:2" ht="15.75" customHeight="1" x14ac:dyDescent="0.25">
      <c r="A1471" s="6">
        <v>208001</v>
      </c>
      <c r="B1471" s="6" t="s">
        <v>1461</v>
      </c>
    </row>
    <row r="1472" spans="1:2" ht="15.75" customHeight="1" x14ac:dyDescent="0.25">
      <c r="A1472" s="6">
        <v>45011</v>
      </c>
      <c r="B1472" s="6" t="s">
        <v>1462</v>
      </c>
    </row>
    <row r="1473" spans="1:2" ht="15.75" customHeight="1" x14ac:dyDescent="0.25">
      <c r="A1473" s="6">
        <v>45040</v>
      </c>
      <c r="B1473" s="6" t="s">
        <v>1463</v>
      </c>
    </row>
    <row r="1474" spans="1:2" ht="15.75" customHeight="1" x14ac:dyDescent="0.25">
      <c r="A1474" s="6">
        <v>45039</v>
      </c>
      <c r="B1474" s="6" t="s">
        <v>1464</v>
      </c>
    </row>
    <row r="1475" spans="1:2" ht="15.75" customHeight="1" x14ac:dyDescent="0.25">
      <c r="A1475" s="6">
        <v>710011</v>
      </c>
      <c r="B1475" s="6" t="s">
        <v>2173</v>
      </c>
    </row>
    <row r="1476" spans="1:2" ht="15.75" customHeight="1" x14ac:dyDescent="0.25">
      <c r="A1476" s="6">
        <v>71005</v>
      </c>
      <c r="B1476" s="6" t="s">
        <v>2072</v>
      </c>
    </row>
    <row r="1477" spans="1:2" ht="15.75" customHeight="1" x14ac:dyDescent="0.25">
      <c r="A1477" s="6">
        <v>42002</v>
      </c>
      <c r="B1477" s="6" t="s">
        <v>1465</v>
      </c>
    </row>
    <row r="1478" spans="1:2" ht="15.75" customHeight="1" x14ac:dyDescent="0.25">
      <c r="A1478" s="6">
        <v>42005</v>
      </c>
      <c r="B1478" s="6" t="s">
        <v>1466</v>
      </c>
    </row>
    <row r="1479" spans="1:2" ht="15.75" customHeight="1" x14ac:dyDescent="0.25">
      <c r="A1479" s="6">
        <v>42001</v>
      </c>
      <c r="B1479" s="6" t="s">
        <v>1467</v>
      </c>
    </row>
    <row r="1480" spans="1:2" ht="15.75" customHeight="1" x14ac:dyDescent="0.25">
      <c r="A1480" s="6">
        <v>42004</v>
      </c>
      <c r="B1480" s="6" t="s">
        <v>1468</v>
      </c>
    </row>
    <row r="1481" spans="1:2" ht="15.75" customHeight="1" x14ac:dyDescent="0.25">
      <c r="A1481" s="6">
        <v>47011</v>
      </c>
      <c r="B1481" s="6" t="s">
        <v>1469</v>
      </c>
    </row>
    <row r="1482" spans="1:2" ht="15.75" customHeight="1" x14ac:dyDescent="0.25">
      <c r="A1482" s="6">
        <v>63011</v>
      </c>
      <c r="B1482" s="6" t="s">
        <v>1469</v>
      </c>
    </row>
    <row r="1483" spans="1:2" ht="15.75" customHeight="1" x14ac:dyDescent="0.25">
      <c r="A1483" s="6">
        <v>47005</v>
      </c>
      <c r="B1483" s="6" t="s">
        <v>1470</v>
      </c>
    </row>
    <row r="1484" spans="1:2" ht="15.75" customHeight="1" x14ac:dyDescent="0.25">
      <c r="A1484" s="6">
        <v>63005</v>
      </c>
      <c r="B1484" s="6" t="s">
        <v>1899</v>
      </c>
    </row>
    <row r="1485" spans="1:2" ht="15.75" customHeight="1" x14ac:dyDescent="0.25">
      <c r="A1485" s="6">
        <v>47010</v>
      </c>
      <c r="B1485" s="6" t="s">
        <v>1471</v>
      </c>
    </row>
    <row r="1486" spans="1:2" ht="15.75" customHeight="1" x14ac:dyDescent="0.25">
      <c r="A1486" s="6">
        <v>63010</v>
      </c>
      <c r="B1486" s="6" t="s">
        <v>1471</v>
      </c>
    </row>
    <row r="1487" spans="1:2" ht="15.75" customHeight="1" x14ac:dyDescent="0.25">
      <c r="A1487" s="6">
        <v>47004</v>
      </c>
      <c r="B1487" s="6" t="s">
        <v>1472</v>
      </c>
    </row>
    <row r="1488" spans="1:2" ht="15.75" customHeight="1" x14ac:dyDescent="0.25">
      <c r="A1488" s="6">
        <v>63004</v>
      </c>
      <c r="B1488" s="6" t="s">
        <v>1898</v>
      </c>
    </row>
    <row r="1489" spans="1:2" ht="15.75" customHeight="1" x14ac:dyDescent="0.25">
      <c r="A1489" s="6">
        <v>47012</v>
      </c>
      <c r="B1489" s="6" t="s">
        <v>1473</v>
      </c>
    </row>
    <row r="1490" spans="1:2" ht="15.75" customHeight="1" x14ac:dyDescent="0.25">
      <c r="A1490" s="6">
        <v>63012</v>
      </c>
      <c r="B1490" s="6" t="s">
        <v>1473</v>
      </c>
    </row>
    <row r="1491" spans="1:2" ht="15.75" customHeight="1" x14ac:dyDescent="0.25">
      <c r="A1491" s="6">
        <v>47006</v>
      </c>
      <c r="B1491" s="6" t="s">
        <v>1474</v>
      </c>
    </row>
    <row r="1492" spans="1:2" ht="15.75" customHeight="1" x14ac:dyDescent="0.25">
      <c r="A1492" s="6">
        <v>63006</v>
      </c>
      <c r="B1492" s="6" t="s">
        <v>1900</v>
      </c>
    </row>
    <row r="1493" spans="1:2" ht="15.75" customHeight="1" x14ac:dyDescent="0.25">
      <c r="A1493" s="6">
        <v>710010</v>
      </c>
      <c r="B1493" s="6" t="s">
        <v>2174</v>
      </c>
    </row>
    <row r="1494" spans="1:2" ht="15.75" customHeight="1" x14ac:dyDescent="0.25">
      <c r="A1494" s="6">
        <v>71004</v>
      </c>
      <c r="B1494" s="6" t="s">
        <v>2071</v>
      </c>
    </row>
    <row r="1495" spans="1:2" ht="15.75" customHeight="1" x14ac:dyDescent="0.25">
      <c r="A1495" s="6">
        <v>42045</v>
      </c>
      <c r="B1495" s="6" t="s">
        <v>1475</v>
      </c>
    </row>
    <row r="1496" spans="1:2" ht="15.75" customHeight="1" x14ac:dyDescent="0.25">
      <c r="A1496" s="6">
        <v>42043</v>
      </c>
      <c r="B1496" s="6" t="s">
        <v>1476</v>
      </c>
    </row>
    <row r="1497" spans="1:2" ht="15.75" customHeight="1" x14ac:dyDescent="0.25">
      <c r="A1497" s="6">
        <v>42044</v>
      </c>
      <c r="B1497" s="6" t="s">
        <v>1477</v>
      </c>
    </row>
    <row r="1498" spans="1:2" ht="15.75" customHeight="1" x14ac:dyDescent="0.25">
      <c r="A1498" s="6">
        <v>710012</v>
      </c>
      <c r="B1498" s="6" t="s">
        <v>2175</v>
      </c>
    </row>
    <row r="1499" spans="1:2" ht="15.75" customHeight="1" x14ac:dyDescent="0.25">
      <c r="A1499" s="6">
        <v>71006</v>
      </c>
      <c r="B1499" s="6" t="s">
        <v>2073</v>
      </c>
    </row>
    <row r="1500" spans="1:2" ht="15.75" customHeight="1" x14ac:dyDescent="0.25">
      <c r="A1500" s="6">
        <v>42003</v>
      </c>
      <c r="B1500" s="6" t="s">
        <v>1478</v>
      </c>
    </row>
    <row r="1501" spans="1:2" ht="15.75" customHeight="1" x14ac:dyDescent="0.25">
      <c r="A1501" s="6">
        <v>42006</v>
      </c>
      <c r="B1501" s="6" t="s">
        <v>1479</v>
      </c>
    </row>
    <row r="1502" spans="1:2" ht="15.75" customHeight="1" x14ac:dyDescent="0.25">
      <c r="A1502" s="6">
        <v>42014</v>
      </c>
      <c r="B1502" s="6" t="s">
        <v>1480</v>
      </c>
    </row>
    <row r="1503" spans="1:2" ht="15.75" customHeight="1" x14ac:dyDescent="0.25">
      <c r="A1503" s="6">
        <v>42017</v>
      </c>
      <c r="B1503" s="6" t="s">
        <v>1481</v>
      </c>
    </row>
    <row r="1504" spans="1:2" ht="15.75" customHeight="1" x14ac:dyDescent="0.25">
      <c r="A1504" s="6">
        <v>42013</v>
      </c>
      <c r="B1504" s="6" t="s">
        <v>1482</v>
      </c>
    </row>
    <row r="1505" spans="1:2" ht="15.75" customHeight="1" x14ac:dyDescent="0.25">
      <c r="A1505" s="6">
        <v>42016</v>
      </c>
      <c r="B1505" s="6" t="s">
        <v>1483</v>
      </c>
    </row>
    <row r="1506" spans="1:2" ht="15.75" customHeight="1" x14ac:dyDescent="0.25">
      <c r="A1506" s="6">
        <v>42015</v>
      </c>
      <c r="B1506" s="6" t="s">
        <v>1484</v>
      </c>
    </row>
    <row r="1507" spans="1:2" ht="15.75" customHeight="1" x14ac:dyDescent="0.25">
      <c r="A1507" s="6">
        <v>42018</v>
      </c>
      <c r="B1507" s="6" t="s">
        <v>1485</v>
      </c>
    </row>
    <row r="1508" spans="1:2" ht="15.75" customHeight="1" x14ac:dyDescent="0.25">
      <c r="A1508" s="6">
        <v>53077</v>
      </c>
      <c r="B1508" s="6" t="s">
        <v>1486</v>
      </c>
    </row>
    <row r="1509" spans="1:2" ht="15.75" customHeight="1" x14ac:dyDescent="0.25">
      <c r="A1509" s="6">
        <v>53078</v>
      </c>
      <c r="B1509" s="6" t="s">
        <v>1487</v>
      </c>
    </row>
    <row r="1510" spans="1:2" ht="15.75" customHeight="1" x14ac:dyDescent="0.25">
      <c r="A1510" s="6">
        <v>53117</v>
      </c>
      <c r="B1510" s="6" t="s">
        <v>1704</v>
      </c>
    </row>
    <row r="1511" spans="1:2" ht="15.75" customHeight="1" x14ac:dyDescent="0.25">
      <c r="A1511" s="6">
        <v>53115</v>
      </c>
      <c r="B1511" s="6" t="s">
        <v>1702</v>
      </c>
    </row>
    <row r="1512" spans="1:2" ht="15.75" customHeight="1" x14ac:dyDescent="0.25">
      <c r="A1512" s="6">
        <v>53116</v>
      </c>
      <c r="B1512" s="6" t="s">
        <v>1703</v>
      </c>
    </row>
    <row r="1513" spans="1:2" ht="15.75" customHeight="1" x14ac:dyDescent="0.25">
      <c r="A1513" s="6">
        <v>53118</v>
      </c>
      <c r="B1513" s="6" t="s">
        <v>1705</v>
      </c>
    </row>
    <row r="1514" spans="1:2" ht="15.75" customHeight="1" x14ac:dyDescent="0.25">
      <c r="A1514" s="6">
        <v>66017</v>
      </c>
      <c r="B1514" s="6" t="s">
        <v>2062</v>
      </c>
    </row>
    <row r="1515" spans="1:2" ht="15.75" customHeight="1" x14ac:dyDescent="0.25">
      <c r="A1515" s="6">
        <v>67017</v>
      </c>
      <c r="B1515" s="6" t="s">
        <v>2062</v>
      </c>
    </row>
    <row r="1516" spans="1:2" ht="15.75" customHeight="1" x14ac:dyDescent="0.25">
      <c r="A1516" s="6">
        <v>53075</v>
      </c>
      <c r="B1516" s="6" t="s">
        <v>1488</v>
      </c>
    </row>
    <row r="1517" spans="1:2" ht="15.75" customHeight="1" x14ac:dyDescent="0.25">
      <c r="A1517" s="6">
        <v>66022</v>
      </c>
      <c r="B1517" s="6" t="s">
        <v>2176</v>
      </c>
    </row>
    <row r="1518" spans="1:2" ht="15.75" customHeight="1" x14ac:dyDescent="0.25">
      <c r="A1518" s="6">
        <v>53076</v>
      </c>
      <c r="B1518" s="6" t="s">
        <v>1489</v>
      </c>
    </row>
    <row r="1519" spans="1:2" ht="15.75" customHeight="1" x14ac:dyDescent="0.25">
      <c r="A1519" s="6">
        <v>66013</v>
      </c>
      <c r="B1519" s="6" t="s">
        <v>2058</v>
      </c>
    </row>
    <row r="1520" spans="1:2" ht="15.75" customHeight="1" x14ac:dyDescent="0.25">
      <c r="A1520" s="6">
        <v>67013</v>
      </c>
      <c r="B1520" s="6" t="s">
        <v>2058</v>
      </c>
    </row>
    <row r="1521" spans="1:2" ht="15.75" customHeight="1" x14ac:dyDescent="0.25">
      <c r="A1521" s="6">
        <v>66014</v>
      </c>
      <c r="B1521" s="6" t="s">
        <v>2059</v>
      </c>
    </row>
    <row r="1522" spans="1:2" ht="15.75" customHeight="1" x14ac:dyDescent="0.25">
      <c r="A1522" s="6">
        <v>67014</v>
      </c>
      <c r="B1522" s="6" t="s">
        <v>2059</v>
      </c>
    </row>
    <row r="1523" spans="1:2" ht="15.75" customHeight="1" x14ac:dyDescent="0.25">
      <c r="A1523" s="6">
        <v>66015</v>
      </c>
      <c r="B1523" s="6" t="s">
        <v>2060</v>
      </c>
    </row>
    <row r="1524" spans="1:2" ht="15.75" customHeight="1" x14ac:dyDescent="0.25">
      <c r="A1524" s="6">
        <v>67015</v>
      </c>
      <c r="B1524" s="6" t="s">
        <v>2060</v>
      </c>
    </row>
    <row r="1525" spans="1:2" ht="15.75" customHeight="1" x14ac:dyDescent="0.25">
      <c r="A1525" s="6">
        <v>66016</v>
      </c>
      <c r="B1525" s="6" t="s">
        <v>2061</v>
      </c>
    </row>
    <row r="1526" spans="1:2" ht="15.75" customHeight="1" x14ac:dyDescent="0.25">
      <c r="A1526" s="6">
        <v>67016</v>
      </c>
      <c r="B1526" s="6" t="s">
        <v>2061</v>
      </c>
    </row>
    <row r="1527" spans="1:2" ht="15.75" customHeight="1" x14ac:dyDescent="0.25">
      <c r="A1527" s="6">
        <v>71008</v>
      </c>
      <c r="B1527" s="6" t="s">
        <v>2075</v>
      </c>
    </row>
    <row r="1528" spans="1:2" ht="15.75" customHeight="1" x14ac:dyDescent="0.25">
      <c r="A1528" s="6">
        <v>71002</v>
      </c>
      <c r="B1528" s="6" t="s">
        <v>2069</v>
      </c>
    </row>
    <row r="1529" spans="1:2" ht="15.75" customHeight="1" x14ac:dyDescent="0.25">
      <c r="A1529" s="6">
        <v>42050</v>
      </c>
      <c r="B1529" s="6" t="s">
        <v>2012</v>
      </c>
    </row>
    <row r="1530" spans="1:2" ht="15.75" customHeight="1" x14ac:dyDescent="0.25">
      <c r="A1530" s="6">
        <v>39014</v>
      </c>
      <c r="B1530" s="6" t="s">
        <v>1490</v>
      </c>
    </row>
    <row r="1531" spans="1:2" ht="15.75" customHeight="1" x14ac:dyDescent="0.25">
      <c r="A1531" s="6">
        <v>39017</v>
      </c>
      <c r="B1531" s="6" t="s">
        <v>1491</v>
      </c>
    </row>
    <row r="1532" spans="1:2" ht="15.75" customHeight="1" x14ac:dyDescent="0.25">
      <c r="A1532" s="6">
        <v>39008</v>
      </c>
      <c r="B1532" s="6" t="s">
        <v>1492</v>
      </c>
    </row>
    <row r="1533" spans="1:2" ht="15.75" customHeight="1" x14ac:dyDescent="0.25">
      <c r="A1533" s="6">
        <v>39011</v>
      </c>
      <c r="B1533" s="6" t="s">
        <v>1493</v>
      </c>
    </row>
    <row r="1534" spans="1:2" ht="15.75" customHeight="1" x14ac:dyDescent="0.25">
      <c r="A1534" s="6">
        <v>39002</v>
      </c>
      <c r="B1534" s="6" t="s">
        <v>1494</v>
      </c>
    </row>
    <row r="1535" spans="1:2" ht="15.75" customHeight="1" x14ac:dyDescent="0.25">
      <c r="A1535" s="6">
        <v>39005</v>
      </c>
      <c r="B1535" s="6" t="s">
        <v>1495</v>
      </c>
    </row>
    <row r="1536" spans="1:2" ht="15.75" customHeight="1" x14ac:dyDescent="0.25">
      <c r="A1536" s="6">
        <v>42038</v>
      </c>
      <c r="B1536" s="6" t="s">
        <v>1496</v>
      </c>
    </row>
    <row r="1537" spans="1:2" ht="15.75" customHeight="1" x14ac:dyDescent="0.25">
      <c r="A1537" s="6">
        <v>42032</v>
      </c>
      <c r="B1537" s="6" t="s">
        <v>1497</v>
      </c>
    </row>
    <row r="1538" spans="1:2" ht="15.75" customHeight="1" x14ac:dyDescent="0.25">
      <c r="A1538" s="6">
        <v>42041</v>
      </c>
      <c r="B1538" s="6" t="s">
        <v>1498</v>
      </c>
    </row>
    <row r="1539" spans="1:2" ht="15.75" customHeight="1" x14ac:dyDescent="0.25">
      <c r="A1539" s="6">
        <v>42035</v>
      </c>
      <c r="B1539" s="6" t="s">
        <v>1499</v>
      </c>
    </row>
    <row r="1540" spans="1:2" ht="15.75" customHeight="1" x14ac:dyDescent="0.25">
      <c r="A1540" s="6">
        <v>47008</v>
      </c>
      <c r="B1540" s="6" t="s">
        <v>1500</v>
      </c>
    </row>
    <row r="1541" spans="1:2" ht="15.75" customHeight="1" x14ac:dyDescent="0.25">
      <c r="A1541" s="6">
        <v>63008</v>
      </c>
      <c r="B1541" s="6" t="s">
        <v>1500</v>
      </c>
    </row>
    <row r="1542" spans="1:2" ht="15.75" customHeight="1" x14ac:dyDescent="0.25">
      <c r="A1542" s="6">
        <v>47002</v>
      </c>
      <c r="B1542" s="6" t="s">
        <v>1501</v>
      </c>
    </row>
    <row r="1543" spans="1:2" ht="15.75" customHeight="1" x14ac:dyDescent="0.25">
      <c r="A1543" s="6">
        <v>63002</v>
      </c>
      <c r="B1543" s="6" t="s">
        <v>1896</v>
      </c>
    </row>
    <row r="1544" spans="1:2" ht="15.75" customHeight="1" x14ac:dyDescent="0.25">
      <c r="A1544" s="6">
        <v>47025</v>
      </c>
      <c r="B1544" s="6" t="s">
        <v>1869</v>
      </c>
    </row>
    <row r="1545" spans="1:2" ht="15.75" customHeight="1" x14ac:dyDescent="0.25">
      <c r="A1545" s="6">
        <v>63025</v>
      </c>
      <c r="B1545" s="6" t="s">
        <v>1869</v>
      </c>
    </row>
    <row r="1546" spans="1:2" ht="15.75" customHeight="1" x14ac:dyDescent="0.25">
      <c r="A1546" s="6">
        <v>47007</v>
      </c>
      <c r="B1546" s="6" t="s">
        <v>1502</v>
      </c>
    </row>
    <row r="1547" spans="1:2" ht="15.75" customHeight="1" x14ac:dyDescent="0.25">
      <c r="A1547" s="6">
        <v>63007</v>
      </c>
      <c r="B1547" s="6" t="s">
        <v>1502</v>
      </c>
    </row>
    <row r="1548" spans="1:2" ht="15.75" customHeight="1" x14ac:dyDescent="0.25">
      <c r="A1548" s="6">
        <v>47001</v>
      </c>
      <c r="B1548" s="6" t="s">
        <v>1503</v>
      </c>
    </row>
    <row r="1549" spans="1:2" ht="15.75" customHeight="1" x14ac:dyDescent="0.25">
      <c r="A1549" s="6">
        <v>63001</v>
      </c>
      <c r="B1549" s="6" t="s">
        <v>1895</v>
      </c>
    </row>
    <row r="1550" spans="1:2" ht="15.75" customHeight="1" x14ac:dyDescent="0.25">
      <c r="A1550" s="6">
        <v>47009</v>
      </c>
      <c r="B1550" s="6" t="s">
        <v>1504</v>
      </c>
    </row>
    <row r="1551" spans="1:2" ht="15.75" customHeight="1" x14ac:dyDescent="0.25">
      <c r="A1551" s="6">
        <v>63009</v>
      </c>
      <c r="B1551" s="6" t="s">
        <v>1504</v>
      </c>
    </row>
    <row r="1552" spans="1:2" ht="15.75" customHeight="1" x14ac:dyDescent="0.25">
      <c r="A1552" s="6">
        <v>47003</v>
      </c>
      <c r="B1552" s="6" t="s">
        <v>1505</v>
      </c>
    </row>
    <row r="1553" spans="1:2" ht="15.75" customHeight="1" x14ac:dyDescent="0.25">
      <c r="A1553" s="6">
        <v>63003</v>
      </c>
      <c r="B1553" s="6" t="s">
        <v>1897</v>
      </c>
    </row>
    <row r="1554" spans="1:2" ht="15.75" customHeight="1" x14ac:dyDescent="0.25">
      <c r="A1554" s="6">
        <v>71007</v>
      </c>
      <c r="B1554" s="6" t="s">
        <v>2074</v>
      </c>
    </row>
    <row r="1555" spans="1:2" ht="15.75" customHeight="1" x14ac:dyDescent="0.25">
      <c r="A1555" s="6">
        <v>71001</v>
      </c>
      <c r="B1555" s="6" t="s">
        <v>2068</v>
      </c>
    </row>
    <row r="1556" spans="1:2" ht="15.75" customHeight="1" x14ac:dyDescent="0.25">
      <c r="A1556" s="6">
        <v>39013</v>
      </c>
      <c r="B1556" s="6" t="s">
        <v>1506</v>
      </c>
    </row>
    <row r="1557" spans="1:2" ht="15.75" customHeight="1" x14ac:dyDescent="0.25">
      <c r="A1557" s="6">
        <v>39016</v>
      </c>
      <c r="B1557" s="6" t="s">
        <v>1507</v>
      </c>
    </row>
    <row r="1558" spans="1:2" ht="15.75" customHeight="1" x14ac:dyDescent="0.25">
      <c r="A1558" s="6">
        <v>39007</v>
      </c>
      <c r="B1558" s="6" t="s">
        <v>1508</v>
      </c>
    </row>
    <row r="1559" spans="1:2" ht="15.75" customHeight="1" x14ac:dyDescent="0.25">
      <c r="A1559" s="6">
        <v>39010</v>
      </c>
      <c r="B1559" s="6" t="s">
        <v>1509</v>
      </c>
    </row>
    <row r="1560" spans="1:2" ht="15.75" customHeight="1" x14ac:dyDescent="0.25">
      <c r="A1560" s="6">
        <v>39001</v>
      </c>
      <c r="B1560" s="6" t="s">
        <v>1510</v>
      </c>
    </row>
    <row r="1561" spans="1:2" ht="15.75" customHeight="1" x14ac:dyDescent="0.25">
      <c r="A1561" s="6">
        <v>39004</v>
      </c>
      <c r="B1561" s="6" t="s">
        <v>1511</v>
      </c>
    </row>
    <row r="1562" spans="1:2" ht="15.75" customHeight="1" x14ac:dyDescent="0.25">
      <c r="A1562" s="6">
        <v>42037</v>
      </c>
      <c r="B1562" s="6" t="s">
        <v>1512</v>
      </c>
    </row>
    <row r="1563" spans="1:2" ht="15.75" customHeight="1" x14ac:dyDescent="0.25">
      <c r="A1563" s="6">
        <v>42031</v>
      </c>
      <c r="B1563" s="6" t="s">
        <v>1513</v>
      </c>
    </row>
    <row r="1564" spans="1:2" ht="15.75" customHeight="1" x14ac:dyDescent="0.25">
      <c r="A1564" s="6">
        <v>42040</v>
      </c>
      <c r="B1564" s="6" t="s">
        <v>1514</v>
      </c>
    </row>
    <row r="1565" spans="1:2" ht="15.75" customHeight="1" x14ac:dyDescent="0.25">
      <c r="A1565" s="6">
        <v>42034</v>
      </c>
      <c r="B1565" s="6" t="s">
        <v>1515</v>
      </c>
    </row>
    <row r="1566" spans="1:2" ht="15.75" customHeight="1" x14ac:dyDescent="0.25">
      <c r="A1566" s="6">
        <v>71009</v>
      </c>
      <c r="B1566" s="6" t="s">
        <v>2076</v>
      </c>
    </row>
    <row r="1567" spans="1:2" ht="15.75" customHeight="1" x14ac:dyDescent="0.25">
      <c r="A1567" s="6">
        <v>71003</v>
      </c>
      <c r="B1567" s="6" t="s">
        <v>2070</v>
      </c>
    </row>
    <row r="1568" spans="1:2" ht="15.75" customHeight="1" x14ac:dyDescent="0.25">
      <c r="A1568" s="6">
        <v>39015</v>
      </c>
      <c r="B1568" s="6" t="s">
        <v>1516</v>
      </c>
    </row>
    <row r="1569" spans="1:2" ht="15.75" customHeight="1" x14ac:dyDescent="0.25">
      <c r="A1569" s="6">
        <v>39018</v>
      </c>
      <c r="B1569" s="6" t="s">
        <v>1517</v>
      </c>
    </row>
    <row r="1570" spans="1:2" ht="15.75" customHeight="1" x14ac:dyDescent="0.25">
      <c r="A1570" s="6">
        <v>39009</v>
      </c>
      <c r="B1570" s="6" t="s">
        <v>1518</v>
      </c>
    </row>
    <row r="1571" spans="1:2" ht="15.75" customHeight="1" x14ac:dyDescent="0.25">
      <c r="A1571" s="6">
        <v>39012</v>
      </c>
      <c r="B1571" s="6" t="s">
        <v>1519</v>
      </c>
    </row>
    <row r="1572" spans="1:2" ht="15.75" customHeight="1" x14ac:dyDescent="0.25">
      <c r="A1572" s="6">
        <v>39003</v>
      </c>
      <c r="B1572" s="6" t="s">
        <v>1520</v>
      </c>
    </row>
    <row r="1573" spans="1:2" ht="15.75" customHeight="1" x14ac:dyDescent="0.25">
      <c r="A1573" s="6">
        <v>39006</v>
      </c>
      <c r="B1573" s="6" t="s">
        <v>1521</v>
      </c>
    </row>
    <row r="1574" spans="1:2" ht="15.75" customHeight="1" x14ac:dyDescent="0.25">
      <c r="A1574" s="6">
        <v>42039</v>
      </c>
      <c r="B1574" s="6" t="s">
        <v>1522</v>
      </c>
    </row>
    <row r="1575" spans="1:2" ht="15.75" customHeight="1" x14ac:dyDescent="0.25">
      <c r="A1575" s="6">
        <v>42033</v>
      </c>
      <c r="B1575" s="6" t="s">
        <v>1523</v>
      </c>
    </row>
    <row r="1576" spans="1:2" ht="15.75" customHeight="1" x14ac:dyDescent="0.25">
      <c r="A1576" s="6">
        <v>42042</v>
      </c>
      <c r="B1576" s="6" t="s">
        <v>1524</v>
      </c>
    </row>
    <row r="1577" spans="1:2" ht="15.75" customHeight="1" x14ac:dyDescent="0.25">
      <c r="A1577" s="6">
        <v>42036</v>
      </c>
      <c r="B1577" s="6" t="s">
        <v>1525</v>
      </c>
    </row>
    <row r="1578" spans="1:2" ht="15.75" customHeight="1" x14ac:dyDescent="0.25">
      <c r="A1578" s="6">
        <v>409012</v>
      </c>
      <c r="B1578" s="6" t="s">
        <v>1526</v>
      </c>
    </row>
    <row r="1579" spans="1:2" ht="15.75" customHeight="1" x14ac:dyDescent="0.25">
      <c r="A1579" s="6">
        <v>50001</v>
      </c>
      <c r="B1579" s="6" t="s">
        <v>1527</v>
      </c>
    </row>
    <row r="1580" spans="1:2" ht="15.75" customHeight="1" x14ac:dyDescent="0.25">
      <c r="A1580" s="6">
        <v>434023</v>
      </c>
      <c r="B1580" s="6" t="s">
        <v>1528</v>
      </c>
    </row>
    <row r="1581" spans="1:2" ht="15.75" customHeight="1" x14ac:dyDescent="0.25">
      <c r="A1581" s="6">
        <v>434024</v>
      </c>
      <c r="B1581" s="6" t="s">
        <v>1529</v>
      </c>
    </row>
    <row r="1582" spans="1:2" ht="15.75" customHeight="1" x14ac:dyDescent="0.25">
      <c r="A1582" s="6">
        <v>434025</v>
      </c>
      <c r="B1582" s="6" t="s">
        <v>1530</v>
      </c>
    </row>
    <row r="1583" spans="1:2" ht="15.75" customHeight="1" x14ac:dyDescent="0.25">
      <c r="A1583" s="6">
        <v>1211</v>
      </c>
      <c r="B1583" s="6" t="s">
        <v>1839</v>
      </c>
    </row>
    <row r="1584" spans="1:2" ht="15.75" customHeight="1" x14ac:dyDescent="0.25">
      <c r="A1584" s="6">
        <v>53093</v>
      </c>
      <c r="B1584" s="6" t="s">
        <v>561</v>
      </c>
    </row>
    <row r="1585" spans="1:2" ht="15.75" customHeight="1" x14ac:dyDescent="0.25">
      <c r="A1585" s="6">
        <v>53094</v>
      </c>
      <c r="B1585" s="6" t="s">
        <v>558</v>
      </c>
    </row>
    <row r="1586" spans="1:2" ht="15.75" customHeight="1" x14ac:dyDescent="0.25">
      <c r="A1586" s="6">
        <v>53091</v>
      </c>
      <c r="B1586" s="6" t="s">
        <v>555</v>
      </c>
    </row>
    <row r="1587" spans="1:2" ht="15.75" customHeight="1" x14ac:dyDescent="0.25">
      <c r="A1587" s="6">
        <v>53092</v>
      </c>
      <c r="B1587" s="6" t="s">
        <v>552</v>
      </c>
    </row>
    <row r="1588" spans="1:2" ht="15.75" customHeight="1" x14ac:dyDescent="0.25">
      <c r="A1588" s="6">
        <v>216013</v>
      </c>
      <c r="B1588" s="6" t="s">
        <v>1531</v>
      </c>
    </row>
    <row r="1589" spans="1:2" ht="15.75" customHeight="1" x14ac:dyDescent="0.25">
      <c r="A1589" s="6">
        <v>309001</v>
      </c>
      <c r="B1589" s="6" t="s">
        <v>1532</v>
      </c>
    </row>
    <row r="1590" spans="1:2" ht="15.75" customHeight="1" x14ac:dyDescent="0.25">
      <c r="A1590" s="6">
        <v>45007</v>
      </c>
      <c r="B1590" s="6" t="s">
        <v>1533</v>
      </c>
    </row>
    <row r="1591" spans="1:2" ht="15.75" customHeight="1" x14ac:dyDescent="0.25">
      <c r="A1591" s="6">
        <v>45008</v>
      </c>
      <c r="B1591" s="6" t="s">
        <v>1534</v>
      </c>
    </row>
    <row r="1592" spans="1:2" ht="15.75" customHeight="1" x14ac:dyDescent="0.25">
      <c r="A1592" s="6">
        <v>45009</v>
      </c>
      <c r="B1592" s="6" t="s">
        <v>1535</v>
      </c>
    </row>
    <row r="1593" spans="1:2" ht="15.75" customHeight="1" x14ac:dyDescent="0.25">
      <c r="A1593" s="6">
        <v>45006</v>
      </c>
      <c r="B1593" s="6" t="s">
        <v>1536</v>
      </c>
    </row>
    <row r="1594" spans="1:2" ht="15.75" customHeight="1" x14ac:dyDescent="0.25">
      <c r="A1594" s="6">
        <v>45010</v>
      </c>
      <c r="B1594" s="6" t="s">
        <v>1537</v>
      </c>
    </row>
    <row r="1595" spans="1:2" ht="15.75" customHeight="1" x14ac:dyDescent="0.25">
      <c r="A1595" s="6">
        <v>58032</v>
      </c>
      <c r="B1595" s="6" t="s">
        <v>1737</v>
      </c>
    </row>
    <row r="1596" spans="1:2" ht="15.75" customHeight="1" x14ac:dyDescent="0.25">
      <c r="A1596" s="6">
        <v>58026</v>
      </c>
      <c r="B1596" s="6" t="s">
        <v>1731</v>
      </c>
    </row>
    <row r="1597" spans="1:2" ht="15.75" customHeight="1" x14ac:dyDescent="0.25">
      <c r="A1597" s="6">
        <v>58028</v>
      </c>
      <c r="B1597" s="6" t="s">
        <v>1733</v>
      </c>
    </row>
    <row r="1598" spans="1:2" ht="15.75" customHeight="1" x14ac:dyDescent="0.25">
      <c r="A1598" s="6">
        <v>58022</v>
      </c>
      <c r="B1598" s="6" t="s">
        <v>1727</v>
      </c>
    </row>
    <row r="1599" spans="1:2" ht="15.75" customHeight="1" x14ac:dyDescent="0.25">
      <c r="A1599" s="6">
        <v>58030</v>
      </c>
      <c r="B1599" s="6" t="s">
        <v>1735</v>
      </c>
    </row>
    <row r="1600" spans="1:2" ht="15.75" customHeight="1" x14ac:dyDescent="0.25">
      <c r="A1600" s="6">
        <v>58024</v>
      </c>
      <c r="B1600" s="6" t="s">
        <v>1729</v>
      </c>
    </row>
    <row r="1601" spans="1:2" ht="15.75" customHeight="1" x14ac:dyDescent="0.25">
      <c r="A1601" s="6">
        <v>58029</v>
      </c>
      <c r="B1601" s="6" t="s">
        <v>1734</v>
      </c>
    </row>
    <row r="1602" spans="1:2" ht="15.75" customHeight="1" x14ac:dyDescent="0.25">
      <c r="A1602" s="6">
        <v>58023</v>
      </c>
      <c r="B1602" s="6" t="s">
        <v>1728</v>
      </c>
    </row>
    <row r="1603" spans="1:2" ht="15.75" customHeight="1" x14ac:dyDescent="0.25">
      <c r="A1603" s="6">
        <v>58031</v>
      </c>
      <c r="B1603" s="6" t="s">
        <v>1736</v>
      </c>
    </row>
    <row r="1604" spans="1:2" ht="15.75" customHeight="1" x14ac:dyDescent="0.25">
      <c r="A1604" s="6">
        <v>58025</v>
      </c>
      <c r="B1604" s="6" t="s">
        <v>1730</v>
      </c>
    </row>
    <row r="1605" spans="1:2" ht="15.75" customHeight="1" x14ac:dyDescent="0.25">
      <c r="A1605" s="6">
        <v>58027</v>
      </c>
      <c r="B1605" s="6" t="s">
        <v>1732</v>
      </c>
    </row>
    <row r="1606" spans="1:2" ht="15.75" customHeight="1" x14ac:dyDescent="0.25">
      <c r="A1606" s="6">
        <v>58021</v>
      </c>
      <c r="B1606" s="6" t="s">
        <v>1726</v>
      </c>
    </row>
    <row r="1607" spans="1:2" ht="15.75" customHeight="1" x14ac:dyDescent="0.25">
      <c r="A1607" s="6">
        <v>220036</v>
      </c>
      <c r="B1607" s="6" t="s">
        <v>1538</v>
      </c>
    </row>
    <row r="1608" spans="1:2" ht="15.75" customHeight="1" x14ac:dyDescent="0.25">
      <c r="A1608" s="6">
        <v>66007</v>
      </c>
      <c r="B1608" s="6" t="s">
        <v>2008</v>
      </c>
    </row>
    <row r="1609" spans="1:2" ht="15.75" customHeight="1" x14ac:dyDescent="0.25">
      <c r="A1609" s="6">
        <v>67007</v>
      </c>
      <c r="B1609" s="6" t="s">
        <v>2008</v>
      </c>
    </row>
    <row r="1610" spans="1:2" ht="15.75" customHeight="1" x14ac:dyDescent="0.25">
      <c r="A1610" s="6">
        <v>53105</v>
      </c>
      <c r="B1610" s="6" t="s">
        <v>1539</v>
      </c>
    </row>
    <row r="1611" spans="1:2" ht="15.75" customHeight="1" x14ac:dyDescent="0.25">
      <c r="A1611" s="6">
        <v>66020</v>
      </c>
      <c r="B1611" s="6" t="s">
        <v>2177</v>
      </c>
    </row>
    <row r="1612" spans="1:2" ht="15.75" customHeight="1" x14ac:dyDescent="0.25">
      <c r="A1612" s="6">
        <v>53106</v>
      </c>
      <c r="B1612" s="6" t="s">
        <v>1540</v>
      </c>
    </row>
    <row r="1613" spans="1:2" ht="15.75" customHeight="1" x14ac:dyDescent="0.25">
      <c r="A1613" s="6">
        <v>66010</v>
      </c>
      <c r="B1613" s="6" t="s">
        <v>1540</v>
      </c>
    </row>
    <row r="1614" spans="1:2" ht="15.75" customHeight="1" x14ac:dyDescent="0.25">
      <c r="A1614" s="6">
        <v>67010</v>
      </c>
      <c r="B1614" s="6" t="s">
        <v>1540</v>
      </c>
    </row>
    <row r="1615" spans="1:2" ht="15.75" customHeight="1" x14ac:dyDescent="0.25">
      <c r="A1615" s="6">
        <v>66008</v>
      </c>
      <c r="B1615" s="6" t="s">
        <v>2009</v>
      </c>
    </row>
    <row r="1616" spans="1:2" ht="15.75" customHeight="1" x14ac:dyDescent="0.25">
      <c r="A1616" s="6">
        <v>67008</v>
      </c>
      <c r="B1616" s="6" t="s">
        <v>2009</v>
      </c>
    </row>
    <row r="1617" spans="1:2" ht="15.75" customHeight="1" x14ac:dyDescent="0.25">
      <c r="A1617" s="6">
        <v>66021</v>
      </c>
      <c r="B1617" s="6" t="s">
        <v>2178</v>
      </c>
    </row>
    <row r="1618" spans="1:2" ht="15.75" customHeight="1" x14ac:dyDescent="0.25">
      <c r="A1618" s="6">
        <v>66006</v>
      </c>
      <c r="B1618" s="6" t="s">
        <v>2007</v>
      </c>
    </row>
    <row r="1619" spans="1:2" ht="15.75" customHeight="1" x14ac:dyDescent="0.25">
      <c r="A1619" s="6">
        <v>67006</v>
      </c>
      <c r="B1619" s="6" t="s">
        <v>2007</v>
      </c>
    </row>
    <row r="1620" spans="1:2" ht="15.75" customHeight="1" x14ac:dyDescent="0.25">
      <c r="A1620" s="6">
        <v>53103</v>
      </c>
      <c r="B1620" s="6" t="s">
        <v>1541</v>
      </c>
    </row>
    <row r="1621" spans="1:2" ht="15.75" customHeight="1" x14ac:dyDescent="0.25">
      <c r="A1621" s="6">
        <v>66009</v>
      </c>
      <c r="B1621" s="6" t="s">
        <v>2010</v>
      </c>
    </row>
    <row r="1622" spans="1:2" ht="15.75" customHeight="1" x14ac:dyDescent="0.25">
      <c r="A1622" s="6">
        <v>67009</v>
      </c>
      <c r="B1622" s="6" t="s">
        <v>2010</v>
      </c>
    </row>
    <row r="1623" spans="1:2" ht="15.75" customHeight="1" x14ac:dyDescent="0.25">
      <c r="A1623" s="6">
        <v>53104</v>
      </c>
      <c r="B1623" s="6" t="s">
        <v>1542</v>
      </c>
    </row>
    <row r="1624" spans="1:2" ht="15.75" customHeight="1" x14ac:dyDescent="0.25">
      <c r="A1624" s="6">
        <v>43032</v>
      </c>
      <c r="B1624" s="6" t="s">
        <v>2179</v>
      </c>
    </row>
    <row r="1625" spans="1:2" ht="15.75" customHeight="1" x14ac:dyDescent="0.25">
      <c r="A1625" s="6">
        <v>43029</v>
      </c>
      <c r="B1625" s="6" t="s">
        <v>2056</v>
      </c>
    </row>
    <row r="1626" spans="1:2" ht="15.75" customHeight="1" x14ac:dyDescent="0.25">
      <c r="A1626" s="6">
        <v>132003</v>
      </c>
      <c r="B1626" s="6" t="s">
        <v>1638</v>
      </c>
    </row>
    <row r="1627" spans="1:2" ht="15.75" customHeight="1" x14ac:dyDescent="0.25">
      <c r="A1627" s="6">
        <v>35003</v>
      </c>
      <c r="B1627" s="6" t="s">
        <v>1543</v>
      </c>
    </row>
    <row r="1628" spans="1:2" ht="15.75" customHeight="1" x14ac:dyDescent="0.25">
      <c r="A1628" s="6">
        <v>209023</v>
      </c>
      <c r="B1628" s="6" t="s">
        <v>1544</v>
      </c>
    </row>
    <row r="1629" spans="1:2" ht="15.75" customHeight="1" x14ac:dyDescent="0.25">
      <c r="A1629" s="6">
        <v>470003</v>
      </c>
      <c r="B1629" s="6" t="s">
        <v>2066</v>
      </c>
    </row>
    <row r="1630" spans="1:2" ht="15.75" customHeight="1" x14ac:dyDescent="0.25">
      <c r="A1630" s="6">
        <v>208025</v>
      </c>
      <c r="B1630" s="6" t="s">
        <v>1545</v>
      </c>
    </row>
    <row r="1631" spans="1:2" ht="15.75" customHeight="1" x14ac:dyDescent="0.25">
      <c r="A1631" s="6">
        <v>262001</v>
      </c>
      <c r="B1631" s="6" t="s">
        <v>1834</v>
      </c>
    </row>
    <row r="1632" spans="1:2" ht="15.75" customHeight="1" x14ac:dyDescent="0.25">
      <c r="A1632" s="6">
        <v>472012</v>
      </c>
      <c r="B1632" s="6" t="s">
        <v>1834</v>
      </c>
    </row>
    <row r="1633" spans="1:2" ht="15.75" customHeight="1" x14ac:dyDescent="0.25">
      <c r="A1633" s="6">
        <v>409024</v>
      </c>
      <c r="B1633" s="6" t="s">
        <v>1546</v>
      </c>
    </row>
    <row r="1634" spans="1:2" ht="15.75" customHeight="1" x14ac:dyDescent="0.25">
      <c r="A1634" s="6">
        <v>206002</v>
      </c>
      <c r="B1634" s="6" t="s">
        <v>1547</v>
      </c>
    </row>
    <row r="1635" spans="1:2" ht="15.75" customHeight="1" x14ac:dyDescent="0.25">
      <c r="A1635" s="6">
        <v>206001</v>
      </c>
      <c r="B1635" s="6" t="s">
        <v>1548</v>
      </c>
    </row>
    <row r="1636" spans="1:2" ht="15.75" customHeight="1" x14ac:dyDescent="0.25">
      <c r="A1636" s="6">
        <v>208017</v>
      </c>
      <c r="B1636" s="6" t="s">
        <v>1549</v>
      </c>
    </row>
    <row r="1637" spans="1:2" ht="15.75" customHeight="1" x14ac:dyDescent="0.25">
      <c r="A1637" s="6">
        <v>54001</v>
      </c>
      <c r="B1637" s="6" t="s">
        <v>1550</v>
      </c>
    </row>
    <row r="1638" spans="1:2" ht="15.75" customHeight="1" x14ac:dyDescent="0.25">
      <c r="A1638" s="6">
        <v>332015</v>
      </c>
      <c r="B1638" s="6" t="s">
        <v>2180</v>
      </c>
    </row>
    <row r="1639" spans="1:2" ht="15.75" customHeight="1" x14ac:dyDescent="0.25">
      <c r="A1639" s="6">
        <v>332014</v>
      </c>
      <c r="B1639" s="6" t="s">
        <v>2181</v>
      </c>
    </row>
    <row r="1640" spans="1:2" ht="15.75" customHeight="1" x14ac:dyDescent="0.25">
      <c r="A1640" s="6">
        <v>332010</v>
      </c>
      <c r="B1640" s="6" t="s">
        <v>2182</v>
      </c>
    </row>
    <row r="1641" spans="1:2" ht="15.75" customHeight="1" x14ac:dyDescent="0.25">
      <c r="A1641" s="6">
        <v>332016</v>
      </c>
      <c r="B1641" s="6" t="s">
        <v>2183</v>
      </c>
    </row>
    <row r="1642" spans="1:2" ht="15.75" customHeight="1" x14ac:dyDescent="0.25">
      <c r="A1642" s="6">
        <v>332011</v>
      </c>
      <c r="B1642" s="6" t="s">
        <v>2184</v>
      </c>
    </row>
    <row r="1643" spans="1:2" ht="15.75" customHeight="1" x14ac:dyDescent="0.25">
      <c r="A1643" s="6">
        <v>332012</v>
      </c>
      <c r="B1643" s="6" t="s">
        <v>2185</v>
      </c>
    </row>
    <row r="1644" spans="1:2" ht="15.75" customHeight="1" x14ac:dyDescent="0.25">
      <c r="A1644" s="6">
        <v>332013</v>
      </c>
      <c r="B1644" s="6" t="s">
        <v>2186</v>
      </c>
    </row>
    <row r="1645" spans="1:2" ht="15.75" customHeight="1" x14ac:dyDescent="0.25">
      <c r="A1645" s="6">
        <v>456003</v>
      </c>
      <c r="B1645" s="6" t="s">
        <v>1669</v>
      </c>
    </row>
    <row r="1646" spans="1:2" ht="15.75" customHeight="1" x14ac:dyDescent="0.25">
      <c r="A1646" s="6">
        <v>456002</v>
      </c>
      <c r="B1646" s="6" t="s">
        <v>1668</v>
      </c>
    </row>
    <row r="1647" spans="1:2" ht="15.75" customHeight="1" x14ac:dyDescent="0.25">
      <c r="A1647" s="6">
        <v>61001</v>
      </c>
      <c r="B1647" s="6" t="s">
        <v>544</v>
      </c>
    </row>
    <row r="1648" spans="1:2" ht="15.75" customHeight="1" x14ac:dyDescent="0.25">
      <c r="A1648" s="6">
        <v>61005</v>
      </c>
      <c r="B1648" s="6" t="s">
        <v>1808</v>
      </c>
    </row>
    <row r="1649" spans="1:2" ht="15.75" customHeight="1" x14ac:dyDescent="0.25">
      <c r="A1649" s="6">
        <v>61010</v>
      </c>
      <c r="B1649" s="6" t="s">
        <v>1813</v>
      </c>
    </row>
    <row r="1650" spans="1:2" ht="15.75" customHeight="1" x14ac:dyDescent="0.25">
      <c r="A1650" s="6">
        <v>61011</v>
      </c>
      <c r="B1650" s="6" t="s">
        <v>1814</v>
      </c>
    </row>
    <row r="1651" spans="1:2" ht="15.75" customHeight="1" x14ac:dyDescent="0.25">
      <c r="A1651" s="6">
        <v>61003</v>
      </c>
      <c r="B1651" s="6" t="s">
        <v>1806</v>
      </c>
    </row>
    <row r="1652" spans="1:2" ht="15.75" customHeight="1" x14ac:dyDescent="0.25">
      <c r="A1652" s="6">
        <v>61009</v>
      </c>
      <c r="B1652" s="6" t="s">
        <v>1812</v>
      </c>
    </row>
    <row r="1653" spans="1:2" ht="15.75" customHeight="1" x14ac:dyDescent="0.25">
      <c r="A1653" s="6">
        <v>61006</v>
      </c>
      <c r="B1653" s="6" t="s">
        <v>1809</v>
      </c>
    </row>
    <row r="1654" spans="1:2" ht="15.75" customHeight="1" x14ac:dyDescent="0.25">
      <c r="A1654" s="6">
        <v>61002</v>
      </c>
      <c r="B1654" s="6" t="s">
        <v>1805</v>
      </c>
    </row>
    <row r="1655" spans="1:2" ht="15.75" customHeight="1" x14ac:dyDescent="0.25">
      <c r="A1655" s="6">
        <v>61008</v>
      </c>
      <c r="B1655" s="6" t="s">
        <v>1811</v>
      </c>
    </row>
    <row r="1656" spans="1:2" ht="15.75" customHeight="1" x14ac:dyDescent="0.25">
      <c r="A1656" s="6">
        <v>61004</v>
      </c>
      <c r="B1656" s="6" t="s">
        <v>1807</v>
      </c>
    </row>
    <row r="1657" spans="1:2" ht="15.75" customHeight="1" x14ac:dyDescent="0.25">
      <c r="A1657" s="6">
        <v>61007</v>
      </c>
      <c r="B1657" s="6" t="s">
        <v>1810</v>
      </c>
    </row>
    <row r="1658" spans="1:2" ht="15.75" customHeight="1" x14ac:dyDescent="0.25">
      <c r="A1658" s="6">
        <v>132006</v>
      </c>
      <c r="B1658" s="6" t="s">
        <v>1641</v>
      </c>
    </row>
    <row r="1659" spans="1:2" ht="15.75" customHeight="1" x14ac:dyDescent="0.25">
      <c r="A1659" s="6">
        <v>434026</v>
      </c>
      <c r="B1659" s="6" t="s">
        <v>1551</v>
      </c>
    </row>
    <row r="1660" spans="1:2" ht="15.75" customHeight="1" x14ac:dyDescent="0.25">
      <c r="A1660" s="6">
        <v>434027</v>
      </c>
      <c r="B1660" s="6" t="s">
        <v>1552</v>
      </c>
    </row>
    <row r="1661" spans="1:2" ht="15.75" customHeight="1" x14ac:dyDescent="0.25">
      <c r="A1661" s="6">
        <v>434028</v>
      </c>
      <c r="B1661" s="6" t="s">
        <v>1553</v>
      </c>
    </row>
    <row r="1662" spans="1:2" ht="15.75" customHeight="1" x14ac:dyDescent="0.25">
      <c r="A1662" s="6">
        <v>220026</v>
      </c>
      <c r="B1662" s="6" t="s">
        <v>1554</v>
      </c>
    </row>
    <row r="1663" spans="1:2" ht="15.75" customHeight="1" x14ac:dyDescent="0.25">
      <c r="A1663" s="6">
        <v>220034</v>
      </c>
      <c r="B1663" s="6" t="s">
        <v>1555</v>
      </c>
    </row>
    <row r="1664" spans="1:2" ht="15.75" customHeight="1" x14ac:dyDescent="0.25">
      <c r="A1664" s="6">
        <v>210014</v>
      </c>
      <c r="B1664" s="6" t="s">
        <v>1556</v>
      </c>
    </row>
    <row r="1665" spans="1:2" ht="15.75" customHeight="1" x14ac:dyDescent="0.25">
      <c r="A1665" s="6">
        <v>222012</v>
      </c>
      <c r="B1665" s="6" t="s">
        <v>1556</v>
      </c>
    </row>
    <row r="1666" spans="1:2" ht="15.75" customHeight="1" x14ac:dyDescent="0.25">
      <c r="A1666" s="6">
        <v>28001</v>
      </c>
      <c r="B1666" s="6" t="s">
        <v>1557</v>
      </c>
    </row>
    <row r="1667" spans="1:2" ht="15.75" customHeight="1" x14ac:dyDescent="0.25">
      <c r="A1667" s="6">
        <v>7005</v>
      </c>
      <c r="B1667" s="6" t="s">
        <v>1558</v>
      </c>
    </row>
    <row r="1668" spans="1:2" ht="15.75" customHeight="1" x14ac:dyDescent="0.25">
      <c r="A1668" s="6">
        <v>7006</v>
      </c>
      <c r="B1668" s="6" t="s">
        <v>1559</v>
      </c>
    </row>
    <row r="1669" spans="1:2" ht="15.75" customHeight="1" x14ac:dyDescent="0.25">
      <c r="A1669" s="6">
        <v>7007</v>
      </c>
      <c r="B1669" s="6" t="s">
        <v>1560</v>
      </c>
    </row>
    <row r="1670" spans="1:2" ht="15.75" customHeight="1" x14ac:dyDescent="0.25">
      <c r="A1670" s="6">
        <v>7004</v>
      </c>
      <c r="B1670" s="6" t="s">
        <v>1561</v>
      </c>
    </row>
    <row r="1671" spans="1:2" ht="15.75" customHeight="1" x14ac:dyDescent="0.25">
      <c r="A1671" s="6">
        <v>316002</v>
      </c>
      <c r="B1671" s="6" t="s">
        <v>1562</v>
      </c>
    </row>
    <row r="1672" spans="1:2" ht="15.75" customHeight="1" x14ac:dyDescent="0.25">
      <c r="A1672" s="6">
        <v>434029</v>
      </c>
      <c r="B1672" s="6" t="s">
        <v>1563</v>
      </c>
    </row>
    <row r="1673" spans="1:2" ht="15.75" customHeight="1" x14ac:dyDescent="0.25">
      <c r="A1673" s="6">
        <v>434030</v>
      </c>
      <c r="B1673" s="6" t="s">
        <v>1564</v>
      </c>
    </row>
    <row r="1674" spans="1:2" ht="15.75" customHeight="1" x14ac:dyDescent="0.25">
      <c r="A1674" s="6">
        <v>434031</v>
      </c>
      <c r="B1674" s="6" t="s">
        <v>1565</v>
      </c>
    </row>
    <row r="1675" spans="1:2" ht="15.75" customHeight="1" x14ac:dyDescent="0.25">
      <c r="A1675" s="6">
        <v>434032</v>
      </c>
      <c r="B1675" s="6" t="s">
        <v>1566</v>
      </c>
    </row>
    <row r="1676" spans="1:2" ht="15.75" customHeight="1" x14ac:dyDescent="0.25">
      <c r="A1676" s="6">
        <v>434034</v>
      </c>
      <c r="B1676" s="6" t="s">
        <v>1567</v>
      </c>
    </row>
    <row r="1677" spans="1:2" ht="15.75" customHeight="1" x14ac:dyDescent="0.25">
      <c r="A1677" s="6">
        <v>434033</v>
      </c>
      <c r="B1677" s="6" t="s">
        <v>1568</v>
      </c>
    </row>
    <row r="1678" spans="1:2" ht="15.75" customHeight="1" x14ac:dyDescent="0.25">
      <c r="A1678" s="6">
        <v>208007</v>
      </c>
      <c r="B1678" s="6" t="s">
        <v>1569</v>
      </c>
    </row>
    <row r="1679" spans="1:2" ht="15.75" customHeight="1" x14ac:dyDescent="0.25">
      <c r="A1679" s="6">
        <v>53053</v>
      </c>
      <c r="B1679" s="6" t="s">
        <v>1570</v>
      </c>
    </row>
    <row r="1680" spans="1:2" ht="15.75" customHeight="1" x14ac:dyDescent="0.25">
      <c r="A1680" s="6">
        <v>53054</v>
      </c>
      <c r="B1680" s="6" t="s">
        <v>1571</v>
      </c>
    </row>
    <row r="1681" spans="1:2" ht="15.75" customHeight="1" x14ac:dyDescent="0.25">
      <c r="A1681" s="6">
        <v>53051</v>
      </c>
      <c r="B1681" s="6" t="s">
        <v>1572</v>
      </c>
    </row>
    <row r="1682" spans="1:2" ht="15.75" customHeight="1" x14ac:dyDescent="0.25">
      <c r="A1682" s="6">
        <v>53052</v>
      </c>
      <c r="B1682" s="6" t="s">
        <v>1573</v>
      </c>
    </row>
    <row r="1683" spans="1:2" ht="15.75" customHeight="1" x14ac:dyDescent="0.25">
      <c r="A1683" s="6">
        <v>121006</v>
      </c>
      <c r="B1683" s="6" t="s">
        <v>1574</v>
      </c>
    </row>
    <row r="1684" spans="1:2" ht="15.75" customHeight="1" x14ac:dyDescent="0.25">
      <c r="A1684" s="6">
        <v>220027</v>
      </c>
      <c r="B1684" s="6" t="s">
        <v>1575</v>
      </c>
    </row>
    <row r="1685" spans="1:2" ht="15.75" customHeight="1" x14ac:dyDescent="0.25">
      <c r="A1685" s="6">
        <v>220028</v>
      </c>
      <c r="B1685" s="6" t="s">
        <v>1576</v>
      </c>
    </row>
    <row r="1686" spans="1:2" ht="15.75" customHeight="1" x14ac:dyDescent="0.25">
      <c r="A1686" s="6">
        <v>208008</v>
      </c>
      <c r="B1686" s="6" t="s">
        <v>1577</v>
      </c>
    </row>
    <row r="1687" spans="1:2" ht="15.75" customHeight="1" x14ac:dyDescent="0.25">
      <c r="A1687" s="6">
        <v>210020</v>
      </c>
      <c r="B1687" s="6" t="s">
        <v>1578</v>
      </c>
    </row>
    <row r="1688" spans="1:2" ht="15.75" customHeight="1" x14ac:dyDescent="0.25">
      <c r="A1688" s="6">
        <v>222016</v>
      </c>
      <c r="B1688" s="6" t="s">
        <v>1578</v>
      </c>
    </row>
    <row r="1689" spans="1:2" ht="15.75" customHeight="1" x14ac:dyDescent="0.25">
      <c r="A1689" s="6">
        <v>338002</v>
      </c>
      <c r="B1689" s="6" t="s">
        <v>1579</v>
      </c>
    </row>
    <row r="1690" spans="1:2" ht="15.75" customHeight="1" x14ac:dyDescent="0.25">
      <c r="A1690" s="6">
        <v>1045</v>
      </c>
      <c r="B1690" s="6" t="s">
        <v>1580</v>
      </c>
    </row>
    <row r="1691" spans="1:2" ht="15.75" customHeight="1" x14ac:dyDescent="0.25">
      <c r="A1691" s="6">
        <v>1040</v>
      </c>
      <c r="B1691" s="6" t="s">
        <v>1581</v>
      </c>
    </row>
    <row r="1692" spans="1:2" ht="15.75" customHeight="1" x14ac:dyDescent="0.25">
      <c r="A1692" s="6">
        <v>209030</v>
      </c>
      <c r="B1692" s="6" t="s">
        <v>1582</v>
      </c>
    </row>
    <row r="1693" spans="1:2" ht="15.75" customHeight="1" x14ac:dyDescent="0.25">
      <c r="A1693" s="6">
        <v>7002</v>
      </c>
      <c r="B1693" s="6" t="s">
        <v>1583</v>
      </c>
    </row>
    <row r="1694" spans="1:2" ht="15.75" customHeight="1" x14ac:dyDescent="0.25">
      <c r="A1694" s="6">
        <v>7003</v>
      </c>
      <c r="B1694" s="6" t="s">
        <v>1584</v>
      </c>
    </row>
    <row r="1695" spans="1:2" ht="15.75" customHeight="1" x14ac:dyDescent="0.25">
      <c r="A1695" s="6">
        <v>7001</v>
      </c>
      <c r="B1695" s="6" t="s">
        <v>1585</v>
      </c>
    </row>
    <row r="1696" spans="1:2" ht="15.75" customHeight="1" x14ac:dyDescent="0.25">
      <c r="A1696" s="6">
        <v>216014</v>
      </c>
      <c r="B1696" s="6" t="s">
        <v>1586</v>
      </c>
    </row>
    <row r="1697" spans="1:2" ht="15.75" customHeight="1" x14ac:dyDescent="0.25">
      <c r="A1697" s="6">
        <v>32139</v>
      </c>
      <c r="B1697" s="6" t="s">
        <v>1587</v>
      </c>
    </row>
    <row r="1698" spans="1:2" ht="15.75" customHeight="1" x14ac:dyDescent="0.25">
      <c r="A1698" s="6">
        <v>32140</v>
      </c>
      <c r="B1698" s="6" t="s">
        <v>1588</v>
      </c>
    </row>
    <row r="1699" spans="1:2" ht="15.75" customHeight="1" x14ac:dyDescent="0.25">
      <c r="A1699" s="6">
        <v>316003</v>
      </c>
      <c r="B1699" s="6" t="s">
        <v>1589</v>
      </c>
    </row>
    <row r="1700" spans="1:2" ht="15.75" customHeight="1" x14ac:dyDescent="0.25">
      <c r="A1700" s="6">
        <v>338009</v>
      </c>
      <c r="B1700" s="6" t="s">
        <v>1590</v>
      </c>
    </row>
    <row r="1701" spans="1:2" ht="15.75" customHeight="1" x14ac:dyDescent="0.25">
      <c r="A1701" s="6">
        <v>338011</v>
      </c>
      <c r="B1701" s="6" t="s">
        <v>1591</v>
      </c>
    </row>
    <row r="1702" spans="1:2" ht="15.75" customHeight="1" x14ac:dyDescent="0.25">
      <c r="A1702" s="6">
        <v>338010</v>
      </c>
      <c r="B1702" s="6" t="s">
        <v>1592</v>
      </c>
    </row>
    <row r="1703" spans="1:2" ht="15.75" customHeight="1" x14ac:dyDescent="0.25">
      <c r="A1703" s="6">
        <v>338012</v>
      </c>
      <c r="B1703" s="6" t="s">
        <v>1593</v>
      </c>
    </row>
    <row r="1704" spans="1:2" ht="15.75" customHeight="1" x14ac:dyDescent="0.25">
      <c r="A1704" s="6">
        <v>338014</v>
      </c>
      <c r="B1704" s="6" t="s">
        <v>1594</v>
      </c>
    </row>
    <row r="1705" spans="1:2" ht="15.75" customHeight="1" x14ac:dyDescent="0.25">
      <c r="A1705" s="6">
        <v>338013</v>
      </c>
      <c r="B1705" s="6" t="s">
        <v>1595</v>
      </c>
    </row>
    <row r="1706" spans="1:2" ht="15.75" customHeight="1" x14ac:dyDescent="0.25">
      <c r="A1706" s="6">
        <v>216020</v>
      </c>
      <c r="B1706" s="6" t="s">
        <v>1596</v>
      </c>
    </row>
    <row r="1707" spans="1:2" ht="15.75" customHeight="1" x14ac:dyDescent="0.25">
      <c r="A1707" s="6">
        <v>216021</v>
      </c>
      <c r="B1707" s="6" t="s">
        <v>1597</v>
      </c>
    </row>
    <row r="1708" spans="1:2" ht="15.75" customHeight="1" x14ac:dyDescent="0.25">
      <c r="A1708" s="6">
        <v>216016</v>
      </c>
      <c r="B1708" s="6" t="s">
        <v>1598</v>
      </c>
    </row>
    <row r="1709" spans="1:2" ht="15.75" customHeight="1" x14ac:dyDescent="0.25">
      <c r="A1709" s="6">
        <v>216015</v>
      </c>
      <c r="B1709" s="6" t="s">
        <v>1599</v>
      </c>
    </row>
    <row r="1710" spans="1:2" ht="15.75" customHeight="1" x14ac:dyDescent="0.25">
      <c r="A1710" s="6">
        <v>43001</v>
      </c>
      <c r="B1710" s="6" t="s">
        <v>1600</v>
      </c>
    </row>
    <row r="1711" spans="1:2" ht="15.75" customHeight="1" x14ac:dyDescent="0.25">
      <c r="A1711" s="6">
        <v>43003</v>
      </c>
      <c r="B1711" s="6" t="s">
        <v>1601</v>
      </c>
    </row>
    <row r="1712" spans="1:2" ht="15.75" customHeight="1" x14ac:dyDescent="0.25">
      <c r="A1712" s="6">
        <v>43038</v>
      </c>
      <c r="B1712" s="6" t="s">
        <v>2187</v>
      </c>
    </row>
    <row r="1713" spans="1:2" ht="15.75" customHeight="1" x14ac:dyDescent="0.25">
      <c r="A1713" s="6">
        <v>409009</v>
      </c>
      <c r="B1713" s="6" t="s">
        <v>1602</v>
      </c>
    </row>
    <row r="1714" spans="1:2" ht="15.75" customHeight="1" x14ac:dyDescent="0.25">
      <c r="A1714" s="6">
        <v>43002</v>
      </c>
      <c r="B1714" s="6" t="s">
        <v>1603</v>
      </c>
    </row>
    <row r="1715" spans="1:2" ht="15.75" customHeight="1" x14ac:dyDescent="0.25">
      <c r="A1715" s="6">
        <v>43004</v>
      </c>
      <c r="B1715" s="6" t="s">
        <v>1604</v>
      </c>
    </row>
    <row r="1716" spans="1:2" ht="15.75" customHeight="1" x14ac:dyDescent="0.25">
      <c r="A1716" s="6">
        <v>43039</v>
      </c>
      <c r="B1716" s="6" t="s">
        <v>2188</v>
      </c>
    </row>
    <row r="1717" spans="1:2" ht="15.75" customHeight="1" x14ac:dyDescent="0.25">
      <c r="A1717" s="6">
        <v>43007</v>
      </c>
      <c r="B1717" s="6" t="s">
        <v>1605</v>
      </c>
    </row>
    <row r="1718" spans="1:2" ht="15.75" customHeight="1" x14ac:dyDescent="0.25">
      <c r="A1718" s="6">
        <v>43020</v>
      </c>
      <c r="B1718" s="6" t="s">
        <v>1692</v>
      </c>
    </row>
    <row r="1719" spans="1:2" ht="15.75" customHeight="1" x14ac:dyDescent="0.25">
      <c r="A1719" s="6">
        <v>43006</v>
      </c>
      <c r="B1719" s="6" t="s">
        <v>1606</v>
      </c>
    </row>
    <row r="1720" spans="1:2" ht="15.75" customHeight="1" x14ac:dyDescent="0.25">
      <c r="A1720" s="6">
        <v>43005</v>
      </c>
      <c r="B1720" s="6" t="s">
        <v>1607</v>
      </c>
    </row>
    <row r="1721" spans="1:2" ht="15.75" customHeight="1" x14ac:dyDescent="0.25">
      <c r="A1721" s="6">
        <v>43037</v>
      </c>
      <c r="B1721" s="6" t="s">
        <v>2189</v>
      </c>
    </row>
    <row r="1722" spans="1:2" ht="15.75" customHeight="1" x14ac:dyDescent="0.25">
      <c r="A1722" s="6">
        <v>43033</v>
      </c>
      <c r="B1722" s="6" t="s">
        <v>2190</v>
      </c>
    </row>
    <row r="1723" spans="1:2" ht="15.75" customHeight="1" x14ac:dyDescent="0.25">
      <c r="A1723" s="6">
        <v>43024</v>
      </c>
      <c r="B1723" s="6" t="s">
        <v>1865</v>
      </c>
    </row>
    <row r="1724" spans="1:2" ht="15.75" customHeight="1" x14ac:dyDescent="0.25">
      <c r="A1724" s="6">
        <v>43036</v>
      </c>
      <c r="B1724" s="6" t="s">
        <v>2191</v>
      </c>
    </row>
    <row r="1725" spans="1:2" ht="15.75" customHeight="1" x14ac:dyDescent="0.25">
      <c r="A1725" s="6">
        <v>446002</v>
      </c>
      <c r="B1725" s="6" t="s">
        <v>1608</v>
      </c>
    </row>
    <row r="1726" spans="1:2" ht="15.75" customHeight="1" x14ac:dyDescent="0.25">
      <c r="A1726" s="6">
        <v>446004</v>
      </c>
      <c r="B1726" s="6" t="s">
        <v>1609</v>
      </c>
    </row>
    <row r="1727" spans="1:2" ht="15.75" customHeight="1" x14ac:dyDescent="0.25">
      <c r="A1727" s="6">
        <v>446003</v>
      </c>
      <c r="B1727" s="6" t="s">
        <v>1610</v>
      </c>
    </row>
    <row r="1728" spans="1:2" ht="15.75" customHeight="1" x14ac:dyDescent="0.25">
      <c r="A1728" s="6">
        <v>446001</v>
      </c>
      <c r="B1728" s="6" t="s">
        <v>1611</v>
      </c>
    </row>
    <row r="1729" spans="1:2" ht="15.75" customHeight="1" x14ac:dyDescent="0.25">
      <c r="A1729" s="6">
        <v>59002</v>
      </c>
      <c r="B1729" s="6" t="s">
        <v>1738</v>
      </c>
    </row>
    <row r="1730" spans="1:2" ht="15.75" customHeight="1" x14ac:dyDescent="0.25">
      <c r="A1730" s="6">
        <v>210001</v>
      </c>
      <c r="B1730" s="6" t="s">
        <v>1612</v>
      </c>
    </row>
    <row r="1731" spans="1:2" ht="15.75" customHeight="1" x14ac:dyDescent="0.25">
      <c r="A1731" s="6">
        <v>222020</v>
      </c>
      <c r="B1731" s="6" t="s">
        <v>1612</v>
      </c>
    </row>
    <row r="1732" spans="1:2" ht="15.75" customHeight="1" x14ac:dyDescent="0.25">
      <c r="A1732" s="6">
        <v>209018</v>
      </c>
      <c r="B1732" s="6" t="s">
        <v>1613</v>
      </c>
    </row>
    <row r="1733" spans="1:2" ht="15.75" customHeight="1" x14ac:dyDescent="0.25">
      <c r="A1733" s="6">
        <v>409044</v>
      </c>
      <c r="B1733" s="6" t="s">
        <v>1613</v>
      </c>
    </row>
    <row r="1734" spans="1:2" ht="15.75" customHeight="1" x14ac:dyDescent="0.25"/>
  </sheetData>
  <autoFilter ref="A2:B1734" xr:uid="{00000000-0009-0000-0000-000006000000}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00"/>
  <sheetViews>
    <sheetView workbookViewId="0"/>
  </sheetViews>
  <sheetFormatPr defaultColWidth="14.42578125" defaultRowHeight="15" customHeight="1" x14ac:dyDescent="0.25"/>
  <cols>
    <col min="1" max="1" width="20.7109375" customWidth="1"/>
    <col min="2" max="2" width="24.42578125" customWidth="1"/>
    <col min="3" max="3" width="23.42578125" customWidth="1"/>
    <col min="4" max="4" width="18.42578125" customWidth="1"/>
    <col min="5" max="5" width="30" customWidth="1"/>
    <col min="6" max="6" width="15.42578125" customWidth="1"/>
    <col min="7" max="7" width="35.140625" customWidth="1"/>
    <col min="8" max="8" width="14.28515625" customWidth="1"/>
    <col min="9" max="26" width="10.7109375" customWidth="1"/>
  </cols>
  <sheetData>
    <row r="1" spans="1:2" x14ac:dyDescent="0.25">
      <c r="A1" s="11"/>
    </row>
    <row r="2" spans="1:2" x14ac:dyDescent="0.25">
      <c r="A2" s="12"/>
      <c r="B2" s="13">
        <v>90210</v>
      </c>
    </row>
    <row r="3" spans="1:2" x14ac:dyDescent="0.25">
      <c r="B3" s="13" t="s">
        <v>16</v>
      </c>
    </row>
    <row r="4" spans="1:2" x14ac:dyDescent="0.25">
      <c r="B4" s="13" t="s">
        <v>18</v>
      </c>
    </row>
    <row r="5" spans="1:2" x14ac:dyDescent="0.25">
      <c r="B5" s="13" t="s">
        <v>20</v>
      </c>
    </row>
    <row r="6" spans="1:2" x14ac:dyDescent="0.25">
      <c r="B6" s="13" t="s">
        <v>2192</v>
      </c>
    </row>
    <row r="7" spans="1:2" x14ac:dyDescent="0.25">
      <c r="B7" s="13" t="s">
        <v>22</v>
      </c>
    </row>
    <row r="8" spans="1:2" x14ac:dyDescent="0.25">
      <c r="B8" s="13" t="s">
        <v>27</v>
      </c>
    </row>
    <row r="9" spans="1:2" x14ac:dyDescent="0.25">
      <c r="B9" s="13" t="s">
        <v>29</v>
      </c>
    </row>
    <row r="10" spans="1:2" x14ac:dyDescent="0.25">
      <c r="B10" s="13" t="s">
        <v>31</v>
      </c>
    </row>
    <row r="11" spans="1:2" x14ac:dyDescent="0.25">
      <c r="B11" s="13" t="s">
        <v>33</v>
      </c>
    </row>
    <row r="12" spans="1:2" x14ac:dyDescent="0.25">
      <c r="B12" s="13" t="s">
        <v>35</v>
      </c>
    </row>
    <row r="13" spans="1:2" x14ac:dyDescent="0.25">
      <c r="B13" s="13" t="s">
        <v>2193</v>
      </c>
    </row>
    <row r="14" spans="1:2" ht="28.5" customHeight="1" x14ac:dyDescent="0.25">
      <c r="B14" s="13" t="s">
        <v>2194</v>
      </c>
    </row>
    <row r="15" spans="1:2" x14ac:dyDescent="0.25">
      <c r="B15" s="13" t="s">
        <v>37</v>
      </c>
    </row>
    <row r="16" spans="1:2" x14ac:dyDescent="0.25">
      <c r="B16" s="13" t="s">
        <v>39</v>
      </c>
    </row>
    <row r="17" spans="2:8" x14ac:dyDescent="0.25">
      <c r="B17" s="13" t="s">
        <v>41</v>
      </c>
    </row>
    <row r="18" spans="2:8" x14ac:dyDescent="0.25">
      <c r="B18" s="13" t="s">
        <v>47</v>
      </c>
    </row>
    <row r="19" spans="2:8" x14ac:dyDescent="0.25">
      <c r="B19" s="13" t="s">
        <v>2195</v>
      </c>
      <c r="H19" s="14"/>
    </row>
    <row r="20" spans="2:8" x14ac:dyDescent="0.25">
      <c r="B20" s="13" t="s">
        <v>49</v>
      </c>
      <c r="H20" s="14"/>
    </row>
    <row r="21" spans="2:8" ht="15.75" customHeight="1" x14ac:dyDescent="0.25">
      <c r="B21" s="13" t="s">
        <v>2196</v>
      </c>
      <c r="H21" s="14"/>
    </row>
    <row r="22" spans="2:8" ht="15.75" customHeight="1" x14ac:dyDescent="0.25">
      <c r="B22" s="13" t="s">
        <v>51</v>
      </c>
      <c r="H22" s="14"/>
    </row>
    <row r="23" spans="2:8" ht="15.75" customHeight="1" x14ac:dyDescent="0.25">
      <c r="B23" s="13" t="s">
        <v>53</v>
      </c>
      <c r="H23" s="14"/>
    </row>
    <row r="24" spans="2:8" ht="15.75" customHeight="1" x14ac:dyDescent="0.25">
      <c r="B24" s="13" t="s">
        <v>55</v>
      </c>
      <c r="H24" s="14"/>
    </row>
    <row r="25" spans="2:8" ht="15.75" customHeight="1" x14ac:dyDescent="0.25">
      <c r="B25" s="13" t="s">
        <v>57</v>
      </c>
      <c r="H25" s="14"/>
    </row>
    <row r="26" spans="2:8" ht="15.75" customHeight="1" x14ac:dyDescent="0.25">
      <c r="B26" s="15" t="s">
        <v>59</v>
      </c>
      <c r="H26" s="14"/>
    </row>
    <row r="27" spans="2:8" ht="15.75" customHeight="1" x14ac:dyDescent="0.25">
      <c r="B27" s="13" t="s">
        <v>61</v>
      </c>
    </row>
    <row r="28" spans="2:8" ht="15.75" customHeight="1" x14ac:dyDescent="0.25">
      <c r="B28" s="13" t="s">
        <v>63</v>
      </c>
    </row>
    <row r="29" spans="2:8" ht="15.75" customHeight="1" x14ac:dyDescent="0.25">
      <c r="B29" s="13" t="s">
        <v>65</v>
      </c>
    </row>
    <row r="30" spans="2:8" ht="15.75" customHeight="1" x14ac:dyDescent="0.25">
      <c r="B30" s="13" t="s">
        <v>2197</v>
      </c>
    </row>
    <row r="31" spans="2:8" ht="15.75" customHeight="1" x14ac:dyDescent="0.25">
      <c r="B31" s="13" t="s">
        <v>67</v>
      </c>
    </row>
    <row r="32" spans="2:8" ht="15.75" customHeight="1" x14ac:dyDescent="0.25">
      <c r="B32" s="13" t="s">
        <v>71</v>
      </c>
    </row>
    <row r="33" spans="2:2" ht="15.75" customHeight="1" x14ac:dyDescent="0.25">
      <c r="B33" s="13" t="s">
        <v>75</v>
      </c>
    </row>
    <row r="34" spans="2:2" ht="15.75" customHeight="1" x14ac:dyDescent="0.25">
      <c r="B34" s="13" t="s">
        <v>77</v>
      </c>
    </row>
    <row r="35" spans="2:2" ht="15.75" customHeight="1" x14ac:dyDescent="0.25">
      <c r="B35" s="13" t="s">
        <v>2198</v>
      </c>
    </row>
    <row r="36" spans="2:2" ht="15.75" customHeight="1" x14ac:dyDescent="0.25">
      <c r="B36" s="13" t="s">
        <v>2199</v>
      </c>
    </row>
    <row r="37" spans="2:2" ht="15.75" customHeight="1" x14ac:dyDescent="0.25">
      <c r="B37" s="13" t="s">
        <v>79</v>
      </c>
    </row>
    <row r="38" spans="2:2" ht="15.75" customHeight="1" x14ac:dyDescent="0.25">
      <c r="B38" s="13" t="s">
        <v>81</v>
      </c>
    </row>
    <row r="39" spans="2:2" ht="15.75" customHeight="1" x14ac:dyDescent="0.25">
      <c r="B39" s="13" t="s">
        <v>85</v>
      </c>
    </row>
    <row r="40" spans="2:2" ht="15.75" customHeight="1" x14ac:dyDescent="0.25">
      <c r="B40" s="13" t="s">
        <v>83</v>
      </c>
    </row>
    <row r="41" spans="2:2" ht="15.75" customHeight="1" x14ac:dyDescent="0.25">
      <c r="B41" s="13" t="s">
        <v>87</v>
      </c>
    </row>
    <row r="42" spans="2:2" ht="15.75" customHeight="1" x14ac:dyDescent="0.25">
      <c r="B42" s="13" t="s">
        <v>89</v>
      </c>
    </row>
    <row r="43" spans="2:2" ht="15.75" customHeight="1" x14ac:dyDescent="0.25">
      <c r="B43" s="13" t="s">
        <v>93</v>
      </c>
    </row>
    <row r="44" spans="2:2" ht="15.75" customHeight="1" x14ac:dyDescent="0.25">
      <c r="B44" s="13" t="s">
        <v>95</v>
      </c>
    </row>
    <row r="45" spans="2:2" ht="15.75" customHeight="1" x14ac:dyDescent="0.25">
      <c r="B45" s="13" t="s">
        <v>2200</v>
      </c>
    </row>
    <row r="46" spans="2:2" ht="15.75" customHeight="1" x14ac:dyDescent="0.25">
      <c r="B46" s="13" t="s">
        <v>2201</v>
      </c>
    </row>
    <row r="47" spans="2:2" ht="15.75" customHeight="1" x14ac:dyDescent="0.25">
      <c r="B47" s="13" t="s">
        <v>2202</v>
      </c>
    </row>
    <row r="48" spans="2:2" ht="15.75" customHeight="1" x14ac:dyDescent="0.25">
      <c r="B48" s="13" t="s">
        <v>99</v>
      </c>
    </row>
    <row r="49" spans="2:2" ht="15.75" customHeight="1" x14ac:dyDescent="0.25">
      <c r="B49" s="13" t="s">
        <v>105</v>
      </c>
    </row>
    <row r="50" spans="2:2" ht="15.75" customHeight="1" x14ac:dyDescent="0.25">
      <c r="B50" s="13" t="s">
        <v>109</v>
      </c>
    </row>
    <row r="51" spans="2:2" ht="15.75" customHeight="1" x14ac:dyDescent="0.25">
      <c r="B51" s="13" t="s">
        <v>2203</v>
      </c>
    </row>
    <row r="52" spans="2:2" ht="15.75" customHeight="1" x14ac:dyDescent="0.25">
      <c r="B52" s="13" t="s">
        <v>113</v>
      </c>
    </row>
    <row r="53" spans="2:2" ht="15.75" customHeight="1" x14ac:dyDescent="0.25">
      <c r="B53" s="13" t="s">
        <v>119</v>
      </c>
    </row>
    <row r="54" spans="2:2" ht="15.75" customHeight="1" x14ac:dyDescent="0.25">
      <c r="B54" s="13" t="s">
        <v>2204</v>
      </c>
    </row>
    <row r="55" spans="2:2" ht="15.75" customHeight="1" x14ac:dyDescent="0.25">
      <c r="B55" s="13" t="s">
        <v>121</v>
      </c>
    </row>
    <row r="56" spans="2:2" ht="15.75" customHeight="1" x14ac:dyDescent="0.25">
      <c r="B56" s="13" t="s">
        <v>123</v>
      </c>
    </row>
    <row r="57" spans="2:2" ht="15.75" customHeight="1" x14ac:dyDescent="0.25">
      <c r="B57" s="13" t="s">
        <v>127</v>
      </c>
    </row>
    <row r="58" spans="2:2" ht="15.75" customHeight="1" x14ac:dyDescent="0.25">
      <c r="B58" s="13" t="s">
        <v>130</v>
      </c>
    </row>
    <row r="59" spans="2:2" ht="15.75" customHeight="1" x14ac:dyDescent="0.25">
      <c r="B59" s="13" t="s">
        <v>2205</v>
      </c>
    </row>
    <row r="60" spans="2:2" ht="15.75" customHeight="1" x14ac:dyDescent="0.25">
      <c r="B60" s="13" t="s">
        <v>132</v>
      </c>
    </row>
    <row r="61" spans="2:2" ht="15.75" customHeight="1" x14ac:dyDescent="0.25">
      <c r="B61" s="13" t="s">
        <v>138</v>
      </c>
    </row>
    <row r="62" spans="2:2" ht="15.75" customHeight="1" x14ac:dyDescent="0.25">
      <c r="B62" s="15" t="s">
        <v>140</v>
      </c>
    </row>
    <row r="63" spans="2:2" ht="15.75" customHeight="1" x14ac:dyDescent="0.25">
      <c r="B63" s="13" t="s">
        <v>2206</v>
      </c>
    </row>
    <row r="64" spans="2:2" ht="15.75" customHeight="1" x14ac:dyDescent="0.25">
      <c r="B64" s="13" t="s">
        <v>948</v>
      </c>
    </row>
    <row r="65" spans="2:2" ht="15.75" customHeight="1" x14ac:dyDescent="0.25">
      <c r="B65" s="13" t="s">
        <v>145</v>
      </c>
    </row>
    <row r="66" spans="2:2" ht="15.75" customHeight="1" x14ac:dyDescent="0.25">
      <c r="B66" s="13" t="s">
        <v>149</v>
      </c>
    </row>
    <row r="67" spans="2:2" ht="15.75" customHeight="1" x14ac:dyDescent="0.25">
      <c r="B67" s="13" t="s">
        <v>151</v>
      </c>
    </row>
    <row r="68" spans="2:2" ht="15.75" customHeight="1" x14ac:dyDescent="0.25">
      <c r="B68" s="13" t="s">
        <v>153</v>
      </c>
    </row>
    <row r="69" spans="2:2" ht="15.75" customHeight="1" x14ac:dyDescent="0.25">
      <c r="B69" s="13" t="s">
        <v>157</v>
      </c>
    </row>
    <row r="70" spans="2:2" ht="15.75" customHeight="1" x14ac:dyDescent="0.25">
      <c r="B70" s="13" t="s">
        <v>159</v>
      </c>
    </row>
    <row r="71" spans="2:2" ht="15.75" customHeight="1" x14ac:dyDescent="0.25">
      <c r="B71" s="13" t="s">
        <v>161</v>
      </c>
    </row>
    <row r="72" spans="2:2" ht="15.75" customHeight="1" x14ac:dyDescent="0.25">
      <c r="B72" s="13" t="s">
        <v>163</v>
      </c>
    </row>
    <row r="73" spans="2:2" ht="15.75" customHeight="1" x14ac:dyDescent="0.25">
      <c r="B73" s="13" t="s">
        <v>165</v>
      </c>
    </row>
    <row r="74" spans="2:2" ht="15.75" customHeight="1" x14ac:dyDescent="0.25">
      <c r="B74" s="13" t="s">
        <v>167</v>
      </c>
    </row>
    <row r="75" spans="2:2" ht="15.75" customHeight="1" x14ac:dyDescent="0.25">
      <c r="B75" s="13" t="s">
        <v>2207</v>
      </c>
    </row>
    <row r="76" spans="2:2" ht="15.75" customHeight="1" x14ac:dyDescent="0.25">
      <c r="B76" s="13" t="s">
        <v>2208</v>
      </c>
    </row>
    <row r="77" spans="2:2" ht="15.75" customHeight="1" x14ac:dyDescent="0.25">
      <c r="B77" s="13" t="s">
        <v>169</v>
      </c>
    </row>
    <row r="78" spans="2:2" ht="15.75" customHeight="1" x14ac:dyDescent="0.25">
      <c r="B78" s="13" t="s">
        <v>2209</v>
      </c>
    </row>
    <row r="79" spans="2:2" ht="15.75" customHeight="1" x14ac:dyDescent="0.25">
      <c r="B79" s="13" t="s">
        <v>171</v>
      </c>
    </row>
    <row r="80" spans="2:2" ht="15.75" customHeight="1" x14ac:dyDescent="0.25">
      <c r="B80" s="13" t="s">
        <v>173</v>
      </c>
    </row>
    <row r="81" spans="2:2" ht="15.75" customHeight="1" x14ac:dyDescent="0.25">
      <c r="B81" s="13" t="s">
        <v>175</v>
      </c>
    </row>
    <row r="82" spans="2:2" ht="15.75" customHeight="1" x14ac:dyDescent="0.25">
      <c r="B82" s="13" t="s">
        <v>180</v>
      </c>
    </row>
    <row r="83" spans="2:2" ht="15.75" customHeight="1" x14ac:dyDescent="0.25">
      <c r="B83" s="13" t="s">
        <v>184</v>
      </c>
    </row>
    <row r="84" spans="2:2" ht="15.75" customHeight="1" x14ac:dyDescent="0.25">
      <c r="B84" s="13" t="s">
        <v>190</v>
      </c>
    </row>
    <row r="85" spans="2:2" ht="15.75" customHeight="1" x14ac:dyDescent="0.25">
      <c r="B85" s="13" t="s">
        <v>195</v>
      </c>
    </row>
    <row r="86" spans="2:2" ht="15.75" customHeight="1" x14ac:dyDescent="0.25">
      <c r="B86" s="13" t="s">
        <v>199</v>
      </c>
    </row>
    <row r="87" spans="2:2" ht="15.75" customHeight="1" x14ac:dyDescent="0.25">
      <c r="B87" s="13" t="s">
        <v>201</v>
      </c>
    </row>
    <row r="88" spans="2:2" ht="15.75" customHeight="1" x14ac:dyDescent="0.25">
      <c r="B88" s="13" t="s">
        <v>203</v>
      </c>
    </row>
    <row r="89" spans="2:2" ht="15.75" customHeight="1" x14ac:dyDescent="0.25">
      <c r="B89" s="13" t="s">
        <v>207</v>
      </c>
    </row>
    <row r="90" spans="2:2" ht="15.75" customHeight="1" x14ac:dyDescent="0.25">
      <c r="B90" s="13" t="s">
        <v>209</v>
      </c>
    </row>
    <row r="91" spans="2:2" ht="15.75" customHeight="1" x14ac:dyDescent="0.25">
      <c r="B91" s="13" t="s">
        <v>2210</v>
      </c>
    </row>
    <row r="92" spans="2:2" ht="15.75" customHeight="1" x14ac:dyDescent="0.25">
      <c r="B92" s="13" t="s">
        <v>2211</v>
      </c>
    </row>
    <row r="93" spans="2:2" ht="15.75" customHeight="1" x14ac:dyDescent="0.25">
      <c r="B93" s="13" t="s">
        <v>211</v>
      </c>
    </row>
    <row r="94" spans="2:2" ht="15.75" customHeight="1" x14ac:dyDescent="0.25">
      <c r="B94" s="13" t="s">
        <v>213</v>
      </c>
    </row>
    <row r="95" spans="2:2" ht="15.75" customHeight="1" x14ac:dyDescent="0.25">
      <c r="B95" s="13" t="s">
        <v>215</v>
      </c>
    </row>
    <row r="96" spans="2:2" ht="15.75" customHeight="1" x14ac:dyDescent="0.25">
      <c r="B96" s="13" t="s">
        <v>217</v>
      </c>
    </row>
    <row r="97" spans="2:2" ht="15.75" customHeight="1" x14ac:dyDescent="0.25">
      <c r="B97" s="13" t="s">
        <v>219</v>
      </c>
    </row>
    <row r="98" spans="2:2" ht="15.75" customHeight="1" x14ac:dyDescent="0.25">
      <c r="B98" s="15" t="s">
        <v>226</v>
      </c>
    </row>
    <row r="99" spans="2:2" ht="15.75" customHeight="1" x14ac:dyDescent="0.25">
      <c r="B99" s="13" t="s">
        <v>228</v>
      </c>
    </row>
    <row r="100" spans="2:2" ht="15.75" customHeight="1" x14ac:dyDescent="0.25">
      <c r="B100" s="13" t="s">
        <v>2212</v>
      </c>
    </row>
    <row r="101" spans="2:2" ht="15.75" customHeight="1" x14ac:dyDescent="0.25">
      <c r="B101" s="13" t="s">
        <v>1015</v>
      </c>
    </row>
    <row r="102" spans="2:2" ht="15.75" customHeight="1" x14ac:dyDescent="0.25">
      <c r="B102" s="13" t="s">
        <v>2213</v>
      </c>
    </row>
    <row r="103" spans="2:2" ht="15.75" customHeight="1" x14ac:dyDescent="0.25">
      <c r="B103" s="13" t="s">
        <v>232</v>
      </c>
    </row>
    <row r="104" spans="2:2" ht="15.75" customHeight="1" x14ac:dyDescent="0.25">
      <c r="B104" s="13" t="s">
        <v>234</v>
      </c>
    </row>
    <row r="105" spans="2:2" ht="15.75" customHeight="1" x14ac:dyDescent="0.25">
      <c r="B105" s="13" t="s">
        <v>238</v>
      </c>
    </row>
    <row r="106" spans="2:2" ht="15.75" customHeight="1" x14ac:dyDescent="0.25">
      <c r="B106" s="13" t="s">
        <v>242</v>
      </c>
    </row>
    <row r="107" spans="2:2" ht="15.75" customHeight="1" x14ac:dyDescent="0.25">
      <c r="B107" s="13" t="s">
        <v>246</v>
      </c>
    </row>
    <row r="108" spans="2:2" ht="15.75" customHeight="1" x14ac:dyDescent="0.25">
      <c r="B108" s="13" t="s">
        <v>2214</v>
      </c>
    </row>
    <row r="109" spans="2:2" ht="15.75" customHeight="1" x14ac:dyDescent="0.25">
      <c r="B109" s="13" t="s">
        <v>248</v>
      </c>
    </row>
    <row r="110" spans="2:2" ht="15.75" customHeight="1" x14ac:dyDescent="0.25">
      <c r="B110" s="13" t="s">
        <v>2215</v>
      </c>
    </row>
    <row r="111" spans="2:2" ht="15.75" customHeight="1" x14ac:dyDescent="0.25">
      <c r="B111" s="13" t="s">
        <v>250</v>
      </c>
    </row>
    <row r="112" spans="2:2" ht="15.75" customHeight="1" x14ac:dyDescent="0.25">
      <c r="B112" s="13" t="s">
        <v>252</v>
      </c>
    </row>
    <row r="113" spans="2:2" ht="15.75" customHeight="1" x14ac:dyDescent="0.25">
      <c r="B113" s="13" t="s">
        <v>254</v>
      </c>
    </row>
    <row r="114" spans="2:2" ht="15.75" customHeight="1" x14ac:dyDescent="0.25">
      <c r="B114" s="13" t="s">
        <v>2216</v>
      </c>
    </row>
    <row r="115" spans="2:2" ht="15.75" customHeight="1" x14ac:dyDescent="0.25">
      <c r="B115" s="13" t="s">
        <v>256</v>
      </c>
    </row>
    <row r="116" spans="2:2" ht="15.75" customHeight="1" x14ac:dyDescent="0.25">
      <c r="B116" s="13" t="s">
        <v>261</v>
      </c>
    </row>
    <row r="117" spans="2:2" ht="15.75" customHeight="1" x14ac:dyDescent="0.25">
      <c r="B117" s="13" t="s">
        <v>2217</v>
      </c>
    </row>
    <row r="118" spans="2:2" ht="15.75" customHeight="1" x14ac:dyDescent="0.25">
      <c r="B118" s="13" t="s">
        <v>2218</v>
      </c>
    </row>
    <row r="119" spans="2:2" ht="15.75" customHeight="1" x14ac:dyDescent="0.25">
      <c r="B119" s="13" t="s">
        <v>2219</v>
      </c>
    </row>
    <row r="120" spans="2:2" ht="15.75" customHeight="1" x14ac:dyDescent="0.25">
      <c r="B120" s="13" t="s">
        <v>263</v>
      </c>
    </row>
    <row r="121" spans="2:2" ht="15.75" customHeight="1" x14ac:dyDescent="0.25">
      <c r="B121" s="13" t="s">
        <v>2220</v>
      </c>
    </row>
    <row r="122" spans="2:2" ht="15.75" customHeight="1" x14ac:dyDescent="0.25">
      <c r="B122" s="13" t="s">
        <v>2221</v>
      </c>
    </row>
    <row r="123" spans="2:2" ht="15.75" customHeight="1" x14ac:dyDescent="0.25">
      <c r="B123" s="13" t="s">
        <v>265</v>
      </c>
    </row>
    <row r="124" spans="2:2" ht="15.75" customHeight="1" x14ac:dyDescent="0.25">
      <c r="B124" s="13" t="s">
        <v>269</v>
      </c>
    </row>
    <row r="125" spans="2:2" ht="15.75" customHeight="1" x14ac:dyDescent="0.25">
      <c r="B125" s="13" t="s">
        <v>271</v>
      </c>
    </row>
    <row r="126" spans="2:2" ht="15.75" customHeight="1" x14ac:dyDescent="0.25">
      <c r="B126" s="13" t="s">
        <v>273</v>
      </c>
    </row>
    <row r="127" spans="2:2" ht="15.75" customHeight="1" x14ac:dyDescent="0.25">
      <c r="B127" s="13" t="s">
        <v>2222</v>
      </c>
    </row>
    <row r="128" spans="2:2" ht="15.75" customHeight="1" x14ac:dyDescent="0.25">
      <c r="B128" s="13" t="s">
        <v>275</v>
      </c>
    </row>
    <row r="129" spans="2:2" ht="15.75" customHeight="1" x14ac:dyDescent="0.25">
      <c r="B129" s="13" t="s">
        <v>277</v>
      </c>
    </row>
    <row r="130" spans="2:2" ht="15.75" customHeight="1" x14ac:dyDescent="0.25">
      <c r="B130" s="13" t="s">
        <v>281</v>
      </c>
    </row>
    <row r="131" spans="2:2" ht="15.75" customHeight="1" x14ac:dyDescent="0.25">
      <c r="B131" s="13" t="s">
        <v>283</v>
      </c>
    </row>
    <row r="132" spans="2:2" ht="15.75" customHeight="1" x14ac:dyDescent="0.25">
      <c r="B132" s="13" t="s">
        <v>285</v>
      </c>
    </row>
    <row r="133" spans="2:2" ht="15.75" customHeight="1" x14ac:dyDescent="0.25">
      <c r="B133" s="13" t="s">
        <v>287</v>
      </c>
    </row>
    <row r="134" spans="2:2" ht="15.75" customHeight="1" x14ac:dyDescent="0.25">
      <c r="B134" s="15" t="s">
        <v>2223</v>
      </c>
    </row>
    <row r="135" spans="2:2" ht="15.75" customHeight="1" x14ac:dyDescent="0.25">
      <c r="B135" s="13" t="s">
        <v>293</v>
      </c>
    </row>
    <row r="136" spans="2:2" ht="15.75" customHeight="1" x14ac:dyDescent="0.25">
      <c r="B136" s="13" t="s">
        <v>296</v>
      </c>
    </row>
    <row r="137" spans="2:2" ht="15.75" customHeight="1" x14ac:dyDescent="0.25">
      <c r="B137" s="13" t="s">
        <v>298</v>
      </c>
    </row>
    <row r="138" spans="2:2" ht="15.75" customHeight="1" x14ac:dyDescent="0.25">
      <c r="B138" s="13" t="s">
        <v>2224</v>
      </c>
    </row>
    <row r="139" spans="2:2" ht="15.75" customHeight="1" x14ac:dyDescent="0.25">
      <c r="B139" s="13" t="s">
        <v>306</v>
      </c>
    </row>
    <row r="140" spans="2:2" ht="15.75" customHeight="1" x14ac:dyDescent="0.25">
      <c r="B140" s="13" t="s">
        <v>2225</v>
      </c>
    </row>
    <row r="141" spans="2:2" ht="15.75" customHeight="1" x14ac:dyDescent="0.25">
      <c r="B141" s="13" t="s">
        <v>312</v>
      </c>
    </row>
    <row r="142" spans="2:2" ht="15.75" customHeight="1" x14ac:dyDescent="0.25">
      <c r="B142" s="13" t="s">
        <v>314</v>
      </c>
    </row>
    <row r="143" spans="2:2" ht="15.75" customHeight="1" x14ac:dyDescent="0.25">
      <c r="B143" s="13" t="s">
        <v>318</v>
      </c>
    </row>
    <row r="144" spans="2:2" ht="15.75" customHeight="1" x14ac:dyDescent="0.25">
      <c r="B144" s="13" t="s">
        <v>320</v>
      </c>
    </row>
    <row r="145" spans="2:2" ht="15.75" customHeight="1" x14ac:dyDescent="0.25">
      <c r="B145" s="13" t="s">
        <v>322</v>
      </c>
    </row>
    <row r="146" spans="2:2" ht="15.75" customHeight="1" x14ac:dyDescent="0.25">
      <c r="B146" s="13" t="s">
        <v>324</v>
      </c>
    </row>
    <row r="147" spans="2:2" ht="15.75" customHeight="1" x14ac:dyDescent="0.25">
      <c r="B147" s="13" t="s">
        <v>326</v>
      </c>
    </row>
    <row r="148" spans="2:2" ht="15.75" customHeight="1" x14ac:dyDescent="0.25">
      <c r="B148" s="13" t="s">
        <v>328</v>
      </c>
    </row>
    <row r="149" spans="2:2" ht="15.75" customHeight="1" x14ac:dyDescent="0.25">
      <c r="B149" s="13" t="s">
        <v>332</v>
      </c>
    </row>
    <row r="150" spans="2:2" ht="15.75" customHeight="1" x14ac:dyDescent="0.25">
      <c r="B150" s="13" t="s">
        <v>334</v>
      </c>
    </row>
    <row r="151" spans="2:2" ht="15.75" customHeight="1" x14ac:dyDescent="0.25">
      <c r="B151" s="13" t="s">
        <v>336</v>
      </c>
    </row>
    <row r="152" spans="2:2" ht="15.75" customHeight="1" x14ac:dyDescent="0.25">
      <c r="B152" s="13" t="s">
        <v>2226</v>
      </c>
    </row>
    <row r="153" spans="2:2" ht="15.75" customHeight="1" x14ac:dyDescent="0.25">
      <c r="B153" s="13" t="s">
        <v>340</v>
      </c>
    </row>
    <row r="154" spans="2:2" ht="15.75" customHeight="1" x14ac:dyDescent="0.25">
      <c r="B154" s="13" t="s">
        <v>342</v>
      </c>
    </row>
    <row r="155" spans="2:2" ht="15.75" customHeight="1" x14ac:dyDescent="0.25">
      <c r="B155" s="13" t="s">
        <v>2227</v>
      </c>
    </row>
    <row r="156" spans="2:2" ht="15.75" customHeight="1" x14ac:dyDescent="0.25">
      <c r="B156" s="13" t="s">
        <v>640</v>
      </c>
    </row>
    <row r="157" spans="2:2" ht="15.75" customHeight="1" x14ac:dyDescent="0.25">
      <c r="B157" s="13" t="s">
        <v>2228</v>
      </c>
    </row>
    <row r="158" spans="2:2" ht="15.75" customHeight="1" x14ac:dyDescent="0.25">
      <c r="B158" s="13" t="s">
        <v>344</v>
      </c>
    </row>
    <row r="159" spans="2:2" ht="15.75" customHeight="1" x14ac:dyDescent="0.25">
      <c r="B159" s="13" t="s">
        <v>346</v>
      </c>
    </row>
    <row r="160" spans="2:2" ht="15.75" customHeight="1" x14ac:dyDescent="0.25">
      <c r="B160" s="13" t="s">
        <v>348</v>
      </c>
    </row>
    <row r="161" spans="2:2" ht="15.75" customHeight="1" x14ac:dyDescent="0.25">
      <c r="B161" s="13" t="s">
        <v>2229</v>
      </c>
    </row>
    <row r="162" spans="2:2" ht="15.75" customHeight="1" x14ac:dyDescent="0.25">
      <c r="B162" s="13" t="s">
        <v>350</v>
      </c>
    </row>
    <row r="163" spans="2:2" ht="15.75" customHeight="1" x14ac:dyDescent="0.25">
      <c r="B163" s="13" t="s">
        <v>353</v>
      </c>
    </row>
    <row r="164" spans="2:2" ht="15.75" customHeight="1" x14ac:dyDescent="0.25">
      <c r="B164" s="13" t="s">
        <v>355</v>
      </c>
    </row>
    <row r="165" spans="2:2" ht="15.75" customHeight="1" x14ac:dyDescent="0.25">
      <c r="B165" s="13" t="s">
        <v>2230</v>
      </c>
    </row>
    <row r="166" spans="2:2" ht="15.75" customHeight="1" x14ac:dyDescent="0.25">
      <c r="B166" s="13" t="s">
        <v>2231</v>
      </c>
    </row>
    <row r="167" spans="2:2" ht="15.75" customHeight="1" x14ac:dyDescent="0.25">
      <c r="B167" s="13" t="s">
        <v>357</v>
      </c>
    </row>
    <row r="168" spans="2:2" ht="15.75" customHeight="1" x14ac:dyDescent="0.25">
      <c r="B168" s="13" t="s">
        <v>359</v>
      </c>
    </row>
    <row r="169" spans="2:2" ht="15.75" customHeight="1" x14ac:dyDescent="0.25">
      <c r="B169" s="13" t="s">
        <v>361</v>
      </c>
    </row>
    <row r="170" spans="2:2" ht="15.75" customHeight="1" x14ac:dyDescent="0.25">
      <c r="B170" s="15" t="s">
        <v>363</v>
      </c>
    </row>
    <row r="171" spans="2:2" ht="15.75" customHeight="1" x14ac:dyDescent="0.25">
      <c r="B171" s="13" t="s">
        <v>367</v>
      </c>
    </row>
    <row r="172" spans="2:2" ht="15.75" customHeight="1" x14ac:dyDescent="0.25">
      <c r="B172" s="13" t="s">
        <v>371</v>
      </c>
    </row>
    <row r="173" spans="2:2" ht="15.75" customHeight="1" x14ac:dyDescent="0.25">
      <c r="B173" s="13" t="s">
        <v>375</v>
      </c>
    </row>
    <row r="174" spans="2:2" ht="15.75" customHeight="1" x14ac:dyDescent="0.25">
      <c r="B174" s="13" t="s">
        <v>377</v>
      </c>
    </row>
    <row r="175" spans="2:2" ht="15.75" customHeight="1" x14ac:dyDescent="0.25">
      <c r="B175" s="13" t="s">
        <v>381</v>
      </c>
    </row>
    <row r="176" spans="2:2" ht="15.75" customHeight="1" x14ac:dyDescent="0.25">
      <c r="B176" s="13" t="s">
        <v>383</v>
      </c>
    </row>
    <row r="177" spans="2:2" ht="15.75" customHeight="1" x14ac:dyDescent="0.25">
      <c r="B177" s="13" t="s">
        <v>385</v>
      </c>
    </row>
    <row r="178" spans="2:2" ht="15.75" customHeight="1" x14ac:dyDescent="0.25">
      <c r="B178" s="13" t="s">
        <v>387</v>
      </c>
    </row>
    <row r="179" spans="2:2" ht="15.75" customHeight="1" x14ac:dyDescent="0.25">
      <c r="B179" s="13" t="s">
        <v>389</v>
      </c>
    </row>
    <row r="180" spans="2:2" ht="15.75" customHeight="1" x14ac:dyDescent="0.25">
      <c r="B180" s="13" t="s">
        <v>393</v>
      </c>
    </row>
    <row r="181" spans="2:2" ht="15.75" customHeight="1" x14ac:dyDescent="0.25">
      <c r="B181" s="13" t="s">
        <v>399</v>
      </c>
    </row>
    <row r="182" spans="2:2" ht="15.75" customHeight="1" x14ac:dyDescent="0.25">
      <c r="B182" s="13" t="s">
        <v>2232</v>
      </c>
    </row>
    <row r="183" spans="2:2" ht="15.75" customHeight="1" x14ac:dyDescent="0.25">
      <c r="B183" s="13" t="s">
        <v>2233</v>
      </c>
    </row>
    <row r="184" spans="2:2" ht="15.75" customHeight="1" x14ac:dyDescent="0.25">
      <c r="B184" s="13" t="s">
        <v>403</v>
      </c>
    </row>
    <row r="185" spans="2:2" ht="15.75" customHeight="1" x14ac:dyDescent="0.25">
      <c r="B185" s="13" t="s">
        <v>405</v>
      </c>
    </row>
    <row r="186" spans="2:2" ht="15.75" customHeight="1" x14ac:dyDescent="0.25">
      <c r="B186" s="13" t="s">
        <v>409</v>
      </c>
    </row>
    <row r="187" spans="2:2" ht="15.75" customHeight="1" x14ac:dyDescent="0.25">
      <c r="B187" s="13" t="s">
        <v>411</v>
      </c>
    </row>
    <row r="188" spans="2:2" ht="15.75" customHeight="1" x14ac:dyDescent="0.25">
      <c r="B188" s="13" t="s">
        <v>413</v>
      </c>
    </row>
    <row r="189" spans="2:2" ht="15.75" customHeight="1" x14ac:dyDescent="0.25">
      <c r="B189" s="13" t="s">
        <v>418</v>
      </c>
    </row>
    <row r="190" spans="2:2" ht="15.75" customHeight="1" x14ac:dyDescent="0.25">
      <c r="B190" s="13" t="s">
        <v>2234</v>
      </c>
    </row>
    <row r="191" spans="2:2" ht="15.75" customHeight="1" x14ac:dyDescent="0.25">
      <c r="B191" s="13" t="s">
        <v>420</v>
      </c>
    </row>
    <row r="192" spans="2:2" ht="15.75" customHeight="1" x14ac:dyDescent="0.25">
      <c r="B192" s="13" t="s">
        <v>2235</v>
      </c>
    </row>
    <row r="193" spans="2:3" ht="15.75" customHeight="1" x14ac:dyDescent="0.25">
      <c r="B193" s="13" t="s">
        <v>422</v>
      </c>
    </row>
    <row r="194" spans="2:3" ht="15.75" customHeight="1" x14ac:dyDescent="0.25">
      <c r="B194" s="13" t="s">
        <v>424</v>
      </c>
    </row>
    <row r="195" spans="2:3" ht="15.75" customHeight="1" x14ac:dyDescent="0.25">
      <c r="B195" s="13" t="s">
        <v>428</v>
      </c>
    </row>
    <row r="196" spans="2:3" ht="15.75" customHeight="1" x14ac:dyDescent="0.25">
      <c r="B196" s="13" t="s">
        <v>431</v>
      </c>
    </row>
    <row r="197" spans="2:3" ht="15.75" customHeight="1" x14ac:dyDescent="0.25">
      <c r="B197" s="13" t="s">
        <v>436</v>
      </c>
    </row>
    <row r="198" spans="2:3" ht="15.75" customHeight="1" x14ac:dyDescent="0.25">
      <c r="B198" s="13" t="s">
        <v>438</v>
      </c>
    </row>
    <row r="199" spans="2:3" ht="15.75" customHeight="1" x14ac:dyDescent="0.25">
      <c r="B199" s="13" t="s">
        <v>440</v>
      </c>
    </row>
    <row r="200" spans="2:3" ht="15.75" customHeight="1" x14ac:dyDescent="0.25">
      <c r="B200" s="13" t="s">
        <v>442</v>
      </c>
    </row>
    <row r="201" spans="2:3" ht="15.75" customHeight="1" x14ac:dyDescent="0.25">
      <c r="B201" s="13" t="s">
        <v>2236</v>
      </c>
    </row>
    <row r="202" spans="2:3" ht="15.75" customHeight="1" x14ac:dyDescent="0.25">
      <c r="B202" s="13" t="s">
        <v>448</v>
      </c>
    </row>
    <row r="203" spans="2:3" ht="15.75" customHeight="1" x14ac:dyDescent="0.25">
      <c r="B203" s="13" t="s">
        <v>450</v>
      </c>
    </row>
    <row r="204" spans="2:3" ht="15.75" customHeight="1" x14ac:dyDescent="0.25">
      <c r="B204" s="16" t="s">
        <v>2237</v>
      </c>
      <c r="C204" s="6" t="s">
        <v>2238</v>
      </c>
    </row>
    <row r="205" spans="2:3" ht="15.75" customHeight="1" x14ac:dyDescent="0.25">
      <c r="B205" s="13" t="s">
        <v>452</v>
      </c>
    </row>
    <row r="206" spans="2:3" ht="15.75" customHeight="1" x14ac:dyDescent="0.25">
      <c r="B206" s="15" t="s">
        <v>454</v>
      </c>
    </row>
    <row r="207" spans="2:3" ht="15.75" customHeight="1" x14ac:dyDescent="0.25">
      <c r="B207" s="13" t="s">
        <v>456</v>
      </c>
    </row>
    <row r="208" spans="2:3" ht="15.75" customHeight="1" x14ac:dyDescent="0.25">
      <c r="B208" s="13" t="s">
        <v>458</v>
      </c>
    </row>
    <row r="209" spans="2:2" ht="15.75" customHeight="1" x14ac:dyDescent="0.25">
      <c r="B209" s="13" t="s">
        <v>462</v>
      </c>
    </row>
    <row r="210" spans="2:2" ht="15.75" customHeight="1" x14ac:dyDescent="0.25">
      <c r="B210" s="13" t="s">
        <v>466</v>
      </c>
    </row>
    <row r="211" spans="2:2" ht="15.75" customHeight="1" x14ac:dyDescent="0.25">
      <c r="B211" s="13" t="s">
        <v>474</v>
      </c>
    </row>
    <row r="212" spans="2:2" ht="15.75" customHeight="1" x14ac:dyDescent="0.25">
      <c r="B212" s="13" t="s">
        <v>2239</v>
      </c>
    </row>
    <row r="213" spans="2:2" ht="15.75" customHeight="1" x14ac:dyDescent="0.25">
      <c r="B213" s="13" t="s">
        <v>476</v>
      </c>
    </row>
    <row r="214" spans="2:2" ht="15.75" customHeight="1" x14ac:dyDescent="0.25">
      <c r="B214" s="13" t="s">
        <v>478</v>
      </c>
    </row>
    <row r="215" spans="2:2" ht="15.75" customHeight="1" x14ac:dyDescent="0.25">
      <c r="B215" s="13" t="s">
        <v>2240</v>
      </c>
    </row>
    <row r="216" spans="2:2" ht="15.75" customHeight="1" x14ac:dyDescent="0.25">
      <c r="B216" s="13" t="s">
        <v>2241</v>
      </c>
    </row>
    <row r="217" spans="2:2" ht="15.75" customHeight="1" x14ac:dyDescent="0.25">
      <c r="B217" s="13" t="s">
        <v>2242</v>
      </c>
    </row>
    <row r="218" spans="2:2" ht="15.75" customHeight="1" x14ac:dyDescent="0.25">
      <c r="B218" s="13" t="s">
        <v>480</v>
      </c>
    </row>
    <row r="219" spans="2:2" ht="15.75" customHeight="1" x14ac:dyDescent="0.25">
      <c r="B219" s="13" t="s">
        <v>482</v>
      </c>
    </row>
    <row r="220" spans="2:2" ht="15.75" customHeight="1" x14ac:dyDescent="0.25">
      <c r="B220" s="13" t="s">
        <v>484</v>
      </c>
    </row>
    <row r="221" spans="2:2" ht="15.75" customHeight="1" x14ac:dyDescent="0.25">
      <c r="B221" s="13" t="s">
        <v>2243</v>
      </c>
    </row>
    <row r="222" spans="2:2" ht="15.75" customHeight="1" x14ac:dyDescent="0.25">
      <c r="B222" s="13" t="s">
        <v>488</v>
      </c>
    </row>
    <row r="223" spans="2:2" ht="15.75" customHeight="1" x14ac:dyDescent="0.25">
      <c r="B223" s="13" t="s">
        <v>491</v>
      </c>
    </row>
    <row r="224" spans="2:2" ht="15.75" customHeight="1" x14ac:dyDescent="0.25">
      <c r="B224" s="13" t="s">
        <v>493</v>
      </c>
    </row>
    <row r="225" spans="2:3" ht="15.75" customHeight="1" x14ac:dyDescent="0.25">
      <c r="B225" s="13" t="s">
        <v>497</v>
      </c>
    </row>
    <row r="226" spans="2:3" ht="15.75" customHeight="1" x14ac:dyDescent="0.25">
      <c r="B226" s="13" t="s">
        <v>2244</v>
      </c>
    </row>
    <row r="227" spans="2:3" ht="15.75" customHeight="1" x14ac:dyDescent="0.25">
      <c r="B227" s="13" t="s">
        <v>2245</v>
      </c>
    </row>
    <row r="228" spans="2:3" ht="15.75" customHeight="1" x14ac:dyDescent="0.25">
      <c r="B228" s="13" t="s">
        <v>499</v>
      </c>
    </row>
    <row r="229" spans="2:3" ht="15.75" customHeight="1" x14ac:dyDescent="0.25">
      <c r="B229" s="13" t="s">
        <v>505</v>
      </c>
    </row>
    <row r="230" spans="2:3" ht="15.75" customHeight="1" x14ac:dyDescent="0.25">
      <c r="B230" s="13" t="s">
        <v>509</v>
      </c>
    </row>
    <row r="231" spans="2:3" ht="15.75" customHeight="1" x14ac:dyDescent="0.25">
      <c r="B231" s="13" t="s">
        <v>511</v>
      </c>
    </row>
    <row r="232" spans="2:3" ht="15.75" customHeight="1" x14ac:dyDescent="0.25">
      <c r="B232" s="13" t="s">
        <v>513</v>
      </c>
    </row>
    <row r="233" spans="2:3" ht="15.75" customHeight="1" x14ac:dyDescent="0.25">
      <c r="B233" s="13" t="s">
        <v>515</v>
      </c>
    </row>
    <row r="234" spans="2:3" ht="15.75" customHeight="1" x14ac:dyDescent="0.25">
      <c r="B234" s="13" t="s">
        <v>2246</v>
      </c>
    </row>
    <row r="235" spans="2:3" ht="15.75" customHeight="1" x14ac:dyDescent="0.25">
      <c r="B235" s="13" t="s">
        <v>518</v>
      </c>
    </row>
    <row r="236" spans="2:3" ht="15.75" customHeight="1" x14ac:dyDescent="0.25">
      <c r="B236" s="13" t="s">
        <v>520</v>
      </c>
    </row>
    <row r="237" spans="2:3" ht="15.75" customHeight="1" x14ac:dyDescent="0.25">
      <c r="B237" s="13" t="s">
        <v>522</v>
      </c>
    </row>
    <row r="238" spans="2:3" ht="15.75" customHeight="1" x14ac:dyDescent="0.25">
      <c r="B238" s="13" t="s">
        <v>2247</v>
      </c>
    </row>
    <row r="239" spans="2:3" ht="15.75" customHeight="1" x14ac:dyDescent="0.25">
      <c r="B239" s="13" t="s">
        <v>526</v>
      </c>
    </row>
    <row r="240" spans="2:3" ht="15.75" customHeight="1" x14ac:dyDescent="0.25">
      <c r="B240" s="16" t="s">
        <v>528</v>
      </c>
      <c r="C240" s="6" t="s">
        <v>2238</v>
      </c>
    </row>
    <row r="241" spans="2:2" ht="15.75" customHeight="1" x14ac:dyDescent="0.25">
      <c r="B241" s="13" t="s">
        <v>2248</v>
      </c>
    </row>
    <row r="242" spans="2:2" ht="15.75" customHeight="1" x14ac:dyDescent="0.25">
      <c r="B242" s="13" t="s">
        <v>536</v>
      </c>
    </row>
    <row r="243" spans="2:2" ht="15.75" customHeight="1" x14ac:dyDescent="0.25">
      <c r="B243" s="13" t="s">
        <v>538</v>
      </c>
    </row>
    <row r="244" spans="2:2" ht="15.75" customHeight="1" x14ac:dyDescent="0.25">
      <c r="B244" s="13" t="s">
        <v>540</v>
      </c>
    </row>
    <row r="245" spans="2:2" ht="15.75" customHeight="1" x14ac:dyDescent="0.25">
      <c r="B245" s="13" t="s">
        <v>542</v>
      </c>
    </row>
    <row r="246" spans="2:2" ht="15.75" customHeight="1" x14ac:dyDescent="0.25">
      <c r="B246" s="13" t="s">
        <v>546</v>
      </c>
    </row>
    <row r="247" spans="2:2" ht="15.75" customHeight="1" x14ac:dyDescent="0.25">
      <c r="B247" s="13" t="s">
        <v>548</v>
      </c>
    </row>
    <row r="248" spans="2:2" ht="15.75" customHeight="1" x14ac:dyDescent="0.25">
      <c r="B248" s="13" t="s">
        <v>554</v>
      </c>
    </row>
    <row r="249" spans="2:2" ht="15.75" customHeight="1" x14ac:dyDescent="0.25">
      <c r="B249" s="13" t="s">
        <v>560</v>
      </c>
    </row>
    <row r="250" spans="2:2" ht="15.75" customHeight="1" x14ac:dyDescent="0.25">
      <c r="B250" s="13" t="s">
        <v>563</v>
      </c>
    </row>
    <row r="251" spans="2:2" ht="15.75" customHeight="1" x14ac:dyDescent="0.25">
      <c r="B251" s="13" t="s">
        <v>566</v>
      </c>
    </row>
    <row r="252" spans="2:2" ht="15.75" customHeight="1" x14ac:dyDescent="0.25">
      <c r="B252" s="13" t="s">
        <v>2249</v>
      </c>
    </row>
    <row r="253" spans="2:2" ht="15.75" customHeight="1" x14ac:dyDescent="0.25">
      <c r="B253" s="13" t="s">
        <v>570</v>
      </c>
    </row>
    <row r="254" spans="2:2" ht="15.75" customHeight="1" x14ac:dyDescent="0.25">
      <c r="B254" s="13" t="s">
        <v>572</v>
      </c>
    </row>
    <row r="255" spans="2:2" ht="15.75" customHeight="1" x14ac:dyDescent="0.25">
      <c r="B255" s="13" t="s">
        <v>574</v>
      </c>
    </row>
    <row r="256" spans="2:2" ht="15.75" customHeight="1" x14ac:dyDescent="0.25">
      <c r="B256" s="13" t="s">
        <v>576</v>
      </c>
    </row>
    <row r="257" spans="2:2" ht="15.75" customHeight="1" x14ac:dyDescent="0.25">
      <c r="B257" s="13" t="s">
        <v>578</v>
      </c>
    </row>
    <row r="258" spans="2:2" ht="15.75" customHeight="1" x14ac:dyDescent="0.25">
      <c r="B258" s="13" t="s">
        <v>580</v>
      </c>
    </row>
    <row r="259" spans="2:2" ht="15.75" customHeight="1" x14ac:dyDescent="0.25">
      <c r="B259" s="13" t="s">
        <v>582</v>
      </c>
    </row>
    <row r="260" spans="2:2" ht="15.75" customHeight="1" x14ac:dyDescent="0.25">
      <c r="B260" s="13" t="s">
        <v>584</v>
      </c>
    </row>
    <row r="261" spans="2:2" ht="15.75" customHeight="1" x14ac:dyDescent="0.25">
      <c r="B261" s="13" t="s">
        <v>586</v>
      </c>
    </row>
    <row r="262" spans="2:2" ht="15.75" customHeight="1" x14ac:dyDescent="0.25">
      <c r="B262" s="13" t="s">
        <v>588</v>
      </c>
    </row>
    <row r="263" spans="2:2" ht="15.75" customHeight="1" x14ac:dyDescent="0.25">
      <c r="B263" s="13" t="s">
        <v>590</v>
      </c>
    </row>
    <row r="264" spans="2:2" ht="15.75" customHeight="1" x14ac:dyDescent="0.25">
      <c r="B264" s="13" t="s">
        <v>594</v>
      </c>
    </row>
    <row r="265" spans="2:2" ht="15.75" customHeight="1" x14ac:dyDescent="0.25">
      <c r="B265" s="13" t="s">
        <v>596</v>
      </c>
    </row>
    <row r="266" spans="2:2" ht="15.75" customHeight="1" x14ac:dyDescent="0.25">
      <c r="B266" s="13" t="s">
        <v>2250</v>
      </c>
    </row>
    <row r="267" spans="2:2" ht="15.75" customHeight="1" x14ac:dyDescent="0.25">
      <c r="B267" s="13" t="s">
        <v>601</v>
      </c>
    </row>
    <row r="268" spans="2:2" ht="15.75" customHeight="1" x14ac:dyDescent="0.25">
      <c r="B268" s="13" t="s">
        <v>603</v>
      </c>
    </row>
    <row r="269" spans="2:2" ht="15.75" customHeight="1" x14ac:dyDescent="0.25">
      <c r="B269" s="13" t="s">
        <v>614</v>
      </c>
    </row>
    <row r="270" spans="2:2" ht="15.75" customHeight="1" x14ac:dyDescent="0.25"/>
    <row r="271" spans="2:2" ht="15.75" customHeight="1" x14ac:dyDescent="0.25"/>
    <row r="272" spans="2: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B2:B204" xr:uid="{00000000-0009-0000-0000-000007000000}"/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000"/>
  <sheetViews>
    <sheetView workbookViewId="0"/>
  </sheetViews>
  <sheetFormatPr defaultColWidth="14.42578125" defaultRowHeight="15" customHeight="1" x14ac:dyDescent="0.25"/>
  <cols>
    <col min="1" max="26" width="10.7109375" customWidth="1"/>
  </cols>
  <sheetData>
    <row r="1" spans="1:11" ht="45" x14ac:dyDescent="0.25">
      <c r="A1" s="17" t="s">
        <v>2251</v>
      </c>
      <c r="B1" s="17" t="s">
        <v>2252</v>
      </c>
      <c r="C1" s="17" t="s">
        <v>2253</v>
      </c>
      <c r="D1" s="17" t="s">
        <v>2254</v>
      </c>
      <c r="E1" s="17" t="s">
        <v>2255</v>
      </c>
      <c r="F1" s="17" t="s">
        <v>2256</v>
      </c>
      <c r="G1" s="17" t="s">
        <v>2257</v>
      </c>
      <c r="H1" s="17" t="s">
        <v>2258</v>
      </c>
      <c r="I1" s="17" t="s">
        <v>2259</v>
      </c>
      <c r="J1" s="17" t="s">
        <v>2260</v>
      </c>
      <c r="K1" s="18"/>
    </row>
    <row r="2" spans="1:11" x14ac:dyDescent="0.25">
      <c r="A2" s="19">
        <v>1</v>
      </c>
      <c r="B2" s="19" t="s">
        <v>16</v>
      </c>
      <c r="C2" s="19" t="s">
        <v>2261</v>
      </c>
      <c r="D2" s="19" t="s">
        <v>2262</v>
      </c>
      <c r="E2" s="20">
        <v>43252</v>
      </c>
      <c r="F2" s="19"/>
      <c r="G2" s="18">
        <v>0</v>
      </c>
      <c r="H2" s="18">
        <v>0</v>
      </c>
      <c r="I2" s="18">
        <v>0</v>
      </c>
      <c r="J2" s="18">
        <v>0</v>
      </c>
      <c r="K2" s="18"/>
    </row>
    <row r="3" spans="1:11" x14ac:dyDescent="0.25">
      <c r="A3" s="19">
        <v>2</v>
      </c>
      <c r="B3" s="19" t="s">
        <v>18</v>
      </c>
      <c r="C3" s="19" t="s">
        <v>2261</v>
      </c>
      <c r="D3" s="19" t="s">
        <v>2262</v>
      </c>
      <c r="E3" s="20">
        <v>43252</v>
      </c>
      <c r="F3" s="19"/>
      <c r="G3" s="18">
        <v>0</v>
      </c>
      <c r="H3" s="18">
        <v>0</v>
      </c>
      <c r="I3" s="18">
        <v>0</v>
      </c>
      <c r="J3" s="18">
        <v>0</v>
      </c>
      <c r="K3" s="18"/>
    </row>
    <row r="4" spans="1:11" x14ac:dyDescent="0.25">
      <c r="A4" s="19">
        <v>3</v>
      </c>
      <c r="B4" s="19" t="s">
        <v>20</v>
      </c>
      <c r="C4" s="19" t="s">
        <v>2261</v>
      </c>
      <c r="D4" s="19" t="s">
        <v>2262</v>
      </c>
      <c r="E4" s="20">
        <v>43252</v>
      </c>
      <c r="F4" s="19"/>
      <c r="G4" s="18">
        <v>0</v>
      </c>
      <c r="H4" s="18">
        <v>0</v>
      </c>
      <c r="I4" s="18">
        <v>0</v>
      </c>
      <c r="J4" s="18">
        <v>0</v>
      </c>
      <c r="K4" s="18"/>
    </row>
    <row r="5" spans="1:11" x14ac:dyDescent="0.25">
      <c r="A5" s="19">
        <v>4</v>
      </c>
      <c r="B5" s="19" t="s">
        <v>22</v>
      </c>
      <c r="C5" s="19" t="s">
        <v>2261</v>
      </c>
      <c r="D5" s="19" t="s">
        <v>2262</v>
      </c>
      <c r="E5" s="20">
        <v>43252</v>
      </c>
      <c r="F5" s="19"/>
      <c r="G5" s="18">
        <v>0</v>
      </c>
      <c r="H5" s="18">
        <v>0</v>
      </c>
      <c r="I5" s="18">
        <v>1</v>
      </c>
      <c r="J5" s="18">
        <v>1</v>
      </c>
      <c r="K5" s="18"/>
    </row>
    <row r="6" spans="1:11" x14ac:dyDescent="0.25">
      <c r="A6" s="19">
        <v>5</v>
      </c>
      <c r="B6" s="19" t="s">
        <v>24</v>
      </c>
      <c r="C6" s="19" t="s">
        <v>2263</v>
      </c>
      <c r="D6" s="19" t="s">
        <v>2264</v>
      </c>
      <c r="E6" s="19"/>
      <c r="F6" s="20">
        <v>40026</v>
      </c>
      <c r="G6" s="18">
        <v>0</v>
      </c>
      <c r="H6" s="18">
        <v>1</v>
      </c>
      <c r="I6" s="18">
        <v>1</v>
      </c>
      <c r="J6" s="18">
        <v>1</v>
      </c>
      <c r="K6" s="18"/>
    </row>
    <row r="7" spans="1:11" x14ac:dyDescent="0.25">
      <c r="A7" s="19">
        <v>6</v>
      </c>
      <c r="B7" s="19" t="s">
        <v>27</v>
      </c>
      <c r="C7" s="19" t="s">
        <v>2261</v>
      </c>
      <c r="D7" s="19" t="s">
        <v>2262</v>
      </c>
      <c r="E7" s="20">
        <v>43252</v>
      </c>
      <c r="F7" s="19"/>
      <c r="G7" s="18">
        <v>1</v>
      </c>
      <c r="H7" s="18">
        <v>0</v>
      </c>
      <c r="I7" s="18">
        <v>0</v>
      </c>
      <c r="J7" s="18">
        <v>0</v>
      </c>
      <c r="K7" s="18"/>
    </row>
    <row r="8" spans="1:11" x14ac:dyDescent="0.25">
      <c r="A8" s="19">
        <v>7</v>
      </c>
      <c r="B8" s="19" t="s">
        <v>29</v>
      </c>
      <c r="C8" s="19" t="s">
        <v>2261</v>
      </c>
      <c r="D8" s="19" t="s">
        <v>2262</v>
      </c>
      <c r="E8" s="20">
        <v>43252</v>
      </c>
      <c r="F8" s="19"/>
      <c r="G8" s="18">
        <v>0</v>
      </c>
      <c r="H8" s="18">
        <v>0</v>
      </c>
      <c r="I8" s="18">
        <v>0</v>
      </c>
      <c r="J8" s="18">
        <v>0</v>
      </c>
      <c r="K8" s="18"/>
    </row>
    <row r="9" spans="1:11" x14ac:dyDescent="0.25">
      <c r="A9" s="19">
        <v>8</v>
      </c>
      <c r="B9" s="19" t="s">
        <v>31</v>
      </c>
      <c r="C9" s="19" t="s">
        <v>2261</v>
      </c>
      <c r="D9" s="19" t="s">
        <v>2262</v>
      </c>
      <c r="E9" s="20">
        <v>43252</v>
      </c>
      <c r="F9" s="19"/>
      <c r="G9" s="18">
        <v>0</v>
      </c>
      <c r="H9" s="18">
        <v>0</v>
      </c>
      <c r="I9" s="18">
        <v>0</v>
      </c>
      <c r="J9" s="18">
        <v>0</v>
      </c>
      <c r="K9" s="18"/>
    </row>
    <row r="10" spans="1:11" x14ac:dyDescent="0.25">
      <c r="A10" s="19">
        <v>9</v>
      </c>
      <c r="B10" s="19" t="s">
        <v>33</v>
      </c>
      <c r="C10" s="19" t="s">
        <v>2261</v>
      </c>
      <c r="D10" s="19" t="s">
        <v>2262</v>
      </c>
      <c r="E10" s="20">
        <v>43252</v>
      </c>
      <c r="F10" s="19"/>
      <c r="G10" s="18">
        <v>0</v>
      </c>
      <c r="H10" s="18">
        <v>0</v>
      </c>
      <c r="I10" s="18">
        <v>0</v>
      </c>
      <c r="J10" s="18">
        <v>0</v>
      </c>
      <c r="K10" s="18"/>
    </row>
    <row r="11" spans="1:11" x14ac:dyDescent="0.25">
      <c r="A11" s="19">
        <v>10</v>
      </c>
      <c r="B11" s="19" t="s">
        <v>2265</v>
      </c>
      <c r="C11" s="19" t="s">
        <v>2261</v>
      </c>
      <c r="D11" s="21" t="s">
        <v>2266</v>
      </c>
      <c r="E11" s="19"/>
      <c r="F11" s="19"/>
      <c r="G11" s="18">
        <v>0</v>
      </c>
      <c r="H11" s="18">
        <v>0</v>
      </c>
      <c r="I11" s="18">
        <v>0</v>
      </c>
      <c r="J11" s="18">
        <v>0</v>
      </c>
      <c r="K11" s="18"/>
    </row>
    <row r="12" spans="1:11" x14ac:dyDescent="0.25">
      <c r="A12" s="19">
        <v>11</v>
      </c>
      <c r="B12" s="19" t="s">
        <v>37</v>
      </c>
      <c r="C12" s="19" t="s">
        <v>2261</v>
      </c>
      <c r="D12" s="19" t="s">
        <v>2262</v>
      </c>
      <c r="E12" s="20">
        <v>43252</v>
      </c>
      <c r="F12" s="19"/>
      <c r="G12" s="18">
        <v>0</v>
      </c>
      <c r="H12" s="18">
        <v>0</v>
      </c>
      <c r="I12" s="18">
        <v>0</v>
      </c>
      <c r="J12" s="18">
        <v>0</v>
      </c>
      <c r="K12" s="18"/>
    </row>
    <row r="13" spans="1:11" x14ac:dyDescent="0.25">
      <c r="A13" s="19">
        <v>12</v>
      </c>
      <c r="B13" s="19" t="s">
        <v>43</v>
      </c>
      <c r="C13" s="19" t="s">
        <v>2263</v>
      </c>
      <c r="D13" s="19" t="s">
        <v>2264</v>
      </c>
      <c r="E13" s="19"/>
      <c r="F13" s="20">
        <v>40026</v>
      </c>
      <c r="G13" s="18">
        <v>0</v>
      </c>
      <c r="H13" s="18">
        <v>0</v>
      </c>
      <c r="I13" s="18">
        <v>1</v>
      </c>
      <c r="J13" s="18">
        <v>1</v>
      </c>
      <c r="K13" s="18"/>
    </row>
    <row r="14" spans="1:11" x14ac:dyDescent="0.25">
      <c r="A14" s="19">
        <v>13</v>
      </c>
      <c r="B14" s="19" t="s">
        <v>2267</v>
      </c>
      <c r="C14" s="19" t="s">
        <v>2261</v>
      </c>
      <c r="D14" s="19" t="s">
        <v>2262</v>
      </c>
      <c r="E14" s="20">
        <v>43252</v>
      </c>
      <c r="F14" s="19"/>
      <c r="G14" s="18">
        <v>0</v>
      </c>
      <c r="H14" s="18">
        <v>0</v>
      </c>
      <c r="I14" s="18">
        <v>0</v>
      </c>
      <c r="J14" s="18">
        <v>0</v>
      </c>
      <c r="K14" s="18"/>
    </row>
    <row r="15" spans="1:11" x14ac:dyDescent="0.25">
      <c r="A15" s="19">
        <v>14</v>
      </c>
      <c r="B15" s="19" t="s">
        <v>41</v>
      </c>
      <c r="C15" s="19" t="s">
        <v>2261</v>
      </c>
      <c r="D15" s="19" t="s">
        <v>2262</v>
      </c>
      <c r="E15" s="20">
        <v>43252</v>
      </c>
      <c r="F15" s="19"/>
      <c r="G15" s="18">
        <v>0</v>
      </c>
      <c r="H15" s="18">
        <v>0</v>
      </c>
      <c r="I15" s="18">
        <v>0</v>
      </c>
      <c r="J15" s="18">
        <v>0</v>
      </c>
      <c r="K15" s="18"/>
    </row>
    <row r="16" spans="1:11" x14ac:dyDescent="0.25">
      <c r="A16" s="19">
        <v>15</v>
      </c>
      <c r="B16" s="19" t="s">
        <v>45</v>
      </c>
      <c r="C16" s="19" t="s">
        <v>2263</v>
      </c>
      <c r="D16" s="19" t="s">
        <v>2264</v>
      </c>
      <c r="E16" s="19"/>
      <c r="F16" s="20">
        <v>40026</v>
      </c>
      <c r="G16" s="18">
        <v>1</v>
      </c>
      <c r="H16" s="18">
        <v>1</v>
      </c>
      <c r="I16" s="18">
        <v>1</v>
      </c>
      <c r="J16" s="18">
        <v>1</v>
      </c>
      <c r="K16" s="18"/>
    </row>
    <row r="17" spans="1:11" x14ac:dyDescent="0.25">
      <c r="A17" s="19">
        <v>16</v>
      </c>
      <c r="B17" s="19" t="s">
        <v>47</v>
      </c>
      <c r="C17" s="19" t="s">
        <v>2261</v>
      </c>
      <c r="D17" s="19" t="s">
        <v>2262</v>
      </c>
      <c r="E17" s="20">
        <v>43252</v>
      </c>
      <c r="F17" s="19"/>
      <c r="G17" s="18">
        <v>0</v>
      </c>
      <c r="H17" s="18">
        <v>0</v>
      </c>
      <c r="I17" s="18">
        <v>0</v>
      </c>
      <c r="J17" s="18">
        <v>0</v>
      </c>
      <c r="K17" s="18"/>
    </row>
    <row r="18" spans="1:11" x14ac:dyDescent="0.25">
      <c r="A18" s="19">
        <v>17</v>
      </c>
      <c r="B18" s="19" t="s">
        <v>49</v>
      </c>
      <c r="C18" s="19" t="s">
        <v>2261</v>
      </c>
      <c r="D18" s="19" t="s">
        <v>2262</v>
      </c>
      <c r="E18" s="20">
        <v>43252</v>
      </c>
      <c r="F18" s="19"/>
      <c r="G18" s="18">
        <v>0</v>
      </c>
      <c r="H18" s="18">
        <v>0</v>
      </c>
      <c r="I18" s="18">
        <v>0</v>
      </c>
      <c r="J18" s="18">
        <v>0</v>
      </c>
      <c r="K18" s="18"/>
    </row>
    <row r="19" spans="1:11" x14ac:dyDescent="0.25">
      <c r="A19" s="19">
        <v>18</v>
      </c>
      <c r="B19" s="19" t="s">
        <v>51</v>
      </c>
      <c r="C19" s="19" t="s">
        <v>2261</v>
      </c>
      <c r="D19" s="19" t="s">
        <v>2262</v>
      </c>
      <c r="E19" s="20">
        <v>43252</v>
      </c>
      <c r="F19" s="19"/>
      <c r="G19" s="18">
        <v>0</v>
      </c>
      <c r="H19" s="18">
        <v>0</v>
      </c>
      <c r="I19" s="18">
        <v>0</v>
      </c>
      <c r="J19" s="18">
        <v>0</v>
      </c>
      <c r="K19" s="18"/>
    </row>
    <row r="20" spans="1:11" x14ac:dyDescent="0.25">
      <c r="A20" s="19">
        <v>19</v>
      </c>
      <c r="B20" s="19" t="s">
        <v>53</v>
      </c>
      <c r="C20" s="19" t="s">
        <v>2261</v>
      </c>
      <c r="D20" s="19" t="s">
        <v>2262</v>
      </c>
      <c r="E20" s="20">
        <v>43252</v>
      </c>
      <c r="F20" s="19"/>
      <c r="G20" s="18">
        <v>0</v>
      </c>
      <c r="H20" s="18">
        <v>0</v>
      </c>
      <c r="I20" s="18">
        <v>0</v>
      </c>
      <c r="J20" s="18">
        <v>0</v>
      </c>
      <c r="K20" s="18"/>
    </row>
    <row r="21" spans="1:11" ht="15.75" customHeight="1" x14ac:dyDescent="0.25">
      <c r="A21" s="19">
        <v>20</v>
      </c>
      <c r="B21" s="19" t="s">
        <v>55</v>
      </c>
      <c r="C21" s="19" t="s">
        <v>2261</v>
      </c>
      <c r="D21" s="19" t="s">
        <v>2262</v>
      </c>
      <c r="E21" s="20">
        <v>43252</v>
      </c>
      <c r="F21" s="19"/>
      <c r="G21" s="18">
        <v>0</v>
      </c>
      <c r="H21" s="18">
        <v>0</v>
      </c>
      <c r="I21" s="18">
        <v>0</v>
      </c>
      <c r="J21" s="18">
        <v>0</v>
      </c>
      <c r="K21" s="18"/>
    </row>
    <row r="22" spans="1:11" ht="15.75" customHeight="1" x14ac:dyDescent="0.25">
      <c r="A22" s="19">
        <v>21</v>
      </c>
      <c r="B22" s="19" t="s">
        <v>59</v>
      </c>
      <c r="C22" s="19" t="s">
        <v>2261</v>
      </c>
      <c r="D22" s="22" t="s">
        <v>2268</v>
      </c>
      <c r="E22" s="19"/>
      <c r="F22" s="20" t="s">
        <v>2269</v>
      </c>
      <c r="G22" s="18">
        <v>0</v>
      </c>
      <c r="H22" s="18">
        <v>0</v>
      </c>
      <c r="I22" s="18">
        <v>0</v>
      </c>
      <c r="J22" s="18">
        <v>1</v>
      </c>
      <c r="K22" s="18"/>
    </row>
    <row r="23" spans="1:11" ht="15.75" customHeight="1" x14ac:dyDescent="0.25">
      <c r="A23" s="19">
        <v>22</v>
      </c>
      <c r="B23" s="19" t="s">
        <v>57</v>
      </c>
      <c r="C23" s="19" t="s">
        <v>2261</v>
      </c>
      <c r="D23" s="19" t="s">
        <v>2262</v>
      </c>
      <c r="E23" s="20">
        <v>43252</v>
      </c>
      <c r="F23" s="19"/>
      <c r="G23" s="18">
        <v>0</v>
      </c>
      <c r="H23" s="18">
        <v>0</v>
      </c>
      <c r="I23" s="18">
        <v>0</v>
      </c>
      <c r="J23" s="18">
        <v>0</v>
      </c>
      <c r="K23" s="18"/>
    </row>
    <row r="24" spans="1:11" ht="15.75" customHeight="1" x14ac:dyDescent="0.25">
      <c r="A24" s="19">
        <v>23</v>
      </c>
      <c r="B24" s="19" t="s">
        <v>61</v>
      </c>
      <c r="C24" s="19" t="s">
        <v>2261</v>
      </c>
      <c r="D24" s="19" t="s">
        <v>2262</v>
      </c>
      <c r="E24" s="20">
        <v>43252</v>
      </c>
      <c r="F24" s="19"/>
      <c r="G24" s="18">
        <v>0</v>
      </c>
      <c r="H24" s="18">
        <v>0</v>
      </c>
      <c r="I24" s="18">
        <v>0</v>
      </c>
      <c r="J24" s="18">
        <v>0</v>
      </c>
      <c r="K24" s="18"/>
    </row>
    <row r="25" spans="1:11" ht="15.75" customHeight="1" x14ac:dyDescent="0.25">
      <c r="A25" s="19">
        <v>24</v>
      </c>
      <c r="B25" s="19" t="s">
        <v>63</v>
      </c>
      <c r="C25" s="19" t="s">
        <v>2261</v>
      </c>
      <c r="D25" s="19" t="s">
        <v>2262</v>
      </c>
      <c r="E25" s="20">
        <v>43252</v>
      </c>
      <c r="F25" s="19"/>
      <c r="G25" s="18">
        <v>0</v>
      </c>
      <c r="H25" s="18">
        <v>0</v>
      </c>
      <c r="I25" s="18">
        <v>0</v>
      </c>
      <c r="J25" s="18">
        <v>0</v>
      </c>
      <c r="K25" s="18"/>
    </row>
    <row r="26" spans="1:11" ht="15.75" customHeight="1" x14ac:dyDescent="0.25">
      <c r="A26" s="19">
        <v>25</v>
      </c>
      <c r="B26" s="19" t="s">
        <v>65</v>
      </c>
      <c r="C26" s="19" t="s">
        <v>2261</v>
      </c>
      <c r="D26" s="19" t="s">
        <v>2262</v>
      </c>
      <c r="E26" s="20">
        <v>43252</v>
      </c>
      <c r="F26" s="19"/>
      <c r="G26" s="18">
        <v>0</v>
      </c>
      <c r="H26" s="18">
        <v>0</v>
      </c>
      <c r="I26" s="18">
        <v>1</v>
      </c>
      <c r="J26" s="18">
        <v>1</v>
      </c>
      <c r="K26" s="18"/>
    </row>
    <row r="27" spans="1:11" ht="15.75" customHeight="1" x14ac:dyDescent="0.25">
      <c r="A27" s="19">
        <v>26</v>
      </c>
      <c r="B27" s="19" t="s">
        <v>69</v>
      </c>
      <c r="C27" s="19" t="s">
        <v>2263</v>
      </c>
      <c r="D27" s="19" t="s">
        <v>2264</v>
      </c>
      <c r="E27" s="19"/>
      <c r="F27" s="20">
        <v>40026</v>
      </c>
      <c r="G27" s="18">
        <v>0</v>
      </c>
      <c r="H27" s="18">
        <v>0</v>
      </c>
      <c r="I27" s="18">
        <v>1</v>
      </c>
      <c r="J27" s="18">
        <v>1</v>
      </c>
      <c r="K27" s="18"/>
    </row>
    <row r="28" spans="1:11" ht="15.75" customHeight="1" x14ac:dyDescent="0.25">
      <c r="A28" s="19">
        <v>27</v>
      </c>
      <c r="B28" s="19" t="s">
        <v>67</v>
      </c>
      <c r="C28" s="19" t="s">
        <v>2261</v>
      </c>
      <c r="D28" s="19" t="s">
        <v>2262</v>
      </c>
      <c r="E28" s="20">
        <v>43252</v>
      </c>
      <c r="F28" s="19"/>
      <c r="G28" s="18">
        <v>0</v>
      </c>
      <c r="H28" s="18">
        <v>0</v>
      </c>
      <c r="I28" s="18">
        <v>0</v>
      </c>
      <c r="J28" s="18">
        <v>0</v>
      </c>
      <c r="K28" s="18"/>
    </row>
    <row r="29" spans="1:11" ht="15.75" customHeight="1" x14ac:dyDescent="0.25">
      <c r="A29" s="19">
        <v>28</v>
      </c>
      <c r="B29" s="19" t="s">
        <v>71</v>
      </c>
      <c r="C29" s="19" t="s">
        <v>2263</v>
      </c>
      <c r="D29" s="19" t="s">
        <v>2264</v>
      </c>
      <c r="E29" s="19"/>
      <c r="F29" s="20">
        <v>40026</v>
      </c>
      <c r="G29" s="18">
        <v>1</v>
      </c>
      <c r="H29" s="18">
        <v>1</v>
      </c>
      <c r="I29" s="18">
        <v>1</v>
      </c>
      <c r="J29" s="18">
        <v>1</v>
      </c>
      <c r="K29" s="18"/>
    </row>
    <row r="30" spans="1:11" ht="15.75" customHeight="1" x14ac:dyDescent="0.25">
      <c r="A30" s="19">
        <v>29</v>
      </c>
      <c r="B30" s="19" t="s">
        <v>75</v>
      </c>
      <c r="C30" s="19" t="s">
        <v>2261</v>
      </c>
      <c r="D30" s="19" t="s">
        <v>2262</v>
      </c>
      <c r="E30" s="20">
        <v>43252</v>
      </c>
      <c r="F30" s="19"/>
      <c r="G30" s="18">
        <v>0</v>
      </c>
      <c r="H30" s="18">
        <v>0</v>
      </c>
      <c r="I30" s="18">
        <v>0</v>
      </c>
      <c r="J30" s="18">
        <v>1</v>
      </c>
      <c r="K30" s="18"/>
    </row>
    <row r="31" spans="1:11" ht="15.75" customHeight="1" x14ac:dyDescent="0.25">
      <c r="A31" s="19">
        <v>30</v>
      </c>
      <c r="B31" s="19" t="s">
        <v>77</v>
      </c>
      <c r="C31" s="19" t="s">
        <v>2261</v>
      </c>
      <c r="D31" s="19" t="s">
        <v>2262</v>
      </c>
      <c r="E31" s="20">
        <v>43252</v>
      </c>
      <c r="F31" s="19"/>
      <c r="G31" s="18">
        <v>0</v>
      </c>
      <c r="H31" s="18">
        <v>0</v>
      </c>
      <c r="I31" s="18">
        <v>0</v>
      </c>
      <c r="J31" s="18">
        <v>1</v>
      </c>
      <c r="K31" s="18"/>
    </row>
    <row r="32" spans="1:11" ht="15.75" customHeight="1" x14ac:dyDescent="0.25">
      <c r="A32" s="19">
        <v>31</v>
      </c>
      <c r="B32" s="19" t="s">
        <v>79</v>
      </c>
      <c r="C32" s="19" t="s">
        <v>2261</v>
      </c>
      <c r="D32" s="19" t="s">
        <v>2262</v>
      </c>
      <c r="E32" s="20">
        <v>43252</v>
      </c>
      <c r="F32" s="19"/>
      <c r="G32" s="18">
        <v>0</v>
      </c>
      <c r="H32" s="18">
        <v>0</v>
      </c>
      <c r="I32" s="18">
        <v>0</v>
      </c>
      <c r="J32" s="18">
        <v>0</v>
      </c>
      <c r="K32" s="18"/>
    </row>
    <row r="33" spans="1:11" ht="15.75" customHeight="1" x14ac:dyDescent="0.25">
      <c r="A33" s="19">
        <v>32</v>
      </c>
      <c r="B33" s="19" t="s">
        <v>81</v>
      </c>
      <c r="C33" s="19" t="s">
        <v>2261</v>
      </c>
      <c r="D33" s="19" t="s">
        <v>2262</v>
      </c>
      <c r="E33" s="20">
        <v>43252</v>
      </c>
      <c r="F33" s="19"/>
      <c r="G33" s="18">
        <v>0</v>
      </c>
      <c r="H33" s="18">
        <v>0</v>
      </c>
      <c r="I33" s="18">
        <v>0</v>
      </c>
      <c r="J33" s="18">
        <v>0</v>
      </c>
      <c r="K33" s="18"/>
    </row>
    <row r="34" spans="1:11" ht="15.75" customHeight="1" x14ac:dyDescent="0.25">
      <c r="A34" s="19">
        <v>33</v>
      </c>
      <c r="B34" s="19" t="s">
        <v>2270</v>
      </c>
      <c r="C34" s="19" t="s">
        <v>2261</v>
      </c>
      <c r="D34" s="19" t="s">
        <v>2262</v>
      </c>
      <c r="E34" s="20">
        <v>43252</v>
      </c>
      <c r="F34" s="19"/>
      <c r="G34" s="18">
        <v>0</v>
      </c>
      <c r="H34" s="18">
        <v>0</v>
      </c>
      <c r="I34" s="18">
        <v>0</v>
      </c>
      <c r="J34" s="18">
        <v>0</v>
      </c>
      <c r="K34" s="18"/>
    </row>
    <row r="35" spans="1:11" ht="15.75" customHeight="1" x14ac:dyDescent="0.25">
      <c r="A35" s="19">
        <v>34</v>
      </c>
      <c r="B35" s="19" t="s">
        <v>85</v>
      </c>
      <c r="C35" s="19" t="s">
        <v>2261</v>
      </c>
      <c r="D35" s="19" t="s">
        <v>2262</v>
      </c>
      <c r="E35" s="20">
        <v>43252</v>
      </c>
      <c r="F35" s="19"/>
      <c r="G35" s="18">
        <v>0</v>
      </c>
      <c r="H35" s="18">
        <v>0</v>
      </c>
      <c r="I35" s="18">
        <v>0</v>
      </c>
      <c r="J35" s="18">
        <v>0</v>
      </c>
      <c r="K35" s="18"/>
    </row>
    <row r="36" spans="1:11" ht="15.75" customHeight="1" x14ac:dyDescent="0.25">
      <c r="A36" s="19">
        <v>35</v>
      </c>
      <c r="B36" s="19" t="s">
        <v>87</v>
      </c>
      <c r="C36" s="19" t="s">
        <v>2261</v>
      </c>
      <c r="D36" s="19" t="s">
        <v>2262</v>
      </c>
      <c r="E36" s="20">
        <v>43252</v>
      </c>
      <c r="F36" s="19"/>
      <c r="G36" s="18">
        <v>0</v>
      </c>
      <c r="H36" s="18">
        <v>0</v>
      </c>
      <c r="I36" s="18">
        <v>0</v>
      </c>
      <c r="J36" s="18">
        <v>0</v>
      </c>
      <c r="K36" s="18"/>
    </row>
    <row r="37" spans="1:11" ht="15.75" customHeight="1" x14ac:dyDescent="0.25">
      <c r="A37" s="19">
        <v>36</v>
      </c>
      <c r="B37" s="19" t="s">
        <v>89</v>
      </c>
      <c r="C37" s="19" t="s">
        <v>2261</v>
      </c>
      <c r="D37" s="19" t="s">
        <v>2262</v>
      </c>
      <c r="E37" s="20">
        <v>43252</v>
      </c>
      <c r="F37" s="19"/>
      <c r="G37" s="18">
        <v>0</v>
      </c>
      <c r="H37" s="18">
        <v>0</v>
      </c>
      <c r="I37" s="18">
        <v>0</v>
      </c>
      <c r="J37" s="18">
        <v>0</v>
      </c>
      <c r="K37" s="18"/>
    </row>
    <row r="38" spans="1:11" ht="15.75" customHeight="1" x14ac:dyDescent="0.25">
      <c r="A38" s="19">
        <v>37</v>
      </c>
      <c r="B38" s="19" t="s">
        <v>91</v>
      </c>
      <c r="C38" s="19" t="s">
        <v>2263</v>
      </c>
      <c r="D38" s="19" t="s">
        <v>2264</v>
      </c>
      <c r="E38" s="19"/>
      <c r="F38" s="20">
        <v>40026</v>
      </c>
      <c r="G38" s="18">
        <v>1</v>
      </c>
      <c r="H38" s="18">
        <v>1</v>
      </c>
      <c r="I38" s="18">
        <v>1</v>
      </c>
      <c r="J38" s="18">
        <v>1</v>
      </c>
      <c r="K38" s="18"/>
    </row>
    <row r="39" spans="1:11" ht="15.75" customHeight="1" x14ac:dyDescent="0.25">
      <c r="A39" s="19">
        <v>38</v>
      </c>
      <c r="B39" s="19" t="s">
        <v>93</v>
      </c>
      <c r="C39" s="19" t="s">
        <v>2261</v>
      </c>
      <c r="D39" s="19" t="s">
        <v>2262</v>
      </c>
      <c r="E39" s="20">
        <v>43252</v>
      </c>
      <c r="F39" s="19"/>
      <c r="G39" s="18">
        <v>0</v>
      </c>
      <c r="H39" s="18">
        <v>0</v>
      </c>
      <c r="I39" s="18">
        <v>0</v>
      </c>
      <c r="J39" s="18">
        <v>0</v>
      </c>
      <c r="K39" s="18"/>
    </row>
    <row r="40" spans="1:11" ht="15.75" customHeight="1" x14ac:dyDescent="0.25">
      <c r="A40" s="19">
        <v>39</v>
      </c>
      <c r="B40" s="19" t="s">
        <v>95</v>
      </c>
      <c r="C40" s="19" t="s">
        <v>2261</v>
      </c>
      <c r="D40" s="19" t="s">
        <v>2262</v>
      </c>
      <c r="E40" s="20">
        <v>43252</v>
      </c>
      <c r="F40" s="19"/>
      <c r="G40" s="18">
        <v>0</v>
      </c>
      <c r="H40" s="18">
        <v>1</v>
      </c>
      <c r="I40" s="18">
        <v>0</v>
      </c>
      <c r="J40" s="18">
        <v>1</v>
      </c>
      <c r="K40" s="18"/>
    </row>
    <row r="41" spans="1:11" ht="15.75" customHeight="1" x14ac:dyDescent="0.25">
      <c r="A41" s="19">
        <v>40</v>
      </c>
      <c r="B41" s="19" t="s">
        <v>97</v>
      </c>
      <c r="C41" s="19" t="s">
        <v>2261</v>
      </c>
      <c r="D41" s="19" t="s">
        <v>2262</v>
      </c>
      <c r="E41" s="20">
        <v>43252</v>
      </c>
      <c r="F41" s="19"/>
      <c r="G41" s="18">
        <v>0</v>
      </c>
      <c r="H41" s="18">
        <v>0</v>
      </c>
      <c r="I41" s="18">
        <v>0</v>
      </c>
      <c r="J41" s="18">
        <v>0</v>
      </c>
      <c r="K41" s="18"/>
    </row>
    <row r="42" spans="1:11" ht="15.75" customHeight="1" x14ac:dyDescent="0.25">
      <c r="A42" s="19">
        <v>41</v>
      </c>
      <c r="B42" s="19" t="s">
        <v>99</v>
      </c>
      <c r="C42" s="19" t="s">
        <v>2261</v>
      </c>
      <c r="D42" s="19" t="s">
        <v>2262</v>
      </c>
      <c r="E42" s="20">
        <v>43252</v>
      </c>
      <c r="F42" s="19"/>
      <c r="G42" s="18">
        <v>0</v>
      </c>
      <c r="H42" s="18">
        <v>0</v>
      </c>
      <c r="I42" s="18">
        <v>0</v>
      </c>
      <c r="J42" s="18">
        <v>0</v>
      </c>
      <c r="K42" s="18"/>
    </row>
    <row r="43" spans="1:11" ht="15.75" customHeight="1" x14ac:dyDescent="0.25">
      <c r="A43" s="19">
        <v>42</v>
      </c>
      <c r="B43" s="19" t="s">
        <v>101</v>
      </c>
      <c r="C43" s="19" t="s">
        <v>2261</v>
      </c>
      <c r="D43" s="21" t="s">
        <v>2266</v>
      </c>
      <c r="E43" s="20"/>
      <c r="F43" s="19"/>
      <c r="G43" s="18">
        <v>0</v>
      </c>
      <c r="H43" s="18">
        <v>0</v>
      </c>
      <c r="I43" s="18">
        <v>0</v>
      </c>
      <c r="J43" s="18">
        <v>1</v>
      </c>
      <c r="K43" s="18"/>
    </row>
    <row r="44" spans="1:11" ht="15.75" customHeight="1" x14ac:dyDescent="0.25">
      <c r="A44" s="19">
        <v>43</v>
      </c>
      <c r="B44" s="19" t="s">
        <v>103</v>
      </c>
      <c r="C44" s="19" t="s">
        <v>2263</v>
      </c>
      <c r="D44" s="19" t="s">
        <v>2264</v>
      </c>
      <c r="E44" s="19"/>
      <c r="F44" s="20">
        <v>40026</v>
      </c>
      <c r="G44" s="18">
        <v>0</v>
      </c>
      <c r="H44" s="18">
        <v>0</v>
      </c>
      <c r="I44" s="18">
        <v>1</v>
      </c>
      <c r="J44" s="18">
        <v>1</v>
      </c>
      <c r="K44" s="18"/>
    </row>
    <row r="45" spans="1:11" ht="15.75" customHeight="1" x14ac:dyDescent="0.25">
      <c r="A45" s="19">
        <v>44</v>
      </c>
      <c r="B45" s="19" t="s">
        <v>105</v>
      </c>
      <c r="C45" s="19" t="s">
        <v>2261</v>
      </c>
      <c r="D45" s="19" t="s">
        <v>2262</v>
      </c>
      <c r="E45" s="20">
        <v>43252</v>
      </c>
      <c r="F45" s="19"/>
      <c r="G45" s="18">
        <v>0</v>
      </c>
      <c r="H45" s="18">
        <v>0</v>
      </c>
      <c r="I45" s="18">
        <v>0</v>
      </c>
      <c r="J45" s="18">
        <v>0</v>
      </c>
      <c r="K45" s="18"/>
    </row>
    <row r="46" spans="1:11" ht="15.75" customHeight="1" x14ac:dyDescent="0.25">
      <c r="A46" s="19">
        <v>45</v>
      </c>
      <c r="B46" s="19" t="s">
        <v>107</v>
      </c>
      <c r="C46" s="19" t="s">
        <v>2263</v>
      </c>
      <c r="D46" s="19" t="s">
        <v>2264</v>
      </c>
      <c r="E46" s="19"/>
      <c r="F46" s="20">
        <v>40026</v>
      </c>
      <c r="G46" s="18">
        <v>0</v>
      </c>
      <c r="H46" s="18">
        <v>0</v>
      </c>
      <c r="I46" s="18">
        <v>1</v>
      </c>
      <c r="J46" s="18">
        <v>1</v>
      </c>
      <c r="K46" s="18"/>
    </row>
    <row r="47" spans="1:11" ht="15.75" customHeight="1" x14ac:dyDescent="0.25">
      <c r="A47" s="19">
        <v>46</v>
      </c>
      <c r="B47" s="19" t="s">
        <v>109</v>
      </c>
      <c r="C47" s="19" t="s">
        <v>2261</v>
      </c>
      <c r="D47" s="19" t="s">
        <v>2262</v>
      </c>
      <c r="E47" s="20">
        <v>43252</v>
      </c>
      <c r="F47" s="19"/>
      <c r="G47" s="18">
        <v>0</v>
      </c>
      <c r="H47" s="18">
        <v>0</v>
      </c>
      <c r="I47" s="18">
        <v>0</v>
      </c>
      <c r="J47" s="18">
        <v>0</v>
      </c>
      <c r="K47" s="18"/>
    </row>
    <row r="48" spans="1:11" ht="15.75" customHeight="1" x14ac:dyDescent="0.25">
      <c r="A48" s="19">
        <v>47</v>
      </c>
      <c r="B48" s="19" t="s">
        <v>111</v>
      </c>
      <c r="C48" s="19" t="s">
        <v>2261</v>
      </c>
      <c r="D48" s="19" t="s">
        <v>2262</v>
      </c>
      <c r="E48" s="20">
        <v>43252</v>
      </c>
      <c r="F48" s="19"/>
      <c r="G48" s="18">
        <v>0</v>
      </c>
      <c r="H48" s="18">
        <v>0</v>
      </c>
      <c r="I48" s="18">
        <v>0</v>
      </c>
      <c r="J48" s="18">
        <v>0</v>
      </c>
      <c r="K48" s="18"/>
    </row>
    <row r="49" spans="1:11" ht="15.75" customHeight="1" x14ac:dyDescent="0.25">
      <c r="A49" s="19">
        <v>48</v>
      </c>
      <c r="B49" s="19" t="s">
        <v>113</v>
      </c>
      <c r="C49" s="19" t="s">
        <v>2261</v>
      </c>
      <c r="D49" s="19" t="s">
        <v>2262</v>
      </c>
      <c r="E49" s="20">
        <v>43252</v>
      </c>
      <c r="F49" s="19"/>
      <c r="G49" s="18">
        <v>0</v>
      </c>
      <c r="H49" s="18">
        <v>0</v>
      </c>
      <c r="I49" s="18">
        <v>0</v>
      </c>
      <c r="J49" s="18">
        <v>0</v>
      </c>
      <c r="K49" s="18"/>
    </row>
    <row r="50" spans="1:11" ht="15.75" customHeight="1" x14ac:dyDescent="0.25">
      <c r="A50" s="19">
        <v>49</v>
      </c>
      <c r="B50" s="19" t="s">
        <v>115</v>
      </c>
      <c r="C50" s="19" t="s">
        <v>2263</v>
      </c>
      <c r="D50" s="19" t="s">
        <v>2264</v>
      </c>
      <c r="E50" s="19"/>
      <c r="F50" s="20">
        <v>40026</v>
      </c>
      <c r="G50" s="18">
        <v>0</v>
      </c>
      <c r="H50" s="18">
        <v>0</v>
      </c>
      <c r="I50" s="18">
        <v>1</v>
      </c>
      <c r="J50" s="18">
        <v>0</v>
      </c>
      <c r="K50" s="18"/>
    </row>
    <row r="51" spans="1:11" ht="15.75" customHeight="1" x14ac:dyDescent="0.25">
      <c r="A51" s="19">
        <v>50</v>
      </c>
      <c r="B51" s="19" t="s">
        <v>117</v>
      </c>
      <c r="C51" s="19" t="s">
        <v>2261</v>
      </c>
      <c r="D51" s="21" t="s">
        <v>2266</v>
      </c>
      <c r="E51" s="19"/>
      <c r="F51" s="19"/>
      <c r="G51" s="18">
        <v>0</v>
      </c>
      <c r="H51" s="18">
        <v>0</v>
      </c>
      <c r="I51" s="18">
        <v>0</v>
      </c>
      <c r="J51" s="18">
        <v>1</v>
      </c>
      <c r="K51" s="18"/>
    </row>
    <row r="52" spans="1:11" ht="15.75" customHeight="1" x14ac:dyDescent="0.25">
      <c r="A52" s="19">
        <v>51</v>
      </c>
      <c r="B52" s="19" t="s">
        <v>119</v>
      </c>
      <c r="C52" s="19" t="s">
        <v>2261</v>
      </c>
      <c r="D52" s="19" t="s">
        <v>2262</v>
      </c>
      <c r="E52" s="20">
        <v>43252</v>
      </c>
      <c r="F52" s="19"/>
      <c r="G52" s="18">
        <v>0</v>
      </c>
      <c r="H52" s="18">
        <v>0</v>
      </c>
      <c r="I52" s="18">
        <v>0</v>
      </c>
      <c r="J52" s="18">
        <v>0</v>
      </c>
      <c r="K52" s="18"/>
    </row>
    <row r="53" spans="1:11" ht="15.75" customHeight="1" x14ac:dyDescent="0.25">
      <c r="A53" s="19">
        <v>52</v>
      </c>
      <c r="B53" s="19" t="s">
        <v>121</v>
      </c>
      <c r="C53" s="19" t="s">
        <v>2261</v>
      </c>
      <c r="D53" s="19" t="s">
        <v>2262</v>
      </c>
      <c r="E53" s="20">
        <v>43252</v>
      </c>
      <c r="F53" s="19"/>
      <c r="G53" s="18">
        <v>0</v>
      </c>
      <c r="H53" s="18">
        <v>0</v>
      </c>
      <c r="I53" s="18">
        <v>0</v>
      </c>
      <c r="J53" s="18">
        <v>1</v>
      </c>
      <c r="K53" s="18"/>
    </row>
    <row r="54" spans="1:11" ht="15.75" customHeight="1" x14ac:dyDescent="0.25">
      <c r="A54" s="19">
        <v>53</v>
      </c>
      <c r="B54" s="19" t="s">
        <v>123</v>
      </c>
      <c r="C54" s="19" t="s">
        <v>2261</v>
      </c>
      <c r="D54" s="19" t="s">
        <v>2262</v>
      </c>
      <c r="E54" s="20">
        <v>43252</v>
      </c>
      <c r="F54" s="19"/>
      <c r="G54" s="18">
        <v>0</v>
      </c>
      <c r="H54" s="18">
        <v>0</v>
      </c>
      <c r="I54" s="18">
        <v>0</v>
      </c>
      <c r="J54" s="18">
        <v>0</v>
      </c>
      <c r="K54" s="18"/>
    </row>
    <row r="55" spans="1:11" ht="15.75" customHeight="1" x14ac:dyDescent="0.25">
      <c r="A55" s="19">
        <v>54</v>
      </c>
      <c r="B55" s="19" t="s">
        <v>125</v>
      </c>
      <c r="C55" s="19" t="s">
        <v>2263</v>
      </c>
      <c r="D55" s="19" t="s">
        <v>2264</v>
      </c>
      <c r="E55" s="19"/>
      <c r="F55" s="20">
        <v>40026</v>
      </c>
      <c r="G55" s="18">
        <v>0</v>
      </c>
      <c r="H55" s="18">
        <v>0</v>
      </c>
      <c r="I55" s="18">
        <v>1</v>
      </c>
      <c r="J55" s="18">
        <v>1</v>
      </c>
      <c r="K55" s="18"/>
    </row>
    <row r="56" spans="1:11" ht="15.75" customHeight="1" x14ac:dyDescent="0.25">
      <c r="A56" s="19">
        <v>55</v>
      </c>
      <c r="B56" s="19" t="s">
        <v>127</v>
      </c>
      <c r="C56" s="19" t="s">
        <v>2261</v>
      </c>
      <c r="D56" s="19" t="s">
        <v>2262</v>
      </c>
      <c r="E56" s="20">
        <v>43252</v>
      </c>
      <c r="F56" s="19"/>
      <c r="G56" s="18">
        <v>0</v>
      </c>
      <c r="H56" s="18">
        <v>0</v>
      </c>
      <c r="I56" s="18">
        <v>0</v>
      </c>
      <c r="J56" s="18">
        <v>0</v>
      </c>
      <c r="K56" s="18"/>
    </row>
    <row r="57" spans="1:11" ht="15.75" customHeight="1" x14ac:dyDescent="0.25">
      <c r="A57" s="19">
        <v>56</v>
      </c>
      <c r="B57" s="19" t="s">
        <v>130</v>
      </c>
      <c r="C57" s="19" t="s">
        <v>2261</v>
      </c>
      <c r="D57" s="19" t="s">
        <v>2262</v>
      </c>
      <c r="E57" s="20">
        <v>43252</v>
      </c>
      <c r="F57" s="19"/>
      <c r="G57" s="18">
        <v>0</v>
      </c>
      <c r="H57" s="18">
        <v>1</v>
      </c>
      <c r="I57" s="18">
        <v>1</v>
      </c>
      <c r="J57" s="18">
        <v>1</v>
      </c>
      <c r="K57" s="18"/>
    </row>
    <row r="58" spans="1:11" ht="15.75" customHeight="1" x14ac:dyDescent="0.25">
      <c r="A58" s="19">
        <v>57</v>
      </c>
      <c r="B58" s="19" t="s">
        <v>132</v>
      </c>
      <c r="C58" s="19" t="s">
        <v>2261</v>
      </c>
      <c r="D58" s="19" t="s">
        <v>2262</v>
      </c>
      <c r="E58" s="20">
        <v>43252</v>
      </c>
      <c r="F58" s="19"/>
      <c r="G58" s="18">
        <v>0</v>
      </c>
      <c r="H58" s="18">
        <v>0</v>
      </c>
      <c r="I58" s="18">
        <v>0</v>
      </c>
      <c r="J58" s="18">
        <v>0</v>
      </c>
      <c r="K58" s="18"/>
    </row>
    <row r="59" spans="1:11" ht="15.75" customHeight="1" x14ac:dyDescent="0.25">
      <c r="A59" s="19">
        <v>58</v>
      </c>
      <c r="B59" s="19" t="s">
        <v>136</v>
      </c>
      <c r="C59" s="19" t="s">
        <v>2263</v>
      </c>
      <c r="D59" s="19" t="s">
        <v>2264</v>
      </c>
      <c r="E59" s="19"/>
      <c r="F59" s="20">
        <v>40026</v>
      </c>
      <c r="G59" s="18">
        <v>1</v>
      </c>
      <c r="H59" s="18">
        <v>1</v>
      </c>
      <c r="I59" s="18">
        <v>1</v>
      </c>
      <c r="J59" s="18">
        <v>1</v>
      </c>
      <c r="K59" s="18"/>
    </row>
    <row r="60" spans="1:11" ht="15.75" customHeight="1" x14ac:dyDescent="0.25">
      <c r="A60" s="19">
        <v>59</v>
      </c>
      <c r="B60" s="19" t="s">
        <v>134</v>
      </c>
      <c r="C60" s="19" t="s">
        <v>2263</v>
      </c>
      <c r="D60" s="19" t="s">
        <v>2264</v>
      </c>
      <c r="E60" s="19"/>
      <c r="F60" s="20">
        <v>40026</v>
      </c>
      <c r="G60" s="18">
        <v>0</v>
      </c>
      <c r="H60" s="18">
        <v>0</v>
      </c>
      <c r="I60" s="18">
        <v>0</v>
      </c>
      <c r="J60" s="18">
        <v>1</v>
      </c>
      <c r="K60" s="18"/>
    </row>
    <row r="61" spans="1:11" ht="15.75" customHeight="1" x14ac:dyDescent="0.25">
      <c r="A61" s="19">
        <v>60</v>
      </c>
      <c r="B61" s="19" t="s">
        <v>2271</v>
      </c>
      <c r="C61" s="19" t="s">
        <v>2261</v>
      </c>
      <c r="D61" s="19" t="s">
        <v>2262</v>
      </c>
      <c r="E61" s="20">
        <v>43252</v>
      </c>
      <c r="F61" s="19"/>
      <c r="G61" s="18">
        <v>0</v>
      </c>
      <c r="H61" s="18">
        <v>0</v>
      </c>
      <c r="I61" s="18">
        <v>0</v>
      </c>
      <c r="J61" s="18">
        <v>0</v>
      </c>
      <c r="K61" s="18"/>
    </row>
    <row r="62" spans="1:11" ht="15.75" customHeight="1" x14ac:dyDescent="0.25">
      <c r="A62" s="19">
        <v>61</v>
      </c>
      <c r="B62" s="19" t="s">
        <v>140</v>
      </c>
      <c r="C62" s="19" t="s">
        <v>2261</v>
      </c>
      <c r="D62" s="19" t="s">
        <v>2262</v>
      </c>
      <c r="E62" s="20">
        <v>43252</v>
      </c>
      <c r="F62" s="19"/>
      <c r="G62" s="18">
        <v>0</v>
      </c>
      <c r="H62" s="18">
        <v>0</v>
      </c>
      <c r="I62" s="18">
        <v>0</v>
      </c>
      <c r="J62" s="18">
        <v>0</v>
      </c>
      <c r="K62" s="18"/>
    </row>
    <row r="63" spans="1:11" ht="15.75" customHeight="1" x14ac:dyDescent="0.25">
      <c r="A63" s="19">
        <v>62</v>
      </c>
      <c r="B63" s="19" t="s">
        <v>142</v>
      </c>
      <c r="C63" s="19" t="s">
        <v>2261</v>
      </c>
      <c r="D63" s="19" t="s">
        <v>2262</v>
      </c>
      <c r="E63" s="20">
        <v>43252</v>
      </c>
      <c r="F63" s="19"/>
      <c r="G63" s="18">
        <v>0</v>
      </c>
      <c r="H63" s="18">
        <v>0</v>
      </c>
      <c r="I63" s="18">
        <v>0</v>
      </c>
      <c r="J63" s="18">
        <v>0</v>
      </c>
      <c r="K63" s="18"/>
    </row>
    <row r="64" spans="1:11" ht="15.75" customHeight="1" x14ac:dyDescent="0.25">
      <c r="A64" s="19">
        <v>63</v>
      </c>
      <c r="B64" s="19" t="s">
        <v>145</v>
      </c>
      <c r="C64" s="19" t="s">
        <v>2261</v>
      </c>
      <c r="D64" s="19" t="s">
        <v>2262</v>
      </c>
      <c r="E64" s="20">
        <v>43252</v>
      </c>
      <c r="F64" s="19"/>
      <c r="G64" s="18">
        <v>0</v>
      </c>
      <c r="H64" s="18">
        <v>0</v>
      </c>
      <c r="I64" s="18">
        <v>0</v>
      </c>
      <c r="J64" s="18">
        <v>0</v>
      </c>
      <c r="K64" s="18"/>
    </row>
    <row r="65" spans="1:11" ht="15.75" customHeight="1" x14ac:dyDescent="0.25">
      <c r="A65" s="19">
        <v>64</v>
      </c>
      <c r="B65" s="19" t="s">
        <v>147</v>
      </c>
      <c r="C65" s="19" t="s">
        <v>2263</v>
      </c>
      <c r="D65" s="19" t="s">
        <v>2264</v>
      </c>
      <c r="E65" s="19"/>
      <c r="F65" s="20">
        <v>40026</v>
      </c>
      <c r="G65" s="18">
        <v>0</v>
      </c>
      <c r="H65" s="18">
        <v>0</v>
      </c>
      <c r="I65" s="18">
        <v>0</v>
      </c>
      <c r="J65" s="18">
        <v>0</v>
      </c>
      <c r="K65" s="18"/>
    </row>
    <row r="66" spans="1:11" ht="15.75" customHeight="1" x14ac:dyDescent="0.25">
      <c r="A66" s="19">
        <v>65</v>
      </c>
      <c r="B66" s="19" t="s">
        <v>149</v>
      </c>
      <c r="C66" s="19" t="s">
        <v>2261</v>
      </c>
      <c r="D66" s="19" t="s">
        <v>2262</v>
      </c>
      <c r="E66" s="20">
        <v>43252</v>
      </c>
      <c r="F66" s="19"/>
      <c r="G66" s="18">
        <v>0</v>
      </c>
      <c r="H66" s="18">
        <v>0</v>
      </c>
      <c r="I66" s="18">
        <v>0</v>
      </c>
      <c r="J66" s="18">
        <v>0</v>
      </c>
      <c r="K66" s="18"/>
    </row>
    <row r="67" spans="1:11" ht="15.75" customHeight="1" x14ac:dyDescent="0.25">
      <c r="A67" s="19">
        <v>66</v>
      </c>
      <c r="B67" s="19" t="s">
        <v>151</v>
      </c>
      <c r="C67" s="19" t="s">
        <v>2261</v>
      </c>
      <c r="D67" s="19" t="s">
        <v>2262</v>
      </c>
      <c r="E67" s="20">
        <v>43252</v>
      </c>
      <c r="F67" s="19"/>
      <c r="G67" s="18">
        <v>0</v>
      </c>
      <c r="H67" s="18">
        <v>0</v>
      </c>
      <c r="I67" s="18">
        <v>0</v>
      </c>
      <c r="J67" s="18">
        <v>0</v>
      </c>
      <c r="K67" s="18"/>
    </row>
    <row r="68" spans="1:11" ht="15.75" customHeight="1" x14ac:dyDescent="0.25">
      <c r="A68" s="19">
        <v>67</v>
      </c>
      <c r="B68" s="19" t="s">
        <v>153</v>
      </c>
      <c r="C68" s="19" t="s">
        <v>2261</v>
      </c>
      <c r="D68" s="19" t="s">
        <v>2262</v>
      </c>
      <c r="E68" s="20">
        <v>43252</v>
      </c>
      <c r="F68" s="19"/>
      <c r="G68" s="18">
        <v>0</v>
      </c>
      <c r="H68" s="18">
        <v>0</v>
      </c>
      <c r="I68" s="18">
        <v>0</v>
      </c>
      <c r="J68" s="18">
        <v>0</v>
      </c>
      <c r="K68" s="18"/>
    </row>
    <row r="69" spans="1:11" ht="15.75" customHeight="1" x14ac:dyDescent="0.25">
      <c r="A69" s="19">
        <v>68</v>
      </c>
      <c r="B69" s="19" t="s">
        <v>157</v>
      </c>
      <c r="C69" s="19" t="s">
        <v>2261</v>
      </c>
      <c r="D69" s="19" t="s">
        <v>2262</v>
      </c>
      <c r="E69" s="20">
        <v>43252</v>
      </c>
      <c r="F69" s="19"/>
      <c r="G69" s="18">
        <v>0</v>
      </c>
      <c r="H69" s="18">
        <v>0</v>
      </c>
      <c r="I69" s="18">
        <v>0</v>
      </c>
      <c r="J69" s="18">
        <v>0</v>
      </c>
      <c r="K69" s="18"/>
    </row>
    <row r="70" spans="1:11" ht="15.75" customHeight="1" x14ac:dyDescent="0.25">
      <c r="A70" s="19">
        <v>69</v>
      </c>
      <c r="B70" s="19" t="s">
        <v>159</v>
      </c>
      <c r="C70" s="19" t="s">
        <v>2261</v>
      </c>
      <c r="D70" s="19" t="s">
        <v>2262</v>
      </c>
      <c r="E70" s="20">
        <v>43252</v>
      </c>
      <c r="F70" s="19"/>
      <c r="G70" s="18">
        <v>0</v>
      </c>
      <c r="H70" s="18">
        <v>0</v>
      </c>
      <c r="I70" s="18">
        <v>0</v>
      </c>
      <c r="J70" s="18">
        <v>0</v>
      </c>
      <c r="K70" s="18"/>
    </row>
    <row r="71" spans="1:11" ht="15.75" customHeight="1" x14ac:dyDescent="0.25">
      <c r="A71" s="19">
        <v>70</v>
      </c>
      <c r="B71" s="19" t="s">
        <v>161</v>
      </c>
      <c r="C71" s="19" t="s">
        <v>2261</v>
      </c>
      <c r="D71" s="19" t="s">
        <v>2262</v>
      </c>
      <c r="E71" s="20">
        <v>43252</v>
      </c>
      <c r="F71" s="19"/>
      <c r="G71" s="18">
        <v>0</v>
      </c>
      <c r="H71" s="18">
        <v>0</v>
      </c>
      <c r="I71" s="18">
        <v>0</v>
      </c>
      <c r="J71" s="18">
        <v>1</v>
      </c>
      <c r="K71" s="18"/>
    </row>
    <row r="72" spans="1:11" ht="15.75" customHeight="1" x14ac:dyDescent="0.25">
      <c r="A72" s="19">
        <v>71</v>
      </c>
      <c r="B72" s="19" t="s">
        <v>163</v>
      </c>
      <c r="C72" s="19" t="s">
        <v>2261</v>
      </c>
      <c r="D72" s="19" t="s">
        <v>2262</v>
      </c>
      <c r="E72" s="20">
        <v>43252</v>
      </c>
      <c r="F72" s="19"/>
      <c r="G72" s="18">
        <v>0</v>
      </c>
      <c r="H72" s="18">
        <v>0</v>
      </c>
      <c r="I72" s="18">
        <v>0</v>
      </c>
      <c r="J72" s="18">
        <v>0</v>
      </c>
      <c r="K72" s="18"/>
    </row>
    <row r="73" spans="1:11" ht="15.75" customHeight="1" x14ac:dyDescent="0.25">
      <c r="A73" s="19">
        <v>72</v>
      </c>
      <c r="B73" s="19" t="s">
        <v>165</v>
      </c>
      <c r="C73" s="19" t="s">
        <v>2261</v>
      </c>
      <c r="D73" s="19" t="s">
        <v>2262</v>
      </c>
      <c r="E73" s="20">
        <v>43252</v>
      </c>
      <c r="F73" s="19"/>
      <c r="G73" s="18">
        <v>0</v>
      </c>
      <c r="H73" s="18">
        <v>0</v>
      </c>
      <c r="I73" s="18">
        <v>1</v>
      </c>
      <c r="J73" s="18">
        <v>1</v>
      </c>
      <c r="K73" s="18"/>
    </row>
    <row r="74" spans="1:11" ht="15.75" customHeight="1" x14ac:dyDescent="0.25">
      <c r="A74" s="19">
        <v>73</v>
      </c>
      <c r="B74" s="19" t="s">
        <v>167</v>
      </c>
      <c r="C74" s="19" t="s">
        <v>2261</v>
      </c>
      <c r="D74" s="19" t="s">
        <v>2262</v>
      </c>
      <c r="E74" s="20">
        <v>43252</v>
      </c>
      <c r="F74" s="19"/>
      <c r="G74" s="18">
        <v>0</v>
      </c>
      <c r="H74" s="18">
        <v>0</v>
      </c>
      <c r="I74" s="18">
        <v>1</v>
      </c>
      <c r="J74" s="18">
        <v>1</v>
      </c>
      <c r="K74" s="18"/>
    </row>
    <row r="75" spans="1:11" ht="15.75" customHeight="1" x14ac:dyDescent="0.25">
      <c r="A75" s="19">
        <v>74</v>
      </c>
      <c r="B75" s="19" t="s">
        <v>169</v>
      </c>
      <c r="C75" s="19" t="s">
        <v>2261</v>
      </c>
      <c r="D75" s="19" t="s">
        <v>2262</v>
      </c>
      <c r="E75" s="20">
        <v>43252</v>
      </c>
      <c r="F75" s="19"/>
      <c r="G75" s="18">
        <v>0</v>
      </c>
      <c r="H75" s="18">
        <v>0</v>
      </c>
      <c r="I75" s="18">
        <v>0</v>
      </c>
      <c r="J75" s="18">
        <v>0</v>
      </c>
      <c r="K75" s="18"/>
    </row>
    <row r="76" spans="1:11" ht="15.75" customHeight="1" x14ac:dyDescent="0.25">
      <c r="A76" s="19">
        <v>75</v>
      </c>
      <c r="B76" s="19" t="s">
        <v>171</v>
      </c>
      <c r="C76" s="19" t="s">
        <v>2261</v>
      </c>
      <c r="D76" s="19" t="s">
        <v>2262</v>
      </c>
      <c r="E76" s="20">
        <v>43252</v>
      </c>
      <c r="F76" s="19"/>
      <c r="G76" s="18">
        <v>0</v>
      </c>
      <c r="H76" s="18">
        <v>0</v>
      </c>
      <c r="I76" s="18">
        <v>0</v>
      </c>
      <c r="J76" s="18">
        <v>0</v>
      </c>
      <c r="K76" s="18"/>
    </row>
    <row r="77" spans="1:11" ht="15.75" customHeight="1" x14ac:dyDescent="0.25">
      <c r="A77" s="19">
        <v>76</v>
      </c>
      <c r="B77" s="19" t="s">
        <v>173</v>
      </c>
      <c r="C77" s="19" t="s">
        <v>2261</v>
      </c>
      <c r="D77" s="19" t="s">
        <v>2262</v>
      </c>
      <c r="E77" s="20">
        <v>43252</v>
      </c>
      <c r="F77" s="19"/>
      <c r="G77" s="18">
        <v>1</v>
      </c>
      <c r="H77" s="18">
        <v>1</v>
      </c>
      <c r="I77" s="18">
        <v>0</v>
      </c>
      <c r="J77" s="18">
        <v>1</v>
      </c>
      <c r="K77" s="18"/>
    </row>
    <row r="78" spans="1:11" ht="15.75" customHeight="1" x14ac:dyDescent="0.25">
      <c r="A78" s="19">
        <v>77</v>
      </c>
      <c r="B78" s="19" t="s">
        <v>175</v>
      </c>
      <c r="C78" s="19" t="s">
        <v>2261</v>
      </c>
      <c r="D78" s="19" t="s">
        <v>2262</v>
      </c>
      <c r="E78" s="20">
        <v>43252</v>
      </c>
      <c r="F78" s="19"/>
      <c r="G78" s="18">
        <v>0</v>
      </c>
      <c r="H78" s="18">
        <v>0</v>
      </c>
      <c r="I78" s="18">
        <v>0</v>
      </c>
      <c r="J78" s="18">
        <v>0</v>
      </c>
      <c r="K78" s="18"/>
    </row>
    <row r="79" spans="1:11" ht="15.75" customHeight="1" x14ac:dyDescent="0.25">
      <c r="A79" s="19">
        <v>78</v>
      </c>
      <c r="B79" s="19" t="s">
        <v>177</v>
      </c>
      <c r="C79" s="19" t="s">
        <v>2263</v>
      </c>
      <c r="D79" s="19" t="s">
        <v>2264</v>
      </c>
      <c r="E79" s="19"/>
      <c r="F79" s="20">
        <v>40026</v>
      </c>
      <c r="G79" s="18">
        <v>1</v>
      </c>
      <c r="H79" s="18">
        <v>1</v>
      </c>
      <c r="I79" s="18">
        <v>0</v>
      </c>
      <c r="J79" s="18">
        <v>1</v>
      </c>
      <c r="K79" s="18"/>
    </row>
    <row r="80" spans="1:11" ht="15.75" customHeight="1" x14ac:dyDescent="0.25">
      <c r="A80" s="19">
        <v>79</v>
      </c>
      <c r="B80" s="19" t="s">
        <v>180</v>
      </c>
      <c r="C80" s="19" t="s">
        <v>2261</v>
      </c>
      <c r="D80" s="19" t="s">
        <v>2262</v>
      </c>
      <c r="E80" s="20">
        <v>43252</v>
      </c>
      <c r="F80" s="19"/>
      <c r="G80" s="18">
        <v>0</v>
      </c>
      <c r="H80" s="18">
        <v>0</v>
      </c>
      <c r="I80" s="18">
        <v>0</v>
      </c>
      <c r="J80" s="18">
        <v>0</v>
      </c>
      <c r="K80" s="18"/>
    </row>
    <row r="81" spans="1:11" ht="15.75" customHeight="1" x14ac:dyDescent="0.25">
      <c r="A81" s="19">
        <v>80</v>
      </c>
      <c r="B81" s="19" t="s">
        <v>182</v>
      </c>
      <c r="C81" s="19" t="s">
        <v>2263</v>
      </c>
      <c r="D81" s="19" t="s">
        <v>2264</v>
      </c>
      <c r="E81" s="19"/>
      <c r="F81" s="20">
        <v>40026</v>
      </c>
      <c r="G81" s="18">
        <v>1</v>
      </c>
      <c r="H81" s="18">
        <v>1</v>
      </c>
      <c r="I81" s="18">
        <v>1</v>
      </c>
      <c r="J81" s="18">
        <v>1</v>
      </c>
      <c r="K81" s="18"/>
    </row>
    <row r="82" spans="1:11" ht="15.75" customHeight="1" x14ac:dyDescent="0.25">
      <c r="A82" s="19">
        <v>81</v>
      </c>
      <c r="B82" s="19" t="s">
        <v>184</v>
      </c>
      <c r="C82" s="19" t="s">
        <v>2261</v>
      </c>
      <c r="D82" s="19" t="s">
        <v>2262</v>
      </c>
      <c r="E82" s="20">
        <v>43252</v>
      </c>
      <c r="F82" s="19"/>
      <c r="G82" s="18">
        <v>0</v>
      </c>
      <c r="H82" s="18">
        <v>0</v>
      </c>
      <c r="I82" s="18">
        <v>1</v>
      </c>
      <c r="J82" s="18">
        <v>1</v>
      </c>
      <c r="K82" s="18"/>
    </row>
    <row r="83" spans="1:11" ht="15.75" customHeight="1" x14ac:dyDescent="0.25">
      <c r="A83" s="19">
        <v>82</v>
      </c>
      <c r="B83" s="19" t="s">
        <v>186</v>
      </c>
      <c r="C83" s="19" t="s">
        <v>2263</v>
      </c>
      <c r="D83" s="19" t="s">
        <v>2264</v>
      </c>
      <c r="E83" s="19"/>
      <c r="F83" s="20">
        <v>40026</v>
      </c>
      <c r="G83" s="18">
        <v>1</v>
      </c>
      <c r="H83" s="18">
        <v>1</v>
      </c>
      <c r="I83" s="18">
        <v>1</v>
      </c>
      <c r="J83" s="18">
        <v>1</v>
      </c>
      <c r="K83" s="18"/>
    </row>
    <row r="84" spans="1:11" ht="15.75" customHeight="1" x14ac:dyDescent="0.25">
      <c r="A84" s="19">
        <v>83</v>
      </c>
      <c r="B84" s="19" t="s">
        <v>188</v>
      </c>
      <c r="C84" s="19" t="s">
        <v>2263</v>
      </c>
      <c r="D84" s="19" t="s">
        <v>2264</v>
      </c>
      <c r="E84" s="19"/>
      <c r="F84" s="19">
        <v>2015</v>
      </c>
      <c r="G84" s="18">
        <v>0</v>
      </c>
      <c r="H84" s="18">
        <v>0</v>
      </c>
      <c r="I84" s="18">
        <v>0</v>
      </c>
      <c r="J84" s="18">
        <v>0</v>
      </c>
      <c r="K84" s="18"/>
    </row>
    <row r="85" spans="1:11" ht="15.75" customHeight="1" x14ac:dyDescent="0.25">
      <c r="A85" s="19">
        <v>84</v>
      </c>
      <c r="B85" s="19" t="s">
        <v>2272</v>
      </c>
      <c r="C85" s="19" t="s">
        <v>2261</v>
      </c>
      <c r="D85" s="19" t="s">
        <v>2262</v>
      </c>
      <c r="E85" s="20">
        <v>43252</v>
      </c>
      <c r="F85" s="19"/>
      <c r="G85" s="18">
        <v>0</v>
      </c>
      <c r="H85" s="18">
        <v>0</v>
      </c>
      <c r="I85" s="18">
        <v>0</v>
      </c>
      <c r="J85" s="18">
        <v>0</v>
      </c>
      <c r="K85" s="18"/>
    </row>
    <row r="86" spans="1:11" ht="15.75" customHeight="1" x14ac:dyDescent="0.25">
      <c r="A86" s="19">
        <v>85</v>
      </c>
      <c r="B86" s="19" t="s">
        <v>193</v>
      </c>
      <c r="C86" s="23" t="s">
        <v>2263</v>
      </c>
      <c r="D86" s="21" t="s">
        <v>2266</v>
      </c>
      <c r="E86" s="19"/>
      <c r="F86" s="19"/>
      <c r="G86" s="18">
        <v>0</v>
      </c>
      <c r="H86" s="18">
        <v>0</v>
      </c>
      <c r="I86" s="18">
        <v>0</v>
      </c>
      <c r="J86" s="18">
        <v>1</v>
      </c>
      <c r="K86" s="18"/>
    </row>
    <row r="87" spans="1:11" ht="15.75" customHeight="1" x14ac:dyDescent="0.25">
      <c r="A87" s="19">
        <v>86</v>
      </c>
      <c r="B87" s="19" t="s">
        <v>195</v>
      </c>
      <c r="C87" s="19" t="s">
        <v>2261</v>
      </c>
      <c r="D87" s="19" t="s">
        <v>2262</v>
      </c>
      <c r="E87" s="20">
        <v>43252</v>
      </c>
      <c r="F87" s="19"/>
      <c r="G87" s="18">
        <v>0</v>
      </c>
      <c r="H87" s="18">
        <v>0</v>
      </c>
      <c r="I87" s="18">
        <v>0</v>
      </c>
      <c r="J87" s="18">
        <v>0</v>
      </c>
      <c r="K87" s="18"/>
    </row>
    <row r="88" spans="1:11" ht="15.75" customHeight="1" x14ac:dyDescent="0.25">
      <c r="A88" s="19">
        <v>87</v>
      </c>
      <c r="B88" s="19" t="s">
        <v>197</v>
      </c>
      <c r="C88" s="19" t="s">
        <v>2263</v>
      </c>
      <c r="D88" s="19" t="s">
        <v>2264</v>
      </c>
      <c r="E88" s="19"/>
      <c r="F88" s="20">
        <v>40026</v>
      </c>
      <c r="G88" s="18">
        <v>1</v>
      </c>
      <c r="H88" s="18">
        <v>1</v>
      </c>
      <c r="I88" s="18">
        <v>1</v>
      </c>
      <c r="J88" s="18">
        <v>1</v>
      </c>
      <c r="K88" s="18"/>
    </row>
    <row r="89" spans="1:11" ht="15.75" customHeight="1" x14ac:dyDescent="0.25">
      <c r="A89" s="19">
        <v>88</v>
      </c>
      <c r="B89" s="19" t="s">
        <v>199</v>
      </c>
      <c r="C89" s="19" t="s">
        <v>2261</v>
      </c>
      <c r="D89" s="19" t="s">
        <v>2262</v>
      </c>
      <c r="E89" s="20">
        <v>43252</v>
      </c>
      <c r="F89" s="19"/>
      <c r="G89" s="18">
        <v>0</v>
      </c>
      <c r="H89" s="18">
        <v>1</v>
      </c>
      <c r="I89" s="18">
        <v>0</v>
      </c>
      <c r="J89" s="18">
        <v>1</v>
      </c>
      <c r="K89" s="18"/>
    </row>
    <row r="90" spans="1:11" ht="15.75" customHeight="1" x14ac:dyDescent="0.25">
      <c r="A90" s="19">
        <v>89</v>
      </c>
      <c r="B90" s="19" t="s">
        <v>201</v>
      </c>
      <c r="C90" s="19" t="s">
        <v>2261</v>
      </c>
      <c r="D90" s="19" t="s">
        <v>2262</v>
      </c>
      <c r="E90" s="20">
        <v>43252</v>
      </c>
      <c r="F90" s="19"/>
      <c r="G90" s="18">
        <v>0</v>
      </c>
      <c r="H90" s="18">
        <v>0</v>
      </c>
      <c r="I90" s="18">
        <v>0</v>
      </c>
      <c r="J90" s="18">
        <v>0</v>
      </c>
      <c r="K90" s="18"/>
    </row>
    <row r="91" spans="1:11" ht="15.75" customHeight="1" x14ac:dyDescent="0.25">
      <c r="A91" s="19">
        <v>90</v>
      </c>
      <c r="B91" s="19" t="s">
        <v>203</v>
      </c>
      <c r="C91" s="19" t="s">
        <v>2261</v>
      </c>
      <c r="D91" s="19" t="s">
        <v>2262</v>
      </c>
      <c r="E91" s="20">
        <v>43252</v>
      </c>
      <c r="F91" s="19"/>
      <c r="G91" s="18">
        <v>0</v>
      </c>
      <c r="H91" s="18">
        <v>0</v>
      </c>
      <c r="I91" s="18">
        <v>0</v>
      </c>
      <c r="J91" s="18">
        <v>0</v>
      </c>
      <c r="K91" s="18"/>
    </row>
    <row r="92" spans="1:11" ht="15.75" customHeight="1" x14ac:dyDescent="0.25">
      <c r="A92" s="19">
        <v>91</v>
      </c>
      <c r="B92" s="19" t="s">
        <v>205</v>
      </c>
      <c r="C92" s="19" t="s">
        <v>2263</v>
      </c>
      <c r="D92" s="19" t="s">
        <v>2264</v>
      </c>
      <c r="E92" s="19"/>
      <c r="F92" s="19">
        <v>2015</v>
      </c>
      <c r="G92" s="18">
        <v>0</v>
      </c>
      <c r="H92" s="18">
        <v>0</v>
      </c>
      <c r="I92" s="18">
        <v>1</v>
      </c>
      <c r="J92" s="18">
        <v>0</v>
      </c>
      <c r="K92" s="18"/>
    </row>
    <row r="93" spans="1:11" ht="15.75" customHeight="1" x14ac:dyDescent="0.25">
      <c r="A93" s="19">
        <v>92</v>
      </c>
      <c r="B93" s="19" t="s">
        <v>207</v>
      </c>
      <c r="C93" s="19" t="s">
        <v>2261</v>
      </c>
      <c r="D93" s="19" t="s">
        <v>2262</v>
      </c>
      <c r="E93" s="20">
        <v>43252</v>
      </c>
      <c r="F93" s="19"/>
      <c r="G93" s="18">
        <v>0</v>
      </c>
      <c r="H93" s="18">
        <v>0</v>
      </c>
      <c r="I93" s="18">
        <v>0</v>
      </c>
      <c r="J93" s="18">
        <v>0</v>
      </c>
      <c r="K93" s="18"/>
    </row>
    <row r="94" spans="1:11" ht="15.75" customHeight="1" x14ac:dyDescent="0.25">
      <c r="A94" s="19">
        <v>93</v>
      </c>
      <c r="B94" s="19" t="s">
        <v>209</v>
      </c>
      <c r="C94" s="19" t="s">
        <v>2261</v>
      </c>
      <c r="D94" s="19" t="s">
        <v>2262</v>
      </c>
      <c r="E94" s="20">
        <v>43252</v>
      </c>
      <c r="F94" s="19"/>
      <c r="G94" s="18">
        <v>0</v>
      </c>
      <c r="H94" s="18">
        <v>0</v>
      </c>
      <c r="I94" s="18">
        <v>1</v>
      </c>
      <c r="J94" s="18">
        <v>0</v>
      </c>
      <c r="K94" s="18"/>
    </row>
    <row r="95" spans="1:11" ht="15.75" customHeight="1" x14ac:dyDescent="0.25">
      <c r="A95" s="19">
        <v>94</v>
      </c>
      <c r="B95" s="19" t="s">
        <v>211</v>
      </c>
      <c r="C95" s="19" t="s">
        <v>2261</v>
      </c>
      <c r="D95" s="19" t="s">
        <v>2262</v>
      </c>
      <c r="E95" s="20">
        <v>43252</v>
      </c>
      <c r="F95" s="19"/>
      <c r="G95" s="18">
        <v>0</v>
      </c>
      <c r="H95" s="18">
        <v>0</v>
      </c>
      <c r="I95" s="18">
        <v>0</v>
      </c>
      <c r="J95" s="18">
        <v>0</v>
      </c>
      <c r="K95" s="18"/>
    </row>
    <row r="96" spans="1:11" ht="15.75" customHeight="1" x14ac:dyDescent="0.25">
      <c r="A96" s="19">
        <v>95</v>
      </c>
      <c r="B96" s="19" t="s">
        <v>213</v>
      </c>
      <c r="C96" s="19" t="s">
        <v>2261</v>
      </c>
      <c r="D96" s="19" t="s">
        <v>2262</v>
      </c>
      <c r="E96" s="20">
        <v>43252</v>
      </c>
      <c r="F96" s="19"/>
      <c r="G96" s="18">
        <v>0</v>
      </c>
      <c r="H96" s="18">
        <v>0</v>
      </c>
      <c r="I96" s="18">
        <v>0</v>
      </c>
      <c r="J96" s="18">
        <v>0</v>
      </c>
      <c r="K96" s="18"/>
    </row>
    <row r="97" spans="1:11" ht="15.75" customHeight="1" x14ac:dyDescent="0.25">
      <c r="A97" s="19">
        <v>96</v>
      </c>
      <c r="B97" s="19" t="s">
        <v>215</v>
      </c>
      <c r="C97" s="19" t="s">
        <v>2261</v>
      </c>
      <c r="D97" s="19" t="s">
        <v>2262</v>
      </c>
      <c r="E97" s="20">
        <v>43252</v>
      </c>
      <c r="F97" s="19"/>
      <c r="G97" s="18">
        <v>0</v>
      </c>
      <c r="H97" s="18">
        <v>0</v>
      </c>
      <c r="I97" s="18">
        <v>0</v>
      </c>
      <c r="J97" s="18">
        <v>0</v>
      </c>
      <c r="K97" s="18"/>
    </row>
    <row r="98" spans="1:11" ht="15.75" customHeight="1" x14ac:dyDescent="0.25">
      <c r="A98" s="19">
        <v>97</v>
      </c>
      <c r="B98" s="19" t="s">
        <v>217</v>
      </c>
      <c r="C98" s="19" t="s">
        <v>2261</v>
      </c>
      <c r="D98" s="19" t="s">
        <v>2262</v>
      </c>
      <c r="E98" s="20">
        <v>43252</v>
      </c>
      <c r="F98" s="19"/>
      <c r="G98" s="18">
        <v>0</v>
      </c>
      <c r="H98" s="18">
        <v>0</v>
      </c>
      <c r="I98" s="18">
        <v>0</v>
      </c>
      <c r="J98" s="18">
        <v>0</v>
      </c>
      <c r="K98" s="18"/>
    </row>
    <row r="99" spans="1:11" ht="15.75" customHeight="1" x14ac:dyDescent="0.25">
      <c r="A99" s="19">
        <v>98</v>
      </c>
      <c r="B99" s="19" t="s">
        <v>219</v>
      </c>
      <c r="C99" s="19" t="s">
        <v>2261</v>
      </c>
      <c r="D99" s="19" t="s">
        <v>2262</v>
      </c>
      <c r="E99" s="20">
        <v>43252</v>
      </c>
      <c r="F99" s="19"/>
      <c r="G99" s="18">
        <v>0</v>
      </c>
      <c r="H99" s="18">
        <v>0</v>
      </c>
      <c r="I99" s="18">
        <v>0</v>
      </c>
      <c r="J99" s="18">
        <v>0</v>
      </c>
      <c r="K99" s="18"/>
    </row>
    <row r="100" spans="1:11" ht="15.75" customHeight="1" x14ac:dyDescent="0.25">
      <c r="A100" s="19">
        <v>99</v>
      </c>
      <c r="B100" s="19" t="s">
        <v>221</v>
      </c>
      <c r="C100" s="19" t="s">
        <v>2263</v>
      </c>
      <c r="D100" s="19"/>
      <c r="E100" s="19"/>
      <c r="F100" s="20">
        <v>40026</v>
      </c>
      <c r="G100" s="18">
        <v>0</v>
      </c>
      <c r="H100" s="18">
        <v>0</v>
      </c>
      <c r="I100" s="18">
        <v>1</v>
      </c>
      <c r="J100" s="18">
        <v>1</v>
      </c>
      <c r="K100" s="18"/>
    </row>
    <row r="101" spans="1:11" ht="15.75" customHeight="1" x14ac:dyDescent="0.25">
      <c r="A101" s="19">
        <v>100</v>
      </c>
      <c r="B101" s="19" t="s">
        <v>226</v>
      </c>
      <c r="C101" s="19" t="s">
        <v>2261</v>
      </c>
      <c r="D101" s="19" t="s">
        <v>2262</v>
      </c>
      <c r="E101" s="20">
        <v>43252</v>
      </c>
      <c r="F101" s="19"/>
      <c r="G101" s="18">
        <v>0</v>
      </c>
      <c r="H101" s="18">
        <v>1</v>
      </c>
      <c r="I101" s="18">
        <v>1</v>
      </c>
      <c r="J101" s="18">
        <v>1</v>
      </c>
      <c r="K101" s="18"/>
    </row>
    <row r="102" spans="1:11" ht="15.75" customHeight="1" x14ac:dyDescent="0.25">
      <c r="A102" s="19">
        <v>101</v>
      </c>
      <c r="B102" s="19" t="s">
        <v>224</v>
      </c>
      <c r="C102" s="23" t="s">
        <v>2263</v>
      </c>
      <c r="D102" s="21" t="s">
        <v>2266</v>
      </c>
      <c r="E102" s="19"/>
      <c r="F102" s="19"/>
      <c r="G102" s="18">
        <v>0</v>
      </c>
      <c r="H102" s="18">
        <v>0</v>
      </c>
      <c r="I102" s="18">
        <v>0</v>
      </c>
      <c r="J102" s="18">
        <v>1</v>
      </c>
      <c r="K102" s="18"/>
    </row>
    <row r="103" spans="1:11" ht="15.75" customHeight="1" x14ac:dyDescent="0.25">
      <c r="A103" s="19">
        <v>102</v>
      </c>
      <c r="B103" s="19" t="s">
        <v>228</v>
      </c>
      <c r="C103" s="19" t="s">
        <v>2261</v>
      </c>
      <c r="D103" s="19" t="s">
        <v>2262</v>
      </c>
      <c r="E103" s="20">
        <v>43252</v>
      </c>
      <c r="F103" s="19"/>
      <c r="G103" s="18">
        <v>0</v>
      </c>
      <c r="H103" s="18">
        <v>0</v>
      </c>
      <c r="I103" s="18">
        <v>0</v>
      </c>
      <c r="J103" s="18">
        <v>1</v>
      </c>
      <c r="K103" s="18"/>
    </row>
    <row r="104" spans="1:11" ht="15.75" customHeight="1" x14ac:dyDescent="0.25">
      <c r="A104" s="19">
        <v>103</v>
      </c>
      <c r="B104" s="19" t="s">
        <v>230</v>
      </c>
      <c r="C104" s="19" t="s">
        <v>2261</v>
      </c>
      <c r="D104" s="22" t="s">
        <v>2268</v>
      </c>
      <c r="E104" s="20">
        <v>43252</v>
      </c>
      <c r="F104" s="19" t="s">
        <v>2273</v>
      </c>
      <c r="G104" s="18">
        <v>0</v>
      </c>
      <c r="H104" s="18">
        <v>0</v>
      </c>
      <c r="I104" s="18">
        <v>1</v>
      </c>
      <c r="J104" s="18">
        <v>1</v>
      </c>
      <c r="K104" s="18"/>
    </row>
    <row r="105" spans="1:11" ht="15.75" customHeight="1" x14ac:dyDescent="0.25">
      <c r="A105" s="19">
        <v>104</v>
      </c>
      <c r="B105" s="19" t="s">
        <v>232</v>
      </c>
      <c r="C105" s="19" t="s">
        <v>2261</v>
      </c>
      <c r="D105" s="19" t="s">
        <v>2262</v>
      </c>
      <c r="E105" s="20">
        <v>43252</v>
      </c>
      <c r="F105" s="19"/>
      <c r="G105" s="18">
        <v>0</v>
      </c>
      <c r="H105" s="18">
        <v>0</v>
      </c>
      <c r="I105" s="18">
        <v>0</v>
      </c>
      <c r="J105" s="18">
        <v>0</v>
      </c>
      <c r="K105" s="18"/>
    </row>
    <row r="106" spans="1:11" ht="15.75" customHeight="1" x14ac:dyDescent="0.25">
      <c r="A106" s="19">
        <v>105</v>
      </c>
      <c r="B106" s="19" t="s">
        <v>234</v>
      </c>
      <c r="C106" s="19" t="s">
        <v>2261</v>
      </c>
      <c r="D106" s="19" t="s">
        <v>2262</v>
      </c>
      <c r="E106" s="20">
        <v>43252</v>
      </c>
      <c r="F106" s="19"/>
      <c r="G106" s="18">
        <v>0</v>
      </c>
      <c r="H106" s="18">
        <v>0</v>
      </c>
      <c r="I106" s="18">
        <v>0</v>
      </c>
      <c r="J106" s="18">
        <v>0</v>
      </c>
      <c r="K106" s="18"/>
    </row>
    <row r="107" spans="1:11" ht="15.75" customHeight="1" x14ac:dyDescent="0.25">
      <c r="A107" s="19">
        <v>106</v>
      </c>
      <c r="B107" s="19" t="s">
        <v>236</v>
      </c>
      <c r="C107" s="23" t="s">
        <v>2263</v>
      </c>
      <c r="D107" s="21" t="s">
        <v>2266</v>
      </c>
      <c r="E107" s="19"/>
      <c r="F107" s="19"/>
      <c r="G107" s="18">
        <v>0</v>
      </c>
      <c r="H107" s="18">
        <v>0</v>
      </c>
      <c r="I107" s="18">
        <v>0</v>
      </c>
      <c r="J107" s="18">
        <v>1</v>
      </c>
      <c r="K107" s="18"/>
    </row>
    <row r="108" spans="1:11" ht="15.75" customHeight="1" x14ac:dyDescent="0.25">
      <c r="A108" s="19">
        <v>107</v>
      </c>
      <c r="B108" s="19" t="s">
        <v>238</v>
      </c>
      <c r="C108" s="19" t="s">
        <v>2261</v>
      </c>
      <c r="D108" s="19" t="s">
        <v>2262</v>
      </c>
      <c r="E108" s="20">
        <v>43252</v>
      </c>
      <c r="F108" s="19"/>
      <c r="G108" s="18">
        <v>0</v>
      </c>
      <c r="H108" s="18">
        <v>0</v>
      </c>
      <c r="I108" s="18">
        <v>0</v>
      </c>
      <c r="J108" s="18">
        <v>0</v>
      </c>
      <c r="K108" s="18"/>
    </row>
    <row r="109" spans="1:11" ht="15.75" customHeight="1" x14ac:dyDescent="0.25">
      <c r="A109" s="19">
        <v>108</v>
      </c>
      <c r="B109" s="19" t="s">
        <v>240</v>
      </c>
      <c r="C109" s="19" t="s">
        <v>2263</v>
      </c>
      <c r="D109" s="19" t="s">
        <v>2264</v>
      </c>
      <c r="E109" s="19"/>
      <c r="F109" s="20">
        <v>40026</v>
      </c>
      <c r="G109" s="18">
        <v>1</v>
      </c>
      <c r="H109" s="18">
        <v>1</v>
      </c>
      <c r="I109" s="18">
        <v>1</v>
      </c>
      <c r="J109" s="18">
        <v>1</v>
      </c>
      <c r="K109" s="18"/>
    </row>
    <row r="110" spans="1:11" ht="15.75" customHeight="1" x14ac:dyDescent="0.25">
      <c r="A110" s="19">
        <v>109</v>
      </c>
      <c r="B110" s="19" t="s">
        <v>242</v>
      </c>
      <c r="C110" s="19" t="s">
        <v>2261</v>
      </c>
      <c r="D110" s="19" t="s">
        <v>2262</v>
      </c>
      <c r="E110" s="20">
        <v>43252</v>
      </c>
      <c r="F110" s="19"/>
      <c r="G110" s="18">
        <v>0</v>
      </c>
      <c r="H110" s="18">
        <v>0</v>
      </c>
      <c r="I110" s="18">
        <v>0</v>
      </c>
      <c r="J110" s="18">
        <v>0</v>
      </c>
      <c r="K110" s="18"/>
    </row>
    <row r="111" spans="1:11" ht="15.75" customHeight="1" x14ac:dyDescent="0.25">
      <c r="A111" s="19">
        <v>110</v>
      </c>
      <c r="B111" s="19" t="s">
        <v>244</v>
      </c>
      <c r="C111" s="19" t="s">
        <v>2263</v>
      </c>
      <c r="D111" s="19" t="s">
        <v>2264</v>
      </c>
      <c r="E111" s="19"/>
      <c r="F111" s="19"/>
      <c r="G111" s="18">
        <v>0</v>
      </c>
      <c r="H111" s="18">
        <v>0</v>
      </c>
      <c r="I111" s="18">
        <v>0</v>
      </c>
      <c r="J111" s="18">
        <v>0</v>
      </c>
      <c r="K111" s="18"/>
    </row>
    <row r="112" spans="1:11" ht="15.75" customHeight="1" x14ac:dyDescent="0.25">
      <c r="A112" s="19">
        <v>111</v>
      </c>
      <c r="B112" s="19" t="s">
        <v>246</v>
      </c>
      <c r="C112" s="19" t="s">
        <v>2261</v>
      </c>
      <c r="D112" s="19" t="s">
        <v>2262</v>
      </c>
      <c r="E112" s="20">
        <v>43252</v>
      </c>
      <c r="F112" s="19"/>
      <c r="G112" s="18">
        <v>0</v>
      </c>
      <c r="H112" s="18">
        <v>0</v>
      </c>
      <c r="I112" s="18">
        <v>0</v>
      </c>
      <c r="J112" s="18">
        <v>0</v>
      </c>
      <c r="K112" s="18"/>
    </row>
    <row r="113" spans="1:11" ht="15.75" customHeight="1" x14ac:dyDescent="0.25">
      <c r="A113" s="19">
        <v>112</v>
      </c>
      <c r="B113" s="19" t="s">
        <v>248</v>
      </c>
      <c r="C113" s="19" t="s">
        <v>2261</v>
      </c>
      <c r="D113" s="19" t="s">
        <v>2262</v>
      </c>
      <c r="E113" s="20">
        <v>43252</v>
      </c>
      <c r="F113" s="19"/>
      <c r="G113" s="18">
        <v>0</v>
      </c>
      <c r="H113" s="18">
        <v>0</v>
      </c>
      <c r="I113" s="18">
        <v>0</v>
      </c>
      <c r="J113" s="18">
        <v>0</v>
      </c>
      <c r="K113" s="18"/>
    </row>
    <row r="114" spans="1:11" ht="15.75" customHeight="1" x14ac:dyDescent="0.25">
      <c r="A114" s="19">
        <v>113</v>
      </c>
      <c r="B114" s="19" t="s">
        <v>250</v>
      </c>
      <c r="C114" s="19" t="s">
        <v>2261</v>
      </c>
      <c r="D114" s="19" t="s">
        <v>2262</v>
      </c>
      <c r="E114" s="20">
        <v>43252</v>
      </c>
      <c r="F114" s="19"/>
      <c r="G114" s="18">
        <v>0</v>
      </c>
      <c r="H114" s="18">
        <v>0</v>
      </c>
      <c r="I114" s="18">
        <v>0</v>
      </c>
      <c r="J114" s="18">
        <v>0</v>
      </c>
      <c r="K114" s="18"/>
    </row>
    <row r="115" spans="1:11" ht="15.75" customHeight="1" x14ac:dyDescent="0.25">
      <c r="A115" s="19">
        <v>114</v>
      </c>
      <c r="B115" s="19" t="s">
        <v>252</v>
      </c>
      <c r="C115" s="19" t="s">
        <v>2261</v>
      </c>
      <c r="D115" s="19" t="s">
        <v>2262</v>
      </c>
      <c r="E115" s="20">
        <v>43252</v>
      </c>
      <c r="F115" s="19"/>
      <c r="G115" s="18">
        <v>0</v>
      </c>
      <c r="H115" s="18">
        <v>0</v>
      </c>
      <c r="I115" s="18">
        <v>0</v>
      </c>
      <c r="J115" s="18">
        <v>0</v>
      </c>
      <c r="K115" s="18"/>
    </row>
    <row r="116" spans="1:11" ht="15.75" customHeight="1" x14ac:dyDescent="0.25">
      <c r="A116" s="19">
        <v>115</v>
      </c>
      <c r="B116" s="19" t="s">
        <v>254</v>
      </c>
      <c r="C116" s="19" t="s">
        <v>2261</v>
      </c>
      <c r="D116" s="19" t="s">
        <v>2262</v>
      </c>
      <c r="E116" s="20">
        <v>43252</v>
      </c>
      <c r="F116" s="19"/>
      <c r="G116" s="18">
        <v>0</v>
      </c>
      <c r="H116" s="18">
        <v>0</v>
      </c>
      <c r="I116" s="18">
        <v>0</v>
      </c>
      <c r="J116" s="18">
        <v>0</v>
      </c>
      <c r="K116" s="18"/>
    </row>
    <row r="117" spans="1:11" ht="15.75" customHeight="1" x14ac:dyDescent="0.25">
      <c r="A117" s="19">
        <v>116</v>
      </c>
      <c r="B117" s="19" t="s">
        <v>256</v>
      </c>
      <c r="C117" s="19" t="s">
        <v>2261</v>
      </c>
      <c r="D117" s="19" t="s">
        <v>2262</v>
      </c>
      <c r="E117" s="20">
        <v>43252</v>
      </c>
      <c r="F117" s="19"/>
      <c r="G117" s="18">
        <v>0</v>
      </c>
      <c r="H117" s="18">
        <v>0</v>
      </c>
      <c r="I117" s="18">
        <v>0</v>
      </c>
      <c r="J117" s="18">
        <v>0</v>
      </c>
      <c r="K117" s="18"/>
    </row>
    <row r="118" spans="1:11" ht="15.75" customHeight="1" x14ac:dyDescent="0.25">
      <c r="A118" s="19">
        <v>117</v>
      </c>
      <c r="B118" s="19" t="s">
        <v>259</v>
      </c>
      <c r="C118" s="19" t="s">
        <v>2263</v>
      </c>
      <c r="D118" s="19" t="s">
        <v>2264</v>
      </c>
      <c r="E118" s="19"/>
      <c r="F118" s="19">
        <v>2015</v>
      </c>
      <c r="G118" s="18">
        <v>0</v>
      </c>
      <c r="H118" s="18">
        <v>0</v>
      </c>
      <c r="I118" s="18">
        <v>1</v>
      </c>
      <c r="J118" s="18">
        <v>1</v>
      </c>
      <c r="K118" s="18"/>
    </row>
    <row r="119" spans="1:11" ht="15.75" customHeight="1" x14ac:dyDescent="0.25">
      <c r="A119" s="19">
        <v>118</v>
      </c>
      <c r="B119" s="19" t="s">
        <v>261</v>
      </c>
      <c r="C119" s="19" t="s">
        <v>2261</v>
      </c>
      <c r="D119" s="19" t="s">
        <v>2262</v>
      </c>
      <c r="E119" s="20">
        <v>43252</v>
      </c>
      <c r="F119" s="19"/>
      <c r="G119" s="18">
        <v>0</v>
      </c>
      <c r="H119" s="18">
        <v>0</v>
      </c>
      <c r="I119" s="18">
        <v>0</v>
      </c>
      <c r="J119" s="18">
        <v>1</v>
      </c>
      <c r="K119" s="18"/>
    </row>
    <row r="120" spans="1:11" ht="15.75" customHeight="1" x14ac:dyDescent="0.25">
      <c r="A120" s="19">
        <v>119</v>
      </c>
      <c r="B120" s="19" t="s">
        <v>263</v>
      </c>
      <c r="C120" s="19" t="s">
        <v>2261</v>
      </c>
      <c r="D120" s="19" t="s">
        <v>2262</v>
      </c>
      <c r="E120" s="20">
        <v>43252</v>
      </c>
      <c r="F120" s="19"/>
      <c r="G120" s="18">
        <v>0</v>
      </c>
      <c r="H120" s="18">
        <v>1</v>
      </c>
      <c r="I120" s="18">
        <v>1</v>
      </c>
      <c r="J120" s="18">
        <v>1</v>
      </c>
      <c r="K120" s="18"/>
    </row>
    <row r="121" spans="1:11" ht="15.75" customHeight="1" x14ac:dyDescent="0.25">
      <c r="A121" s="19">
        <v>120</v>
      </c>
      <c r="B121" s="19" t="s">
        <v>265</v>
      </c>
      <c r="C121" s="19" t="s">
        <v>2261</v>
      </c>
      <c r="D121" s="19" t="s">
        <v>2262</v>
      </c>
      <c r="E121" s="20">
        <v>43252</v>
      </c>
      <c r="F121" s="19"/>
      <c r="G121" s="18">
        <v>0</v>
      </c>
      <c r="H121" s="18">
        <v>0</v>
      </c>
      <c r="I121" s="18">
        <v>0</v>
      </c>
      <c r="J121" s="18">
        <v>0</v>
      </c>
      <c r="K121" s="18"/>
    </row>
    <row r="122" spans="1:11" ht="15.75" customHeight="1" x14ac:dyDescent="0.25">
      <c r="A122" s="19">
        <v>121</v>
      </c>
      <c r="B122" s="19" t="s">
        <v>267</v>
      </c>
      <c r="C122" s="19" t="s">
        <v>2263</v>
      </c>
      <c r="D122" s="19"/>
      <c r="E122" s="19"/>
      <c r="F122" s="19">
        <v>2015</v>
      </c>
      <c r="G122" s="18">
        <v>0</v>
      </c>
      <c r="H122" s="18">
        <v>0</v>
      </c>
      <c r="I122" s="18">
        <v>0</v>
      </c>
      <c r="J122" s="18">
        <v>0</v>
      </c>
      <c r="K122" s="18"/>
    </row>
    <row r="123" spans="1:11" ht="15.75" customHeight="1" x14ac:dyDescent="0.25">
      <c r="A123" s="19">
        <v>122</v>
      </c>
      <c r="B123" s="19" t="s">
        <v>269</v>
      </c>
      <c r="C123" s="19" t="s">
        <v>2261</v>
      </c>
      <c r="D123" s="19" t="s">
        <v>2262</v>
      </c>
      <c r="E123" s="20">
        <v>43252</v>
      </c>
      <c r="F123" s="19"/>
      <c r="G123" s="18">
        <v>0</v>
      </c>
      <c r="H123" s="18">
        <v>0</v>
      </c>
      <c r="I123" s="18">
        <v>0</v>
      </c>
      <c r="J123" s="18">
        <v>0</v>
      </c>
      <c r="K123" s="18"/>
    </row>
    <row r="124" spans="1:11" ht="15.75" customHeight="1" x14ac:dyDescent="0.25">
      <c r="A124" s="19">
        <v>123</v>
      </c>
      <c r="B124" s="19" t="s">
        <v>271</v>
      </c>
      <c r="C124" s="19" t="s">
        <v>2261</v>
      </c>
      <c r="D124" s="19" t="s">
        <v>2262</v>
      </c>
      <c r="E124" s="20">
        <v>43252</v>
      </c>
      <c r="F124" s="19"/>
      <c r="G124" s="18">
        <v>0</v>
      </c>
      <c r="H124" s="18">
        <v>0</v>
      </c>
      <c r="I124" s="18">
        <v>0</v>
      </c>
      <c r="J124" s="18">
        <v>0</v>
      </c>
      <c r="K124" s="18"/>
    </row>
    <row r="125" spans="1:11" ht="15.75" customHeight="1" x14ac:dyDescent="0.25">
      <c r="A125" s="19">
        <v>124</v>
      </c>
      <c r="B125" s="19" t="s">
        <v>273</v>
      </c>
      <c r="C125" s="19" t="s">
        <v>2261</v>
      </c>
      <c r="D125" s="19" t="s">
        <v>2262</v>
      </c>
      <c r="E125" s="20">
        <v>43252</v>
      </c>
      <c r="F125" s="19"/>
      <c r="G125" s="18">
        <v>0</v>
      </c>
      <c r="H125" s="18">
        <v>0</v>
      </c>
      <c r="I125" s="18">
        <v>0</v>
      </c>
      <c r="J125" s="18">
        <v>0</v>
      </c>
      <c r="K125" s="18"/>
    </row>
    <row r="126" spans="1:11" ht="15.75" customHeight="1" x14ac:dyDescent="0.25">
      <c r="A126" s="19">
        <v>125</v>
      </c>
      <c r="B126" s="19" t="s">
        <v>275</v>
      </c>
      <c r="C126" s="19" t="s">
        <v>2261</v>
      </c>
      <c r="D126" s="19" t="s">
        <v>2262</v>
      </c>
      <c r="E126" s="20">
        <v>43252</v>
      </c>
      <c r="F126" s="19"/>
      <c r="G126" s="18">
        <v>0</v>
      </c>
      <c r="H126" s="18">
        <v>0</v>
      </c>
      <c r="I126" s="18">
        <v>0</v>
      </c>
      <c r="J126" s="18">
        <v>0</v>
      </c>
      <c r="K126" s="18"/>
    </row>
    <row r="127" spans="1:11" ht="15.75" customHeight="1" x14ac:dyDescent="0.25">
      <c r="A127" s="19">
        <v>126</v>
      </c>
      <c r="B127" s="19" t="s">
        <v>277</v>
      </c>
      <c r="C127" s="19" t="s">
        <v>2261</v>
      </c>
      <c r="D127" s="19" t="s">
        <v>2262</v>
      </c>
      <c r="E127" s="20">
        <v>43252</v>
      </c>
      <c r="F127" s="19"/>
      <c r="G127" s="18">
        <v>0</v>
      </c>
      <c r="H127" s="18">
        <v>0</v>
      </c>
      <c r="I127" s="18">
        <v>0</v>
      </c>
      <c r="J127" s="18">
        <v>0</v>
      </c>
      <c r="K127" s="18"/>
    </row>
    <row r="128" spans="1:11" ht="15.75" customHeight="1" x14ac:dyDescent="0.25">
      <c r="A128" s="19">
        <v>127</v>
      </c>
      <c r="B128" s="19" t="s">
        <v>279</v>
      </c>
      <c r="C128" s="19" t="s">
        <v>2263</v>
      </c>
      <c r="D128" s="19" t="s">
        <v>2264</v>
      </c>
      <c r="E128" s="19"/>
      <c r="F128" s="20">
        <v>40725</v>
      </c>
      <c r="G128" s="18">
        <v>1</v>
      </c>
      <c r="H128" s="18">
        <v>1</v>
      </c>
      <c r="I128" s="18">
        <v>0</v>
      </c>
      <c r="J128" s="18">
        <v>1</v>
      </c>
      <c r="K128" s="18"/>
    </row>
    <row r="129" spans="1:11" ht="15.75" customHeight="1" x14ac:dyDescent="0.25">
      <c r="A129" s="19">
        <v>128</v>
      </c>
      <c r="B129" s="19" t="s">
        <v>281</v>
      </c>
      <c r="C129" s="19" t="s">
        <v>2261</v>
      </c>
      <c r="D129" s="19" t="s">
        <v>2262</v>
      </c>
      <c r="E129" s="20">
        <v>43252</v>
      </c>
      <c r="F129" s="19"/>
      <c r="G129" s="18">
        <v>0</v>
      </c>
      <c r="H129" s="18">
        <v>0</v>
      </c>
      <c r="I129" s="18">
        <v>0</v>
      </c>
      <c r="J129" s="18">
        <v>0</v>
      </c>
      <c r="K129" s="18"/>
    </row>
    <row r="130" spans="1:11" ht="15.75" customHeight="1" x14ac:dyDescent="0.25">
      <c r="A130" s="19">
        <v>129</v>
      </c>
      <c r="B130" s="19" t="s">
        <v>283</v>
      </c>
      <c r="C130" s="19" t="s">
        <v>2261</v>
      </c>
      <c r="D130" s="19" t="s">
        <v>2262</v>
      </c>
      <c r="E130" s="20">
        <v>43252</v>
      </c>
      <c r="F130" s="19"/>
      <c r="G130" s="18">
        <v>0</v>
      </c>
      <c r="H130" s="18">
        <v>0</v>
      </c>
      <c r="I130" s="18">
        <v>0</v>
      </c>
      <c r="J130" s="18">
        <v>0</v>
      </c>
      <c r="K130" s="18"/>
    </row>
    <row r="131" spans="1:11" ht="15.75" customHeight="1" x14ac:dyDescent="0.25">
      <c r="A131" s="19">
        <v>130</v>
      </c>
      <c r="B131" s="19" t="s">
        <v>285</v>
      </c>
      <c r="C131" s="19" t="s">
        <v>2261</v>
      </c>
      <c r="D131" s="19" t="s">
        <v>2262</v>
      </c>
      <c r="E131" s="20">
        <v>43252</v>
      </c>
      <c r="F131" s="19"/>
      <c r="G131" s="18">
        <v>0</v>
      </c>
      <c r="H131" s="18">
        <v>0</v>
      </c>
      <c r="I131" s="18">
        <v>0</v>
      </c>
      <c r="J131" s="18">
        <v>0</v>
      </c>
      <c r="K131" s="18"/>
    </row>
    <row r="132" spans="1:11" ht="15.75" customHeight="1" x14ac:dyDescent="0.25">
      <c r="A132" s="19">
        <v>131</v>
      </c>
      <c r="B132" s="19" t="s">
        <v>287</v>
      </c>
      <c r="C132" s="19" t="s">
        <v>2261</v>
      </c>
      <c r="D132" s="19" t="s">
        <v>2262</v>
      </c>
      <c r="E132" s="20">
        <v>43252</v>
      </c>
      <c r="F132" s="19"/>
      <c r="G132" s="18">
        <v>0</v>
      </c>
      <c r="H132" s="18">
        <v>0</v>
      </c>
      <c r="I132" s="18">
        <v>0</v>
      </c>
      <c r="J132" s="18">
        <v>0</v>
      </c>
      <c r="K132" s="18"/>
    </row>
    <row r="133" spans="1:11" ht="15.75" customHeight="1" x14ac:dyDescent="0.25">
      <c r="A133" s="19">
        <v>132</v>
      </c>
      <c r="B133" s="19" t="s">
        <v>289</v>
      </c>
      <c r="C133" s="19" t="s">
        <v>2263</v>
      </c>
      <c r="D133" s="19" t="s">
        <v>2264</v>
      </c>
      <c r="E133" s="19"/>
      <c r="F133" s="19" t="s">
        <v>2273</v>
      </c>
      <c r="G133" s="18">
        <v>0</v>
      </c>
      <c r="H133" s="18">
        <v>0</v>
      </c>
      <c r="I133" s="18">
        <v>1</v>
      </c>
      <c r="J133" s="18">
        <v>1</v>
      </c>
      <c r="K133" s="18"/>
    </row>
    <row r="134" spans="1:11" ht="15.75" customHeight="1" x14ac:dyDescent="0.25">
      <c r="A134" s="19">
        <v>133</v>
      </c>
      <c r="B134" s="19" t="s">
        <v>293</v>
      </c>
      <c r="C134" s="19" t="s">
        <v>2261</v>
      </c>
      <c r="D134" s="19" t="s">
        <v>2262</v>
      </c>
      <c r="E134" s="20">
        <v>43252</v>
      </c>
      <c r="F134" s="19"/>
      <c r="G134" s="18">
        <v>0</v>
      </c>
      <c r="H134" s="18">
        <v>0</v>
      </c>
      <c r="I134" s="18">
        <v>0</v>
      </c>
      <c r="J134" s="18">
        <v>0</v>
      </c>
      <c r="K134" s="18"/>
    </row>
    <row r="135" spans="1:11" ht="15.75" customHeight="1" x14ac:dyDescent="0.25">
      <c r="A135" s="19">
        <v>134</v>
      </c>
      <c r="B135" s="19" t="s">
        <v>296</v>
      </c>
      <c r="C135" s="19" t="s">
        <v>2261</v>
      </c>
      <c r="D135" s="19" t="s">
        <v>2262</v>
      </c>
      <c r="E135" s="20">
        <v>43252</v>
      </c>
      <c r="F135" s="19"/>
      <c r="G135" s="18">
        <v>0</v>
      </c>
      <c r="H135" s="18">
        <v>0</v>
      </c>
      <c r="I135" s="18">
        <v>0</v>
      </c>
      <c r="J135" s="18">
        <v>0</v>
      </c>
      <c r="K135" s="18"/>
    </row>
    <row r="136" spans="1:11" ht="15.75" customHeight="1" x14ac:dyDescent="0.25">
      <c r="A136" s="19">
        <v>135</v>
      </c>
      <c r="B136" s="19" t="s">
        <v>298</v>
      </c>
      <c r="C136" s="19" t="s">
        <v>2261</v>
      </c>
      <c r="D136" s="19" t="s">
        <v>2262</v>
      </c>
      <c r="E136" s="20">
        <v>43252</v>
      </c>
      <c r="F136" s="19"/>
      <c r="G136" s="18">
        <v>0</v>
      </c>
      <c r="H136" s="18">
        <v>1</v>
      </c>
      <c r="I136" s="18">
        <v>0</v>
      </c>
      <c r="J136" s="18">
        <v>1</v>
      </c>
      <c r="K136" s="18"/>
    </row>
    <row r="137" spans="1:11" ht="15.75" customHeight="1" x14ac:dyDescent="0.25">
      <c r="A137" s="19">
        <v>136</v>
      </c>
      <c r="B137" s="19" t="s">
        <v>300</v>
      </c>
      <c r="C137" s="19" t="s">
        <v>2263</v>
      </c>
      <c r="D137" s="19" t="s">
        <v>2264</v>
      </c>
      <c r="E137" s="19"/>
      <c r="F137" s="19">
        <v>2015</v>
      </c>
      <c r="G137" s="18">
        <v>0</v>
      </c>
      <c r="H137" s="18">
        <v>0</v>
      </c>
      <c r="I137" s="18">
        <v>1</v>
      </c>
      <c r="J137" s="18">
        <v>1</v>
      </c>
      <c r="K137" s="18"/>
    </row>
    <row r="138" spans="1:11" ht="15.75" customHeight="1" x14ac:dyDescent="0.25">
      <c r="A138" s="19">
        <v>137</v>
      </c>
      <c r="B138" s="19" t="s">
        <v>302</v>
      </c>
      <c r="C138" s="19" t="s">
        <v>2263</v>
      </c>
      <c r="D138" s="19" t="s">
        <v>2264</v>
      </c>
      <c r="E138" s="19"/>
      <c r="F138" s="20">
        <v>40026</v>
      </c>
      <c r="G138" s="18">
        <v>1</v>
      </c>
      <c r="H138" s="18">
        <v>1</v>
      </c>
      <c r="I138" s="18">
        <v>1</v>
      </c>
      <c r="J138" s="18">
        <v>1</v>
      </c>
      <c r="K138" s="18"/>
    </row>
    <row r="139" spans="1:11" ht="15.75" customHeight="1" x14ac:dyDescent="0.25">
      <c r="A139" s="19">
        <v>138</v>
      </c>
      <c r="B139" s="19" t="s">
        <v>306</v>
      </c>
      <c r="C139" s="19" t="s">
        <v>2261</v>
      </c>
      <c r="D139" s="19" t="s">
        <v>2262</v>
      </c>
      <c r="E139" s="20">
        <v>43252</v>
      </c>
      <c r="F139" s="19"/>
      <c r="G139" s="18">
        <v>0</v>
      </c>
      <c r="H139" s="18">
        <v>0</v>
      </c>
      <c r="I139" s="18">
        <v>0</v>
      </c>
      <c r="J139" s="18">
        <v>0</v>
      </c>
      <c r="K139" s="18"/>
    </row>
    <row r="140" spans="1:11" ht="15.75" customHeight="1" x14ac:dyDescent="0.25">
      <c r="A140" s="19">
        <v>139</v>
      </c>
      <c r="B140" s="19" t="s">
        <v>308</v>
      </c>
      <c r="C140" s="19" t="s">
        <v>2261</v>
      </c>
      <c r="D140" s="19" t="s">
        <v>2262</v>
      </c>
      <c r="E140" s="20">
        <v>43252</v>
      </c>
      <c r="F140" s="19"/>
      <c r="G140" s="18">
        <v>0</v>
      </c>
      <c r="H140" s="18">
        <v>0</v>
      </c>
      <c r="I140" s="18">
        <v>0</v>
      </c>
      <c r="J140" s="18">
        <v>0</v>
      </c>
      <c r="K140" s="18"/>
    </row>
    <row r="141" spans="1:11" ht="15.75" customHeight="1" x14ac:dyDescent="0.25">
      <c r="A141" s="19">
        <v>140</v>
      </c>
      <c r="B141" s="19" t="s">
        <v>310</v>
      </c>
      <c r="C141" s="19" t="s">
        <v>2263</v>
      </c>
      <c r="D141" s="19" t="s">
        <v>2264</v>
      </c>
      <c r="E141" s="19"/>
      <c r="F141" s="19">
        <v>2015</v>
      </c>
      <c r="G141" s="18">
        <v>0</v>
      </c>
      <c r="H141" s="18">
        <v>0</v>
      </c>
      <c r="I141" s="18">
        <v>0</v>
      </c>
      <c r="J141" s="18">
        <v>1</v>
      </c>
      <c r="K141" s="18"/>
    </row>
    <row r="142" spans="1:11" ht="15.75" customHeight="1" x14ac:dyDescent="0.25">
      <c r="A142" s="19">
        <v>141</v>
      </c>
      <c r="B142" s="19" t="s">
        <v>312</v>
      </c>
      <c r="C142" s="19" t="s">
        <v>2261</v>
      </c>
      <c r="D142" s="19" t="s">
        <v>2262</v>
      </c>
      <c r="E142" s="20">
        <v>43252</v>
      </c>
      <c r="F142" s="19"/>
      <c r="G142" s="18">
        <v>0</v>
      </c>
      <c r="H142" s="18">
        <v>0</v>
      </c>
      <c r="I142" s="18">
        <v>0</v>
      </c>
      <c r="J142" s="18">
        <v>0</v>
      </c>
      <c r="K142" s="18"/>
    </row>
    <row r="143" spans="1:11" ht="15.75" customHeight="1" x14ac:dyDescent="0.25">
      <c r="A143" s="19">
        <v>142</v>
      </c>
      <c r="B143" s="19" t="s">
        <v>314</v>
      </c>
      <c r="C143" s="19" t="s">
        <v>2261</v>
      </c>
      <c r="D143" s="19" t="s">
        <v>2262</v>
      </c>
      <c r="E143" s="20">
        <v>43252</v>
      </c>
      <c r="F143" s="19"/>
      <c r="G143" s="18">
        <v>0</v>
      </c>
      <c r="H143" s="18">
        <v>0</v>
      </c>
      <c r="I143" s="18">
        <v>0</v>
      </c>
      <c r="J143" s="18">
        <v>0</v>
      </c>
      <c r="K143" s="18"/>
    </row>
    <row r="144" spans="1:11" ht="15.75" customHeight="1" x14ac:dyDescent="0.25">
      <c r="A144" s="19">
        <v>143</v>
      </c>
      <c r="B144" s="19" t="s">
        <v>316</v>
      </c>
      <c r="C144" s="19" t="s">
        <v>2263</v>
      </c>
      <c r="D144" s="19" t="s">
        <v>2264</v>
      </c>
      <c r="E144" s="19"/>
      <c r="F144" s="19" t="s">
        <v>2269</v>
      </c>
      <c r="G144" s="18">
        <v>0</v>
      </c>
      <c r="H144" s="18">
        <v>0</v>
      </c>
      <c r="I144" s="18">
        <v>0</v>
      </c>
      <c r="J144" s="18">
        <v>1</v>
      </c>
      <c r="K144" s="18"/>
    </row>
    <row r="145" spans="1:11" ht="15.75" customHeight="1" x14ac:dyDescent="0.25">
      <c r="A145" s="19">
        <v>144</v>
      </c>
      <c r="B145" s="19" t="s">
        <v>318</v>
      </c>
      <c r="C145" s="19" t="s">
        <v>2261</v>
      </c>
      <c r="D145" s="19" t="s">
        <v>2262</v>
      </c>
      <c r="E145" s="20">
        <v>43252</v>
      </c>
      <c r="F145" s="19"/>
      <c r="G145" s="18">
        <v>0</v>
      </c>
      <c r="H145" s="18">
        <v>0</v>
      </c>
      <c r="I145" s="18">
        <v>0</v>
      </c>
      <c r="J145" s="18">
        <v>0</v>
      </c>
      <c r="K145" s="18"/>
    </row>
    <row r="146" spans="1:11" ht="15.75" customHeight="1" x14ac:dyDescent="0.25">
      <c r="A146" s="19">
        <v>145</v>
      </c>
      <c r="B146" s="19" t="s">
        <v>320</v>
      </c>
      <c r="C146" s="19" t="s">
        <v>2261</v>
      </c>
      <c r="D146" s="19" t="s">
        <v>2262</v>
      </c>
      <c r="E146" s="20">
        <v>43252</v>
      </c>
      <c r="F146" s="19"/>
      <c r="G146" s="18">
        <v>0</v>
      </c>
      <c r="H146" s="18">
        <v>0</v>
      </c>
      <c r="I146" s="18">
        <v>0</v>
      </c>
      <c r="J146" s="18">
        <v>0</v>
      </c>
      <c r="K146" s="18"/>
    </row>
    <row r="147" spans="1:11" ht="15.75" customHeight="1" x14ac:dyDescent="0.25">
      <c r="A147" s="19">
        <v>146</v>
      </c>
      <c r="B147" s="19" t="s">
        <v>324</v>
      </c>
      <c r="C147" s="19" t="s">
        <v>2261</v>
      </c>
      <c r="D147" s="19" t="s">
        <v>2262</v>
      </c>
      <c r="E147" s="20">
        <v>43252</v>
      </c>
      <c r="F147" s="19"/>
      <c r="G147" s="18">
        <v>0</v>
      </c>
      <c r="H147" s="18">
        <v>0</v>
      </c>
      <c r="I147" s="18">
        <v>1</v>
      </c>
      <c r="J147" s="18">
        <v>1</v>
      </c>
      <c r="K147" s="18"/>
    </row>
    <row r="148" spans="1:11" ht="15.75" customHeight="1" x14ac:dyDescent="0.25">
      <c r="A148" s="19">
        <v>147</v>
      </c>
      <c r="B148" s="19" t="s">
        <v>322</v>
      </c>
      <c r="C148" s="19" t="s">
        <v>2261</v>
      </c>
      <c r="D148" s="19" t="s">
        <v>2262</v>
      </c>
      <c r="E148" s="20">
        <v>43252</v>
      </c>
      <c r="F148" s="19"/>
      <c r="G148" s="18">
        <v>0</v>
      </c>
      <c r="H148" s="18">
        <v>0</v>
      </c>
      <c r="I148" s="18">
        <v>0</v>
      </c>
      <c r="J148" s="18">
        <v>0</v>
      </c>
      <c r="K148" s="18"/>
    </row>
    <row r="149" spans="1:11" ht="15.75" customHeight="1" x14ac:dyDescent="0.25">
      <c r="A149" s="19">
        <v>148</v>
      </c>
      <c r="B149" s="19" t="s">
        <v>324</v>
      </c>
      <c r="C149" s="19" t="s">
        <v>2261</v>
      </c>
      <c r="D149" s="19" t="s">
        <v>2262</v>
      </c>
      <c r="E149" s="20">
        <v>43252</v>
      </c>
      <c r="F149" s="19"/>
      <c r="G149" s="18">
        <v>0</v>
      </c>
      <c r="H149" s="18">
        <v>0</v>
      </c>
      <c r="I149" s="18">
        <v>1</v>
      </c>
      <c r="J149" s="18">
        <v>1</v>
      </c>
      <c r="K149" s="18"/>
    </row>
    <row r="150" spans="1:11" ht="15.75" customHeight="1" x14ac:dyDescent="0.25">
      <c r="A150" s="19">
        <v>149</v>
      </c>
      <c r="B150" s="19" t="s">
        <v>326</v>
      </c>
      <c r="C150" s="19" t="s">
        <v>2261</v>
      </c>
      <c r="D150" s="19" t="s">
        <v>2262</v>
      </c>
      <c r="E150" s="20">
        <v>43252</v>
      </c>
      <c r="F150" s="19"/>
      <c r="G150" s="18">
        <v>0</v>
      </c>
      <c r="H150" s="18">
        <v>0</v>
      </c>
      <c r="I150" s="18">
        <v>0</v>
      </c>
      <c r="J150" s="18">
        <v>0</v>
      </c>
      <c r="K150" s="18"/>
    </row>
    <row r="151" spans="1:11" ht="15.75" customHeight="1" x14ac:dyDescent="0.25">
      <c r="A151" s="19">
        <v>150</v>
      </c>
      <c r="B151" s="19" t="s">
        <v>328</v>
      </c>
      <c r="C151" s="19" t="s">
        <v>2261</v>
      </c>
      <c r="D151" s="19" t="s">
        <v>2262</v>
      </c>
      <c r="E151" s="20">
        <v>43252</v>
      </c>
      <c r="F151" s="19"/>
      <c r="G151" s="18">
        <v>0</v>
      </c>
      <c r="H151" s="18">
        <v>0</v>
      </c>
      <c r="I151" s="18">
        <v>1</v>
      </c>
      <c r="J151" s="18">
        <v>0</v>
      </c>
      <c r="K151" s="18"/>
    </row>
    <row r="152" spans="1:11" ht="15.75" customHeight="1" x14ac:dyDescent="0.25">
      <c r="A152" s="19">
        <v>151</v>
      </c>
      <c r="B152" s="19" t="s">
        <v>330</v>
      </c>
      <c r="C152" s="19" t="s">
        <v>2263</v>
      </c>
      <c r="D152" s="19" t="s">
        <v>2264</v>
      </c>
      <c r="E152" s="19"/>
      <c r="F152" s="20">
        <v>40026</v>
      </c>
      <c r="G152" s="18">
        <v>1</v>
      </c>
      <c r="H152" s="18">
        <v>1</v>
      </c>
      <c r="I152" s="18">
        <v>1</v>
      </c>
      <c r="J152" s="18">
        <v>1</v>
      </c>
      <c r="K152" s="18"/>
    </row>
    <row r="153" spans="1:11" ht="15.75" customHeight="1" x14ac:dyDescent="0.25">
      <c r="A153" s="19">
        <v>152</v>
      </c>
      <c r="B153" s="19" t="s">
        <v>332</v>
      </c>
      <c r="C153" s="19" t="s">
        <v>2261</v>
      </c>
      <c r="D153" s="19" t="s">
        <v>2262</v>
      </c>
      <c r="E153" s="20">
        <v>43252</v>
      </c>
      <c r="F153" s="19"/>
      <c r="G153" s="18">
        <v>0</v>
      </c>
      <c r="H153" s="18">
        <v>0</v>
      </c>
      <c r="I153" s="18">
        <v>0</v>
      </c>
      <c r="J153" s="18">
        <v>0</v>
      </c>
      <c r="K153" s="18"/>
    </row>
    <row r="154" spans="1:11" ht="15.75" customHeight="1" x14ac:dyDescent="0.25">
      <c r="A154" s="19">
        <v>153</v>
      </c>
      <c r="B154" s="19" t="s">
        <v>334</v>
      </c>
      <c r="C154" s="19" t="s">
        <v>2261</v>
      </c>
      <c r="D154" s="19" t="s">
        <v>2262</v>
      </c>
      <c r="E154" s="20">
        <v>43252</v>
      </c>
      <c r="F154" s="19"/>
      <c r="G154" s="18">
        <v>0</v>
      </c>
      <c r="H154" s="18">
        <v>0</v>
      </c>
      <c r="I154" s="18">
        <v>0</v>
      </c>
      <c r="J154" s="18">
        <v>0</v>
      </c>
      <c r="K154" s="18"/>
    </row>
    <row r="155" spans="1:11" ht="15.75" customHeight="1" x14ac:dyDescent="0.25">
      <c r="A155" s="19">
        <v>154</v>
      </c>
      <c r="B155" s="19" t="s">
        <v>336</v>
      </c>
      <c r="C155" s="19" t="s">
        <v>2261</v>
      </c>
      <c r="D155" s="19" t="s">
        <v>2262</v>
      </c>
      <c r="E155" s="20">
        <v>43252</v>
      </c>
      <c r="F155" s="19"/>
      <c r="G155" s="18">
        <v>0</v>
      </c>
      <c r="H155" s="18">
        <v>0</v>
      </c>
      <c r="I155" s="18">
        <v>1</v>
      </c>
      <c r="J155" s="18">
        <v>0</v>
      </c>
      <c r="K155" s="18"/>
    </row>
    <row r="156" spans="1:11" ht="15.75" customHeight="1" x14ac:dyDescent="0.25">
      <c r="A156" s="19">
        <v>155</v>
      </c>
      <c r="B156" s="19" t="s">
        <v>2226</v>
      </c>
      <c r="C156" s="19" t="s">
        <v>2261</v>
      </c>
      <c r="D156" s="19" t="s">
        <v>2262</v>
      </c>
      <c r="E156" s="20">
        <v>43252</v>
      </c>
      <c r="F156" s="19"/>
      <c r="G156" s="18">
        <v>0</v>
      </c>
      <c r="H156" s="18">
        <v>1</v>
      </c>
      <c r="I156" s="18">
        <v>0</v>
      </c>
      <c r="J156" s="18">
        <v>1</v>
      </c>
      <c r="K156" s="18"/>
    </row>
    <row r="157" spans="1:11" ht="15.75" customHeight="1" x14ac:dyDescent="0.25">
      <c r="A157" s="19">
        <v>156</v>
      </c>
      <c r="B157" s="24" t="s">
        <v>338</v>
      </c>
      <c r="C157" s="25" t="s">
        <v>2263</v>
      </c>
      <c r="D157" s="21" t="s">
        <v>2266</v>
      </c>
      <c r="E157" s="19"/>
      <c r="F157" s="19"/>
      <c r="G157" s="18">
        <v>0</v>
      </c>
      <c r="H157" s="18">
        <v>0</v>
      </c>
      <c r="I157" s="18">
        <v>0</v>
      </c>
      <c r="J157" s="18">
        <v>1</v>
      </c>
      <c r="K157" s="18"/>
    </row>
    <row r="158" spans="1:11" ht="15.75" customHeight="1" x14ac:dyDescent="0.25">
      <c r="A158" s="19">
        <v>157</v>
      </c>
      <c r="B158" s="19" t="s">
        <v>2274</v>
      </c>
      <c r="C158" s="19" t="s">
        <v>2261</v>
      </c>
      <c r="D158" s="19" t="s">
        <v>2262</v>
      </c>
      <c r="E158" s="20">
        <v>43252</v>
      </c>
      <c r="F158" s="19"/>
      <c r="G158" s="18">
        <v>0</v>
      </c>
      <c r="H158" s="18">
        <v>0</v>
      </c>
      <c r="I158" s="18">
        <v>0</v>
      </c>
      <c r="J158" s="18">
        <v>0</v>
      </c>
      <c r="K158" s="18"/>
    </row>
    <row r="159" spans="1:11" ht="15.75" customHeight="1" x14ac:dyDescent="0.25">
      <c r="A159" s="19">
        <v>158</v>
      </c>
      <c r="B159" s="19" t="s">
        <v>342</v>
      </c>
      <c r="C159" s="19" t="s">
        <v>2261</v>
      </c>
      <c r="D159" s="19" t="s">
        <v>2262</v>
      </c>
      <c r="E159" s="20">
        <v>43252</v>
      </c>
      <c r="F159" s="19"/>
      <c r="G159" s="18">
        <v>0</v>
      </c>
      <c r="H159" s="18">
        <v>0</v>
      </c>
      <c r="I159" s="18">
        <v>0</v>
      </c>
      <c r="J159" s="18">
        <v>0</v>
      </c>
      <c r="K159" s="18"/>
    </row>
    <row r="160" spans="1:11" ht="15.75" customHeight="1" x14ac:dyDescent="0.25">
      <c r="A160" s="19">
        <v>159</v>
      </c>
      <c r="B160" s="19" t="s">
        <v>2275</v>
      </c>
      <c r="C160" s="19" t="s">
        <v>2261</v>
      </c>
      <c r="D160" s="19" t="s">
        <v>2262</v>
      </c>
      <c r="E160" s="20">
        <v>43252</v>
      </c>
      <c r="F160" s="19"/>
      <c r="G160" s="18">
        <v>0</v>
      </c>
      <c r="H160" s="18">
        <v>0</v>
      </c>
      <c r="I160" s="18">
        <v>1</v>
      </c>
      <c r="J160" s="18">
        <v>1</v>
      </c>
      <c r="K160" s="18"/>
    </row>
    <row r="161" spans="1:11" ht="15.75" customHeight="1" x14ac:dyDescent="0.25">
      <c r="A161" s="19">
        <v>160</v>
      </c>
      <c r="B161" s="19" t="s">
        <v>640</v>
      </c>
      <c r="C161" s="19" t="s">
        <v>2261</v>
      </c>
      <c r="D161" s="19" t="s">
        <v>2262</v>
      </c>
      <c r="E161" s="20">
        <v>43252</v>
      </c>
      <c r="F161" s="19"/>
      <c r="G161" s="18">
        <v>0</v>
      </c>
      <c r="H161" s="18">
        <v>0</v>
      </c>
      <c r="I161" s="18">
        <v>0</v>
      </c>
      <c r="J161" s="18">
        <v>0</v>
      </c>
      <c r="K161" s="18"/>
    </row>
    <row r="162" spans="1:11" ht="15.75" customHeight="1" x14ac:dyDescent="0.25">
      <c r="A162" s="19">
        <v>161</v>
      </c>
      <c r="B162" s="19" t="s">
        <v>344</v>
      </c>
      <c r="C162" s="19" t="s">
        <v>2261</v>
      </c>
      <c r="D162" s="19" t="s">
        <v>2262</v>
      </c>
      <c r="E162" s="20">
        <v>43252</v>
      </c>
      <c r="F162" s="19"/>
      <c r="G162" s="18">
        <v>0</v>
      </c>
      <c r="H162" s="18">
        <v>0</v>
      </c>
      <c r="I162" s="18">
        <v>0</v>
      </c>
      <c r="J162" s="18">
        <v>0</v>
      </c>
      <c r="K162" s="18"/>
    </row>
    <row r="163" spans="1:11" ht="15.75" customHeight="1" x14ac:dyDescent="0.25">
      <c r="A163" s="19">
        <v>162</v>
      </c>
      <c r="B163" s="19" t="s">
        <v>346</v>
      </c>
      <c r="C163" s="19" t="s">
        <v>2261</v>
      </c>
      <c r="D163" s="19" t="s">
        <v>2262</v>
      </c>
      <c r="E163" s="20">
        <v>43252</v>
      </c>
      <c r="F163" s="19"/>
      <c r="G163" s="18">
        <v>0</v>
      </c>
      <c r="H163" s="18">
        <v>0</v>
      </c>
      <c r="I163" s="18">
        <v>0</v>
      </c>
      <c r="J163" s="18">
        <v>0</v>
      </c>
      <c r="K163" s="18"/>
    </row>
    <row r="164" spans="1:11" ht="15.75" customHeight="1" x14ac:dyDescent="0.25">
      <c r="A164" s="19">
        <v>163</v>
      </c>
      <c r="B164" s="19" t="s">
        <v>348</v>
      </c>
      <c r="C164" s="19" t="s">
        <v>2261</v>
      </c>
      <c r="D164" s="19" t="s">
        <v>2262</v>
      </c>
      <c r="E164" s="20">
        <v>43252</v>
      </c>
      <c r="F164" s="19"/>
      <c r="G164" s="18">
        <v>0</v>
      </c>
      <c r="H164" s="18">
        <v>1</v>
      </c>
      <c r="I164" s="18">
        <v>0</v>
      </c>
      <c r="J164" s="18">
        <v>1</v>
      </c>
      <c r="K164" s="18"/>
    </row>
    <row r="165" spans="1:11" ht="15.75" customHeight="1" x14ac:dyDescent="0.25">
      <c r="A165" s="19">
        <v>164</v>
      </c>
      <c r="B165" s="19" t="s">
        <v>350</v>
      </c>
      <c r="C165" s="19" t="s">
        <v>2261</v>
      </c>
      <c r="D165" s="19" t="s">
        <v>2262</v>
      </c>
      <c r="E165" s="20">
        <v>43252</v>
      </c>
      <c r="F165" s="19"/>
      <c r="G165" s="18">
        <v>0</v>
      </c>
      <c r="H165" s="18">
        <v>0</v>
      </c>
      <c r="I165" s="18">
        <v>0</v>
      </c>
      <c r="J165" s="18">
        <v>0</v>
      </c>
      <c r="K165" s="18"/>
    </row>
    <row r="166" spans="1:11" ht="15.75" customHeight="1" x14ac:dyDescent="0.25">
      <c r="A166" s="19">
        <v>165</v>
      </c>
      <c r="B166" s="19" t="s">
        <v>353</v>
      </c>
      <c r="C166" s="19" t="s">
        <v>2261</v>
      </c>
      <c r="D166" s="19" t="s">
        <v>2262</v>
      </c>
      <c r="E166" s="20">
        <v>43252</v>
      </c>
      <c r="F166" s="19"/>
      <c r="G166" s="18">
        <v>0</v>
      </c>
      <c r="H166" s="18">
        <v>0</v>
      </c>
      <c r="I166" s="18">
        <v>0</v>
      </c>
      <c r="J166" s="18">
        <v>0</v>
      </c>
      <c r="K166" s="18"/>
    </row>
    <row r="167" spans="1:11" ht="15.75" customHeight="1" x14ac:dyDescent="0.25">
      <c r="A167" s="19">
        <v>166</v>
      </c>
      <c r="B167" s="19" t="s">
        <v>355</v>
      </c>
      <c r="C167" s="19" t="s">
        <v>2261</v>
      </c>
      <c r="D167" s="19" t="s">
        <v>2262</v>
      </c>
      <c r="E167" s="20">
        <v>43252</v>
      </c>
      <c r="F167" s="19"/>
      <c r="G167" s="18">
        <v>0</v>
      </c>
      <c r="H167" s="18">
        <v>0</v>
      </c>
      <c r="I167" s="18">
        <v>0</v>
      </c>
      <c r="J167" s="18">
        <v>0</v>
      </c>
      <c r="K167" s="18"/>
    </row>
    <row r="168" spans="1:11" ht="15.75" customHeight="1" x14ac:dyDescent="0.25">
      <c r="A168" s="19">
        <v>167</v>
      </c>
      <c r="B168" s="19" t="s">
        <v>357</v>
      </c>
      <c r="C168" s="19" t="s">
        <v>2261</v>
      </c>
      <c r="D168" s="19" t="s">
        <v>2262</v>
      </c>
      <c r="E168" s="20">
        <v>43252</v>
      </c>
      <c r="F168" s="19"/>
      <c r="G168" s="18">
        <v>0</v>
      </c>
      <c r="H168" s="18">
        <v>0</v>
      </c>
      <c r="I168" s="18">
        <v>0</v>
      </c>
      <c r="J168" s="18">
        <v>0</v>
      </c>
      <c r="K168" s="18"/>
    </row>
    <row r="169" spans="1:11" ht="15.75" customHeight="1" x14ac:dyDescent="0.25">
      <c r="A169" s="19">
        <v>168</v>
      </c>
      <c r="B169" s="19" t="s">
        <v>359</v>
      </c>
      <c r="C169" s="19" t="s">
        <v>2261</v>
      </c>
      <c r="D169" s="19" t="s">
        <v>2262</v>
      </c>
      <c r="E169" s="20">
        <v>43252</v>
      </c>
      <c r="F169" s="19"/>
      <c r="G169" s="18">
        <v>0</v>
      </c>
      <c r="H169" s="18">
        <v>0</v>
      </c>
      <c r="I169" s="18">
        <v>0</v>
      </c>
      <c r="J169" s="18">
        <v>0</v>
      </c>
      <c r="K169" s="18"/>
    </row>
    <row r="170" spans="1:11" ht="15.75" customHeight="1" x14ac:dyDescent="0.25">
      <c r="A170" s="19">
        <v>169</v>
      </c>
      <c r="B170" s="19" t="s">
        <v>361</v>
      </c>
      <c r="C170" s="19" t="s">
        <v>2261</v>
      </c>
      <c r="D170" s="19" t="s">
        <v>2262</v>
      </c>
      <c r="E170" s="20">
        <v>43252</v>
      </c>
      <c r="F170" s="19"/>
      <c r="G170" s="18">
        <v>0</v>
      </c>
      <c r="H170" s="18">
        <v>0</v>
      </c>
      <c r="I170" s="18">
        <v>0</v>
      </c>
      <c r="J170" s="18">
        <v>0</v>
      </c>
      <c r="K170" s="18"/>
    </row>
    <row r="171" spans="1:11" ht="15.75" customHeight="1" x14ac:dyDescent="0.25">
      <c r="A171" s="19">
        <v>170</v>
      </c>
      <c r="B171" s="19" t="s">
        <v>363</v>
      </c>
      <c r="C171" s="19" t="s">
        <v>2261</v>
      </c>
      <c r="D171" s="19" t="s">
        <v>2262</v>
      </c>
      <c r="E171" s="20">
        <v>43252</v>
      </c>
      <c r="F171" s="19"/>
      <c r="G171" s="18">
        <v>0</v>
      </c>
      <c r="H171" s="18">
        <v>0</v>
      </c>
      <c r="I171" s="18">
        <v>0</v>
      </c>
      <c r="J171" s="18">
        <v>0</v>
      </c>
      <c r="K171" s="18"/>
    </row>
    <row r="172" spans="1:11" ht="15.75" customHeight="1" x14ac:dyDescent="0.25">
      <c r="A172" s="19">
        <v>171</v>
      </c>
      <c r="B172" s="19" t="s">
        <v>365</v>
      </c>
      <c r="C172" s="19" t="s">
        <v>2263</v>
      </c>
      <c r="D172" s="19" t="s">
        <v>2264</v>
      </c>
      <c r="E172" s="19"/>
      <c r="F172" s="20">
        <v>40026</v>
      </c>
      <c r="G172" s="18">
        <v>1</v>
      </c>
      <c r="H172" s="18">
        <v>1</v>
      </c>
      <c r="I172" s="18">
        <v>1</v>
      </c>
      <c r="J172" s="18">
        <v>1</v>
      </c>
      <c r="K172" s="18"/>
    </row>
    <row r="173" spans="1:11" ht="15.75" customHeight="1" x14ac:dyDescent="0.25">
      <c r="A173" s="19">
        <v>172</v>
      </c>
      <c r="B173" s="19" t="s">
        <v>367</v>
      </c>
      <c r="C173" s="19" t="s">
        <v>2261</v>
      </c>
      <c r="D173" s="19" t="s">
        <v>2262</v>
      </c>
      <c r="E173" s="20">
        <v>43252</v>
      </c>
      <c r="F173" s="19"/>
      <c r="G173" s="18">
        <v>0</v>
      </c>
      <c r="H173" s="18">
        <v>0</v>
      </c>
      <c r="I173" s="18">
        <v>0</v>
      </c>
      <c r="J173" s="18">
        <v>0</v>
      </c>
      <c r="K173" s="18"/>
    </row>
    <row r="174" spans="1:11" ht="15.75" customHeight="1" x14ac:dyDescent="0.25">
      <c r="A174" s="19">
        <v>173</v>
      </c>
      <c r="B174" s="19" t="s">
        <v>369</v>
      </c>
      <c r="C174" s="23" t="s">
        <v>2263</v>
      </c>
      <c r="D174" s="21" t="s">
        <v>2266</v>
      </c>
      <c r="E174" s="19"/>
      <c r="F174" s="19"/>
      <c r="G174" s="18">
        <v>0</v>
      </c>
      <c r="H174" s="18">
        <v>0</v>
      </c>
      <c r="I174" s="18">
        <v>0</v>
      </c>
      <c r="J174" s="18">
        <v>1</v>
      </c>
      <c r="K174" s="18"/>
    </row>
    <row r="175" spans="1:11" ht="15.75" customHeight="1" x14ac:dyDescent="0.25">
      <c r="A175" s="19">
        <v>174</v>
      </c>
      <c r="B175" s="19" t="s">
        <v>371</v>
      </c>
      <c r="C175" s="19" t="s">
        <v>2261</v>
      </c>
      <c r="D175" s="19" t="s">
        <v>2262</v>
      </c>
      <c r="E175" s="20">
        <v>43252</v>
      </c>
      <c r="F175" s="19"/>
      <c r="G175" s="18">
        <v>0</v>
      </c>
      <c r="H175" s="18">
        <v>0</v>
      </c>
      <c r="I175" s="18">
        <v>0</v>
      </c>
      <c r="J175" s="18">
        <v>0</v>
      </c>
      <c r="K175" s="18"/>
    </row>
    <row r="176" spans="1:11" ht="15.75" customHeight="1" x14ac:dyDescent="0.25">
      <c r="A176" s="19">
        <v>175</v>
      </c>
      <c r="B176" s="19" t="s">
        <v>373</v>
      </c>
      <c r="C176" s="19" t="s">
        <v>2263</v>
      </c>
      <c r="D176" s="19" t="s">
        <v>2264</v>
      </c>
      <c r="E176" s="19"/>
      <c r="F176" s="20">
        <v>40725</v>
      </c>
      <c r="G176" s="18">
        <v>0</v>
      </c>
      <c r="H176" s="18">
        <v>1</v>
      </c>
      <c r="I176" s="18">
        <v>0</v>
      </c>
      <c r="J176" s="18">
        <v>1</v>
      </c>
      <c r="K176" s="18"/>
    </row>
    <row r="177" spans="1:11" ht="15.75" customHeight="1" x14ac:dyDescent="0.25">
      <c r="A177" s="19">
        <v>176</v>
      </c>
      <c r="B177" s="19" t="s">
        <v>375</v>
      </c>
      <c r="C177" s="19" t="s">
        <v>2261</v>
      </c>
      <c r="D177" s="19" t="s">
        <v>2262</v>
      </c>
      <c r="E177" s="20">
        <v>43252</v>
      </c>
      <c r="F177" s="19"/>
      <c r="G177" s="18">
        <v>0</v>
      </c>
      <c r="H177" s="18">
        <v>1</v>
      </c>
      <c r="I177" s="18">
        <v>0</v>
      </c>
      <c r="J177" s="18">
        <v>0</v>
      </c>
      <c r="K177" s="18"/>
    </row>
    <row r="178" spans="1:11" ht="15.75" customHeight="1" x14ac:dyDescent="0.25">
      <c r="A178" s="19">
        <v>177</v>
      </c>
      <c r="B178" s="19" t="s">
        <v>377</v>
      </c>
      <c r="C178" s="19" t="s">
        <v>2261</v>
      </c>
      <c r="D178" s="19" t="s">
        <v>2262</v>
      </c>
      <c r="E178" s="20">
        <v>43252</v>
      </c>
      <c r="F178" s="19"/>
      <c r="G178" s="18">
        <v>0</v>
      </c>
      <c r="H178" s="18">
        <v>0</v>
      </c>
      <c r="I178" s="18">
        <v>0</v>
      </c>
      <c r="J178" s="18">
        <v>0</v>
      </c>
      <c r="K178" s="18"/>
    </row>
    <row r="179" spans="1:11" ht="15.75" customHeight="1" x14ac:dyDescent="0.25">
      <c r="A179" s="19">
        <v>178</v>
      </c>
      <c r="B179" s="19" t="s">
        <v>381</v>
      </c>
      <c r="C179" s="19" t="s">
        <v>2261</v>
      </c>
      <c r="D179" s="19" t="s">
        <v>2262</v>
      </c>
      <c r="E179" s="20">
        <v>43252</v>
      </c>
      <c r="F179" s="19"/>
      <c r="G179" s="18">
        <v>0</v>
      </c>
      <c r="H179" s="18">
        <v>0</v>
      </c>
      <c r="I179" s="18">
        <v>0</v>
      </c>
      <c r="J179" s="18">
        <v>0</v>
      </c>
      <c r="K179" s="18"/>
    </row>
    <row r="180" spans="1:11" ht="15.75" customHeight="1" x14ac:dyDescent="0.25">
      <c r="A180" s="19">
        <v>179</v>
      </c>
      <c r="B180" s="19" t="s">
        <v>379</v>
      </c>
      <c r="C180" s="19"/>
      <c r="D180" s="19"/>
      <c r="E180" s="19"/>
      <c r="F180" s="19"/>
      <c r="G180" s="18">
        <v>0</v>
      </c>
      <c r="H180" s="18">
        <v>0</v>
      </c>
      <c r="I180" s="18">
        <v>0</v>
      </c>
      <c r="J180" s="18">
        <v>0</v>
      </c>
      <c r="K180" s="18"/>
    </row>
    <row r="181" spans="1:11" ht="15.75" customHeight="1" x14ac:dyDescent="0.25">
      <c r="A181" s="19">
        <v>180</v>
      </c>
      <c r="B181" s="19" t="s">
        <v>383</v>
      </c>
      <c r="C181" s="19" t="s">
        <v>2261</v>
      </c>
      <c r="D181" s="19" t="s">
        <v>2262</v>
      </c>
      <c r="E181" s="20">
        <v>43252</v>
      </c>
      <c r="F181" s="19"/>
      <c r="G181" s="18">
        <v>0</v>
      </c>
      <c r="H181" s="18">
        <v>1</v>
      </c>
      <c r="I181" s="18">
        <v>1</v>
      </c>
      <c r="J181" s="18">
        <v>1</v>
      </c>
      <c r="K181" s="18"/>
    </row>
    <row r="182" spans="1:11" ht="15.75" customHeight="1" x14ac:dyDescent="0.25">
      <c r="A182" s="19">
        <v>181</v>
      </c>
      <c r="B182" s="19" t="s">
        <v>385</v>
      </c>
      <c r="C182" s="19" t="s">
        <v>2261</v>
      </c>
      <c r="D182" s="19" t="s">
        <v>2262</v>
      </c>
      <c r="E182" s="20">
        <v>43252</v>
      </c>
      <c r="F182" s="19"/>
      <c r="G182" s="18">
        <v>0</v>
      </c>
      <c r="H182" s="18">
        <v>0</v>
      </c>
      <c r="I182" s="18">
        <v>0</v>
      </c>
      <c r="J182" s="18">
        <v>0</v>
      </c>
      <c r="K182" s="18"/>
    </row>
    <row r="183" spans="1:11" ht="15.75" customHeight="1" x14ac:dyDescent="0.25">
      <c r="A183" s="19">
        <v>182</v>
      </c>
      <c r="B183" s="19" t="s">
        <v>387</v>
      </c>
      <c r="C183" s="19" t="s">
        <v>2261</v>
      </c>
      <c r="D183" s="19" t="s">
        <v>2262</v>
      </c>
      <c r="E183" s="20">
        <v>43252</v>
      </c>
      <c r="F183" s="19"/>
      <c r="G183" s="18">
        <v>0</v>
      </c>
      <c r="H183" s="18">
        <v>0</v>
      </c>
      <c r="I183" s="18">
        <v>0</v>
      </c>
      <c r="J183" s="18">
        <v>0</v>
      </c>
      <c r="K183" s="18"/>
    </row>
    <row r="184" spans="1:11" ht="15.75" customHeight="1" x14ac:dyDescent="0.25">
      <c r="A184" s="19">
        <v>183</v>
      </c>
      <c r="B184" s="19" t="s">
        <v>389</v>
      </c>
      <c r="C184" s="19" t="s">
        <v>2261</v>
      </c>
      <c r="D184" s="19" t="s">
        <v>2262</v>
      </c>
      <c r="E184" s="20">
        <v>43252</v>
      </c>
      <c r="F184" s="19"/>
      <c r="G184" s="18">
        <v>0</v>
      </c>
      <c r="H184" s="18">
        <v>1</v>
      </c>
      <c r="I184" s="18">
        <v>1</v>
      </c>
      <c r="J184" s="18">
        <v>0</v>
      </c>
      <c r="K184" s="18"/>
    </row>
    <row r="185" spans="1:11" ht="15.75" customHeight="1" x14ac:dyDescent="0.25">
      <c r="A185" s="19">
        <v>184</v>
      </c>
      <c r="B185" s="19" t="s">
        <v>393</v>
      </c>
      <c r="C185" s="19" t="s">
        <v>2261</v>
      </c>
      <c r="D185" s="19" t="s">
        <v>2262</v>
      </c>
      <c r="E185" s="20">
        <v>43252</v>
      </c>
      <c r="F185" s="19"/>
      <c r="G185" s="18">
        <v>0</v>
      </c>
      <c r="H185" s="18">
        <v>0</v>
      </c>
      <c r="I185" s="18">
        <v>0</v>
      </c>
      <c r="J185" s="18">
        <v>0</v>
      </c>
      <c r="K185" s="18"/>
    </row>
    <row r="186" spans="1:11" ht="15.75" customHeight="1" x14ac:dyDescent="0.25">
      <c r="A186" s="19">
        <v>185</v>
      </c>
      <c r="B186" s="19" t="s">
        <v>391</v>
      </c>
      <c r="C186" s="19" t="s">
        <v>2263</v>
      </c>
      <c r="D186" s="19" t="s">
        <v>2264</v>
      </c>
      <c r="E186" s="19"/>
      <c r="F186" s="20">
        <v>40026</v>
      </c>
      <c r="G186" s="18">
        <v>0</v>
      </c>
      <c r="H186" s="18">
        <v>0</v>
      </c>
      <c r="I186" s="18">
        <v>0</v>
      </c>
      <c r="J186" s="18">
        <v>1</v>
      </c>
      <c r="K186" s="18"/>
    </row>
    <row r="187" spans="1:11" ht="15.75" customHeight="1" x14ac:dyDescent="0.25">
      <c r="A187" s="19">
        <v>186</v>
      </c>
      <c r="B187" s="19" t="s">
        <v>397</v>
      </c>
      <c r="C187" s="23" t="s">
        <v>2276</v>
      </c>
      <c r="D187" s="21" t="s">
        <v>2266</v>
      </c>
      <c r="E187" s="19"/>
      <c r="F187" s="19"/>
      <c r="G187" s="18">
        <v>0</v>
      </c>
      <c r="H187" s="18">
        <v>1</v>
      </c>
      <c r="I187" s="18">
        <v>0</v>
      </c>
      <c r="J187" s="18">
        <v>1</v>
      </c>
      <c r="K187" s="18"/>
    </row>
    <row r="188" spans="1:11" ht="15.75" customHeight="1" x14ac:dyDescent="0.25">
      <c r="A188" s="19">
        <v>187</v>
      </c>
      <c r="B188" s="19" t="s">
        <v>395</v>
      </c>
      <c r="C188" s="19" t="s">
        <v>2263</v>
      </c>
      <c r="D188" s="19" t="s">
        <v>2264</v>
      </c>
      <c r="E188" s="19"/>
      <c r="F188" s="20">
        <v>40026</v>
      </c>
      <c r="G188" s="18">
        <v>1</v>
      </c>
      <c r="H188" s="18">
        <v>1</v>
      </c>
      <c r="I188" s="18">
        <v>1</v>
      </c>
      <c r="J188" s="18">
        <v>0</v>
      </c>
      <c r="K188" s="18"/>
    </row>
    <row r="189" spans="1:11" ht="15.75" customHeight="1" x14ac:dyDescent="0.25">
      <c r="A189" s="19">
        <v>188</v>
      </c>
      <c r="B189" s="19" t="s">
        <v>399</v>
      </c>
      <c r="C189" s="19" t="s">
        <v>2261</v>
      </c>
      <c r="D189" s="19" t="s">
        <v>2262</v>
      </c>
      <c r="E189" s="20">
        <v>43252</v>
      </c>
      <c r="F189" s="19"/>
      <c r="G189" s="18">
        <v>0</v>
      </c>
      <c r="H189" s="18">
        <v>0</v>
      </c>
      <c r="I189" s="18">
        <v>0</v>
      </c>
      <c r="J189" s="18">
        <v>0</v>
      </c>
      <c r="K189" s="18"/>
    </row>
    <row r="190" spans="1:11" ht="15.75" customHeight="1" x14ac:dyDescent="0.25">
      <c r="A190" s="19">
        <v>189</v>
      </c>
      <c r="B190" s="19" t="s">
        <v>401</v>
      </c>
      <c r="C190" s="19" t="s">
        <v>2261</v>
      </c>
      <c r="D190" s="19" t="s">
        <v>2262</v>
      </c>
      <c r="E190" s="20">
        <v>43252</v>
      </c>
      <c r="F190" s="19"/>
      <c r="G190" s="18">
        <v>0</v>
      </c>
      <c r="H190" s="18">
        <v>0</v>
      </c>
      <c r="I190" s="18">
        <v>0</v>
      </c>
      <c r="J190" s="18">
        <v>0</v>
      </c>
      <c r="K190" s="18"/>
    </row>
    <row r="191" spans="1:11" ht="15.75" customHeight="1" x14ac:dyDescent="0.25">
      <c r="A191" s="19">
        <v>190</v>
      </c>
      <c r="B191" s="19" t="s">
        <v>403</v>
      </c>
      <c r="C191" s="19" t="s">
        <v>2261</v>
      </c>
      <c r="D191" s="19" t="s">
        <v>2262</v>
      </c>
      <c r="E191" s="20">
        <v>43252</v>
      </c>
      <c r="F191" s="19"/>
      <c r="G191" s="18">
        <v>0</v>
      </c>
      <c r="H191" s="18">
        <v>0</v>
      </c>
      <c r="I191" s="18">
        <v>0</v>
      </c>
      <c r="J191" s="18">
        <v>0</v>
      </c>
      <c r="K191" s="18"/>
    </row>
    <row r="192" spans="1:11" ht="15.75" customHeight="1" x14ac:dyDescent="0.25">
      <c r="A192" s="19">
        <v>191</v>
      </c>
      <c r="B192" s="19" t="s">
        <v>405</v>
      </c>
      <c r="C192" s="19" t="s">
        <v>2261</v>
      </c>
      <c r="D192" s="19" t="s">
        <v>2262</v>
      </c>
      <c r="E192" s="20">
        <v>43252</v>
      </c>
      <c r="F192" s="19"/>
      <c r="G192" s="18">
        <v>0</v>
      </c>
      <c r="H192" s="18">
        <v>0</v>
      </c>
      <c r="I192" s="18">
        <v>0</v>
      </c>
      <c r="J192" s="18">
        <v>1</v>
      </c>
      <c r="K192" s="18"/>
    </row>
    <row r="193" spans="1:11" ht="15.75" customHeight="1" x14ac:dyDescent="0.25">
      <c r="A193" s="19">
        <v>192</v>
      </c>
      <c r="B193" s="19" t="s">
        <v>407</v>
      </c>
      <c r="C193" s="19" t="s">
        <v>2263</v>
      </c>
      <c r="D193" s="19"/>
      <c r="E193" s="19"/>
      <c r="F193" s="19" t="s">
        <v>2269</v>
      </c>
      <c r="G193" s="18">
        <v>0</v>
      </c>
      <c r="H193" s="18">
        <v>0</v>
      </c>
      <c r="I193" s="18">
        <v>0</v>
      </c>
      <c r="J193" s="18">
        <v>1</v>
      </c>
      <c r="K193" s="18"/>
    </row>
    <row r="194" spans="1:11" ht="15.75" customHeight="1" x14ac:dyDescent="0.25">
      <c r="A194" s="19">
        <v>193</v>
      </c>
      <c r="B194" s="19" t="s">
        <v>409</v>
      </c>
      <c r="C194" s="19" t="s">
        <v>2261</v>
      </c>
      <c r="D194" s="19" t="s">
        <v>2262</v>
      </c>
      <c r="E194" s="20">
        <v>43252</v>
      </c>
      <c r="F194" s="19"/>
      <c r="G194" s="18">
        <v>0</v>
      </c>
      <c r="H194" s="18">
        <v>0</v>
      </c>
      <c r="I194" s="18">
        <v>0</v>
      </c>
      <c r="J194" s="18">
        <v>0</v>
      </c>
      <c r="K194" s="18"/>
    </row>
    <row r="195" spans="1:11" ht="15.75" customHeight="1" x14ac:dyDescent="0.25">
      <c r="A195" s="19">
        <v>194</v>
      </c>
      <c r="B195" s="19" t="s">
        <v>411</v>
      </c>
      <c r="C195" s="19" t="s">
        <v>2261</v>
      </c>
      <c r="D195" s="19" t="s">
        <v>2262</v>
      </c>
      <c r="E195" s="20">
        <v>43252</v>
      </c>
      <c r="F195" s="19"/>
      <c r="G195" s="18">
        <v>0</v>
      </c>
      <c r="H195" s="18">
        <v>0</v>
      </c>
      <c r="I195" s="18">
        <v>0</v>
      </c>
      <c r="J195" s="18">
        <v>0</v>
      </c>
      <c r="K195" s="18"/>
    </row>
    <row r="196" spans="1:11" ht="15.75" customHeight="1" x14ac:dyDescent="0.25">
      <c r="A196" s="19">
        <v>195</v>
      </c>
      <c r="B196" s="19" t="s">
        <v>413</v>
      </c>
      <c r="C196" s="19" t="s">
        <v>2261</v>
      </c>
      <c r="D196" s="19" t="s">
        <v>2262</v>
      </c>
      <c r="E196" s="20">
        <v>43252</v>
      </c>
      <c r="F196" s="19"/>
      <c r="G196" s="18">
        <v>0</v>
      </c>
      <c r="H196" s="18">
        <v>0</v>
      </c>
      <c r="I196" s="18">
        <v>0</v>
      </c>
      <c r="J196" s="18">
        <v>0</v>
      </c>
      <c r="K196" s="18"/>
    </row>
    <row r="197" spans="1:11" ht="15.75" customHeight="1" x14ac:dyDescent="0.25">
      <c r="A197" s="19">
        <v>196</v>
      </c>
      <c r="B197" s="19" t="s">
        <v>418</v>
      </c>
      <c r="C197" s="19" t="s">
        <v>2261</v>
      </c>
      <c r="D197" s="19" t="s">
        <v>2262</v>
      </c>
      <c r="E197" s="20">
        <v>43252</v>
      </c>
      <c r="F197" s="19"/>
      <c r="G197" s="18">
        <v>0</v>
      </c>
      <c r="H197" s="18">
        <v>0</v>
      </c>
      <c r="I197" s="18">
        <v>1</v>
      </c>
      <c r="J197" s="18">
        <v>0</v>
      </c>
      <c r="K197" s="18"/>
    </row>
    <row r="198" spans="1:11" ht="15.75" customHeight="1" x14ac:dyDescent="0.25">
      <c r="A198" s="19">
        <v>197</v>
      </c>
      <c r="B198" s="19" t="s">
        <v>420</v>
      </c>
      <c r="C198" s="19" t="s">
        <v>2261</v>
      </c>
      <c r="D198" s="19" t="s">
        <v>2262</v>
      </c>
      <c r="E198" s="20">
        <v>43252</v>
      </c>
      <c r="F198" s="19"/>
      <c r="G198" s="18">
        <v>0</v>
      </c>
      <c r="H198" s="18">
        <v>0</v>
      </c>
      <c r="I198" s="18">
        <v>0</v>
      </c>
      <c r="J198" s="18">
        <v>0</v>
      </c>
      <c r="K198" s="18"/>
    </row>
    <row r="199" spans="1:11" ht="15.75" customHeight="1" x14ac:dyDescent="0.25">
      <c r="A199" s="19">
        <v>198</v>
      </c>
      <c r="B199" s="19" t="s">
        <v>422</v>
      </c>
      <c r="C199" s="19" t="s">
        <v>2261</v>
      </c>
      <c r="D199" s="26" t="s">
        <v>2268</v>
      </c>
      <c r="E199" s="20">
        <v>43252</v>
      </c>
      <c r="F199" s="20">
        <v>40026</v>
      </c>
      <c r="G199" s="18">
        <v>0</v>
      </c>
      <c r="H199" s="18">
        <v>1</v>
      </c>
      <c r="I199" s="18">
        <v>1</v>
      </c>
      <c r="J199" s="18">
        <v>0</v>
      </c>
      <c r="K199" s="18"/>
    </row>
    <row r="200" spans="1:11" ht="15.75" customHeight="1" x14ac:dyDescent="0.25">
      <c r="A200" s="19">
        <v>199</v>
      </c>
      <c r="B200" s="19" t="s">
        <v>424</v>
      </c>
      <c r="C200" s="19" t="s">
        <v>2261</v>
      </c>
      <c r="D200" s="19" t="s">
        <v>2262</v>
      </c>
      <c r="E200" s="20">
        <v>43252</v>
      </c>
      <c r="F200" s="19"/>
      <c r="G200" s="18">
        <v>0</v>
      </c>
      <c r="H200" s="18">
        <v>0</v>
      </c>
      <c r="I200" s="18">
        <v>0</v>
      </c>
      <c r="J200" s="18">
        <v>0</v>
      </c>
      <c r="K200" s="18"/>
    </row>
    <row r="201" spans="1:11" ht="15.75" customHeight="1" x14ac:dyDescent="0.25">
      <c r="A201" s="19">
        <v>200</v>
      </c>
      <c r="B201" s="19" t="s">
        <v>416</v>
      </c>
      <c r="C201" s="23" t="s">
        <v>2263</v>
      </c>
      <c r="D201" s="21" t="s">
        <v>2266</v>
      </c>
      <c r="E201" s="19"/>
      <c r="F201" s="19"/>
      <c r="G201" s="18">
        <v>0</v>
      </c>
      <c r="H201" s="18">
        <v>0</v>
      </c>
      <c r="I201" s="18">
        <v>0</v>
      </c>
      <c r="J201" s="18">
        <v>1</v>
      </c>
      <c r="K201" s="18"/>
    </row>
    <row r="202" spans="1:11" ht="15.75" customHeight="1" x14ac:dyDescent="0.25">
      <c r="A202" s="23">
        <v>201</v>
      </c>
      <c r="B202" s="23" t="s">
        <v>428</v>
      </c>
      <c r="C202" s="19" t="s">
        <v>2261</v>
      </c>
      <c r="D202" s="19" t="s">
        <v>2262</v>
      </c>
      <c r="E202" s="20">
        <v>43252</v>
      </c>
      <c r="F202" s="19"/>
      <c r="G202" s="18">
        <v>0</v>
      </c>
      <c r="H202" s="18">
        <v>0</v>
      </c>
      <c r="I202" s="18">
        <v>0</v>
      </c>
      <c r="J202" s="18">
        <v>1</v>
      </c>
      <c r="K202" s="18"/>
    </row>
    <row r="203" spans="1:11" ht="15.75" customHeight="1" x14ac:dyDescent="0.25">
      <c r="A203" s="23">
        <v>202</v>
      </c>
      <c r="B203" s="23" t="s">
        <v>428</v>
      </c>
      <c r="C203" s="19" t="s">
        <v>2261</v>
      </c>
      <c r="D203" s="19" t="s">
        <v>2262</v>
      </c>
      <c r="E203" s="20">
        <v>43252</v>
      </c>
      <c r="F203" s="19"/>
      <c r="G203" s="18">
        <v>0</v>
      </c>
      <c r="H203" s="18">
        <v>0</v>
      </c>
      <c r="I203" s="18">
        <v>0</v>
      </c>
      <c r="J203" s="18">
        <v>1</v>
      </c>
      <c r="K203" s="18"/>
    </row>
    <row r="204" spans="1:11" ht="15.75" customHeight="1" x14ac:dyDescent="0.25">
      <c r="A204" s="19">
        <v>203</v>
      </c>
      <c r="B204" s="19" t="s">
        <v>431</v>
      </c>
      <c r="C204" s="19" t="s">
        <v>2261</v>
      </c>
      <c r="D204" s="19" t="s">
        <v>2262</v>
      </c>
      <c r="E204" s="20">
        <v>43252</v>
      </c>
      <c r="F204" s="19"/>
      <c r="G204" s="18">
        <v>0</v>
      </c>
      <c r="H204" s="18">
        <v>0</v>
      </c>
      <c r="I204" s="18">
        <v>1</v>
      </c>
      <c r="J204" s="18">
        <v>1</v>
      </c>
      <c r="K204" s="18"/>
    </row>
    <row r="205" spans="1:11" ht="15.75" customHeight="1" x14ac:dyDescent="0.25">
      <c r="A205" s="19">
        <v>204</v>
      </c>
      <c r="B205" s="19" t="s">
        <v>433</v>
      </c>
      <c r="C205" s="19" t="s">
        <v>2263</v>
      </c>
      <c r="D205" s="19" t="s">
        <v>2264</v>
      </c>
      <c r="E205" s="19"/>
      <c r="F205" s="20">
        <v>40026</v>
      </c>
      <c r="G205" s="18">
        <v>0</v>
      </c>
      <c r="H205" s="18">
        <v>0</v>
      </c>
      <c r="I205" s="18">
        <v>0</v>
      </c>
      <c r="J205" s="18">
        <v>1</v>
      </c>
      <c r="K205" s="18"/>
    </row>
    <row r="206" spans="1:11" ht="15.75" customHeight="1" x14ac:dyDescent="0.25">
      <c r="A206" s="19">
        <v>205</v>
      </c>
      <c r="B206" s="19" t="s">
        <v>436</v>
      </c>
      <c r="C206" s="19" t="s">
        <v>2261</v>
      </c>
      <c r="D206" s="19" t="s">
        <v>2262</v>
      </c>
      <c r="E206" s="20">
        <v>43252</v>
      </c>
      <c r="F206" s="19"/>
      <c r="G206" s="18">
        <v>0</v>
      </c>
      <c r="H206" s="18">
        <v>0</v>
      </c>
      <c r="I206" s="18">
        <v>1</v>
      </c>
      <c r="J206" s="18">
        <v>0</v>
      </c>
      <c r="K206" s="18"/>
    </row>
    <row r="207" spans="1:11" ht="15.75" customHeight="1" x14ac:dyDescent="0.25">
      <c r="A207" s="19">
        <v>206</v>
      </c>
      <c r="B207" s="19" t="s">
        <v>438</v>
      </c>
      <c r="C207" s="19" t="s">
        <v>2261</v>
      </c>
      <c r="D207" s="19" t="s">
        <v>2262</v>
      </c>
      <c r="E207" s="20">
        <v>43252</v>
      </c>
      <c r="F207" s="19"/>
      <c r="G207" s="18">
        <v>0</v>
      </c>
      <c r="H207" s="18">
        <v>0</v>
      </c>
      <c r="I207" s="18">
        <v>0</v>
      </c>
      <c r="J207" s="18">
        <v>0</v>
      </c>
      <c r="K207" s="18"/>
    </row>
    <row r="208" spans="1:11" ht="15.75" customHeight="1" x14ac:dyDescent="0.25">
      <c r="A208" s="19">
        <v>207</v>
      </c>
      <c r="B208" s="19" t="s">
        <v>440</v>
      </c>
      <c r="C208" s="19" t="s">
        <v>2261</v>
      </c>
      <c r="D208" s="19" t="s">
        <v>2262</v>
      </c>
      <c r="E208" s="20">
        <v>43252</v>
      </c>
      <c r="F208" s="19"/>
      <c r="G208" s="18">
        <v>0</v>
      </c>
      <c r="H208" s="18">
        <v>0</v>
      </c>
      <c r="I208" s="18">
        <v>0</v>
      </c>
      <c r="J208" s="18">
        <v>0</v>
      </c>
      <c r="K208" s="18"/>
    </row>
    <row r="209" spans="1:11" ht="15.75" customHeight="1" x14ac:dyDescent="0.25">
      <c r="A209" s="19">
        <v>208</v>
      </c>
      <c r="B209" s="19" t="s">
        <v>2277</v>
      </c>
      <c r="C209" s="19" t="s">
        <v>2261</v>
      </c>
      <c r="D209" s="19" t="s">
        <v>2262</v>
      </c>
      <c r="E209" s="20">
        <v>43252</v>
      </c>
      <c r="F209" s="19"/>
      <c r="G209" s="18">
        <v>0</v>
      </c>
      <c r="H209" s="18">
        <v>0</v>
      </c>
      <c r="I209" s="18">
        <v>0</v>
      </c>
      <c r="J209" s="18">
        <v>0</v>
      </c>
      <c r="K209" s="18"/>
    </row>
    <row r="210" spans="1:11" ht="15.75" customHeight="1" x14ac:dyDescent="0.25">
      <c r="A210" s="19">
        <v>209</v>
      </c>
      <c r="B210" s="19" t="s">
        <v>444</v>
      </c>
      <c r="C210" s="19" t="s">
        <v>2263</v>
      </c>
      <c r="D210" s="19" t="s">
        <v>2264</v>
      </c>
      <c r="E210" s="19"/>
      <c r="F210" s="20">
        <v>40026</v>
      </c>
      <c r="G210" s="18">
        <v>1</v>
      </c>
      <c r="H210" s="18">
        <v>1</v>
      </c>
      <c r="I210" s="18">
        <v>1</v>
      </c>
      <c r="J210" s="18">
        <v>1</v>
      </c>
      <c r="K210" s="18"/>
    </row>
    <row r="211" spans="1:11" ht="15.75" customHeight="1" x14ac:dyDescent="0.25">
      <c r="A211" s="19">
        <v>210</v>
      </c>
      <c r="B211" s="19" t="s">
        <v>446</v>
      </c>
      <c r="C211" s="23" t="s">
        <v>2263</v>
      </c>
      <c r="D211" s="21" t="s">
        <v>2266</v>
      </c>
      <c r="E211" s="19"/>
      <c r="F211" s="19"/>
      <c r="G211" s="18">
        <v>0</v>
      </c>
      <c r="H211" s="18">
        <v>0</v>
      </c>
      <c r="I211" s="18">
        <v>0</v>
      </c>
      <c r="J211" s="18">
        <v>1</v>
      </c>
      <c r="K211" s="18"/>
    </row>
    <row r="212" spans="1:11" ht="15.75" customHeight="1" x14ac:dyDescent="0.25">
      <c r="A212" s="19">
        <v>211</v>
      </c>
      <c r="B212" s="19" t="s">
        <v>448</v>
      </c>
      <c r="C212" s="19" t="s">
        <v>2261</v>
      </c>
      <c r="D212" s="19" t="s">
        <v>2262</v>
      </c>
      <c r="E212" s="20">
        <v>43252</v>
      </c>
      <c r="F212" s="19"/>
      <c r="G212" s="18">
        <v>0</v>
      </c>
      <c r="H212" s="18">
        <v>0</v>
      </c>
      <c r="I212" s="18">
        <v>0</v>
      </c>
      <c r="J212" s="18">
        <v>0</v>
      </c>
      <c r="K212" s="18"/>
    </row>
    <row r="213" spans="1:11" ht="15.75" customHeight="1" x14ac:dyDescent="0.25">
      <c r="A213" s="19">
        <v>212</v>
      </c>
      <c r="B213" s="19" t="s">
        <v>450</v>
      </c>
      <c r="C213" s="19" t="s">
        <v>2261</v>
      </c>
      <c r="D213" s="19" t="s">
        <v>2262</v>
      </c>
      <c r="E213" s="20">
        <v>43252</v>
      </c>
      <c r="F213" s="19"/>
      <c r="G213" s="18">
        <v>0</v>
      </c>
      <c r="H213" s="18">
        <v>0</v>
      </c>
      <c r="I213" s="18">
        <v>0</v>
      </c>
      <c r="J213" s="18">
        <v>0</v>
      </c>
      <c r="K213" s="18"/>
    </row>
    <row r="214" spans="1:11" ht="15.75" customHeight="1" x14ac:dyDescent="0.25">
      <c r="A214" s="19">
        <v>213</v>
      </c>
      <c r="B214" s="19" t="s">
        <v>452</v>
      </c>
      <c r="C214" s="19" t="s">
        <v>2261</v>
      </c>
      <c r="D214" s="19" t="s">
        <v>2262</v>
      </c>
      <c r="E214" s="20">
        <v>43252</v>
      </c>
      <c r="F214" s="19"/>
      <c r="G214" s="18">
        <v>0</v>
      </c>
      <c r="H214" s="18">
        <v>0</v>
      </c>
      <c r="I214" s="18">
        <v>1</v>
      </c>
      <c r="J214" s="18">
        <v>1</v>
      </c>
      <c r="K214" s="18"/>
    </row>
    <row r="215" spans="1:11" ht="15.75" customHeight="1" x14ac:dyDescent="0.25">
      <c r="A215" s="19">
        <v>214</v>
      </c>
      <c r="B215" s="19" t="s">
        <v>454</v>
      </c>
      <c r="C215" s="19" t="s">
        <v>2261</v>
      </c>
      <c r="D215" s="19" t="s">
        <v>2262</v>
      </c>
      <c r="E215" s="20">
        <v>43252</v>
      </c>
      <c r="F215" s="19"/>
      <c r="G215" s="18">
        <v>0</v>
      </c>
      <c r="H215" s="18">
        <v>0</v>
      </c>
      <c r="I215" s="18">
        <v>0</v>
      </c>
      <c r="J215" s="18">
        <v>0</v>
      </c>
      <c r="K215" s="18"/>
    </row>
    <row r="216" spans="1:11" ht="15.75" customHeight="1" x14ac:dyDescent="0.25">
      <c r="A216" s="19">
        <v>215</v>
      </c>
      <c r="B216" s="19" t="s">
        <v>456</v>
      </c>
      <c r="C216" s="19" t="s">
        <v>2261</v>
      </c>
      <c r="D216" s="19" t="s">
        <v>2262</v>
      </c>
      <c r="E216" s="20">
        <v>43252</v>
      </c>
      <c r="F216" s="19"/>
      <c r="G216" s="18">
        <v>0</v>
      </c>
      <c r="H216" s="18">
        <v>0</v>
      </c>
      <c r="I216" s="18">
        <v>0</v>
      </c>
      <c r="J216" s="18">
        <v>0</v>
      </c>
      <c r="K216" s="18"/>
    </row>
    <row r="217" spans="1:11" ht="15.75" customHeight="1" x14ac:dyDescent="0.25">
      <c r="A217" s="19">
        <v>216</v>
      </c>
      <c r="B217" s="19" t="s">
        <v>458</v>
      </c>
      <c r="C217" s="19" t="s">
        <v>2261</v>
      </c>
      <c r="D217" s="19" t="s">
        <v>2262</v>
      </c>
      <c r="E217" s="20">
        <v>43252</v>
      </c>
      <c r="F217" s="19"/>
      <c r="G217" s="18">
        <v>0</v>
      </c>
      <c r="H217" s="18">
        <v>0</v>
      </c>
      <c r="I217" s="18">
        <v>0</v>
      </c>
      <c r="J217" s="18">
        <v>0</v>
      </c>
      <c r="K217" s="18"/>
    </row>
    <row r="218" spans="1:11" ht="15.75" customHeight="1" x14ac:dyDescent="0.25">
      <c r="A218" s="19">
        <v>217</v>
      </c>
      <c r="B218" s="19" t="s">
        <v>460</v>
      </c>
      <c r="C218" s="19" t="s">
        <v>2263</v>
      </c>
      <c r="D218" s="19" t="s">
        <v>2264</v>
      </c>
      <c r="E218" s="19"/>
      <c r="F218" s="20">
        <v>40026</v>
      </c>
      <c r="G218" s="18">
        <v>1</v>
      </c>
      <c r="H218" s="18">
        <v>0</v>
      </c>
      <c r="I218" s="18">
        <v>1</v>
      </c>
      <c r="J218" s="18">
        <v>1</v>
      </c>
      <c r="K218" s="18"/>
    </row>
    <row r="219" spans="1:11" ht="15.75" customHeight="1" x14ac:dyDescent="0.25">
      <c r="A219" s="19">
        <v>218</v>
      </c>
      <c r="B219" s="19" t="s">
        <v>2278</v>
      </c>
      <c r="C219" s="19" t="s">
        <v>2261</v>
      </c>
      <c r="D219" s="19" t="s">
        <v>2262</v>
      </c>
      <c r="E219" s="20">
        <v>43252</v>
      </c>
      <c r="F219" s="19"/>
      <c r="G219" s="18">
        <v>0</v>
      </c>
      <c r="H219" s="18">
        <v>0</v>
      </c>
      <c r="I219" s="18">
        <v>0</v>
      </c>
      <c r="J219" s="18">
        <v>0</v>
      </c>
      <c r="K219" s="18"/>
    </row>
    <row r="220" spans="1:11" ht="15.75" customHeight="1" x14ac:dyDescent="0.25">
      <c r="A220" s="19">
        <v>219</v>
      </c>
      <c r="B220" s="19" t="s">
        <v>464</v>
      </c>
      <c r="C220" s="19" t="s">
        <v>2261</v>
      </c>
      <c r="D220" s="21" t="s">
        <v>2266</v>
      </c>
      <c r="E220" s="19"/>
      <c r="F220" s="19"/>
      <c r="G220" s="18">
        <v>0</v>
      </c>
      <c r="H220" s="18">
        <v>0</v>
      </c>
      <c r="I220" s="18">
        <v>0</v>
      </c>
      <c r="J220" s="18">
        <v>1</v>
      </c>
      <c r="K220" s="18"/>
    </row>
    <row r="221" spans="1:11" ht="15.75" customHeight="1" x14ac:dyDescent="0.25">
      <c r="A221" s="19">
        <v>220</v>
      </c>
      <c r="B221" s="19" t="s">
        <v>466</v>
      </c>
      <c r="C221" s="19" t="s">
        <v>2261</v>
      </c>
      <c r="D221" s="19" t="s">
        <v>2262</v>
      </c>
      <c r="E221" s="20">
        <v>43252</v>
      </c>
      <c r="F221" s="19"/>
      <c r="G221" s="18">
        <v>0</v>
      </c>
      <c r="H221" s="18">
        <v>0</v>
      </c>
      <c r="I221" s="18">
        <v>0</v>
      </c>
      <c r="J221" s="18">
        <v>0</v>
      </c>
      <c r="K221" s="18"/>
    </row>
    <row r="222" spans="1:11" ht="15.75" customHeight="1" x14ac:dyDescent="0.25">
      <c r="A222" s="19">
        <v>221</v>
      </c>
      <c r="B222" s="19" t="s">
        <v>468</v>
      </c>
      <c r="C222" s="19" t="s">
        <v>2263</v>
      </c>
      <c r="D222" s="19" t="s">
        <v>2264</v>
      </c>
      <c r="E222" s="19"/>
      <c r="F222" s="20">
        <v>40026</v>
      </c>
      <c r="G222" s="18">
        <v>0</v>
      </c>
      <c r="H222" s="18">
        <v>0</v>
      </c>
      <c r="I222" s="18">
        <v>1</v>
      </c>
      <c r="J222" s="18">
        <v>1</v>
      </c>
      <c r="K222" s="18"/>
    </row>
    <row r="223" spans="1:11" ht="15.75" customHeight="1" x14ac:dyDescent="0.25">
      <c r="A223" s="19">
        <v>222</v>
      </c>
      <c r="B223" s="19" t="s">
        <v>470</v>
      </c>
      <c r="C223" s="19" t="s">
        <v>2263</v>
      </c>
      <c r="D223" s="19" t="s">
        <v>2264</v>
      </c>
      <c r="E223" s="19"/>
      <c r="F223" s="19">
        <v>2015</v>
      </c>
      <c r="G223" s="18">
        <v>0</v>
      </c>
      <c r="H223" s="18">
        <v>0</v>
      </c>
      <c r="I223" s="18">
        <v>1</v>
      </c>
      <c r="J223" s="18">
        <v>1</v>
      </c>
      <c r="K223" s="18"/>
    </row>
    <row r="224" spans="1:11" ht="15.75" customHeight="1" x14ac:dyDescent="0.25">
      <c r="A224" s="19">
        <v>223</v>
      </c>
      <c r="B224" s="19" t="s">
        <v>2279</v>
      </c>
      <c r="C224" s="19" t="s">
        <v>2261</v>
      </c>
      <c r="D224" s="19" t="s">
        <v>2262</v>
      </c>
      <c r="E224" s="20">
        <v>43252</v>
      </c>
      <c r="F224" s="19"/>
      <c r="G224" s="18">
        <v>0</v>
      </c>
      <c r="H224" s="18">
        <v>0</v>
      </c>
      <c r="I224" s="18">
        <v>0</v>
      </c>
      <c r="J224" s="18">
        <v>1</v>
      </c>
      <c r="K224" s="18"/>
    </row>
    <row r="225" spans="1:11" ht="15.75" customHeight="1" x14ac:dyDescent="0.25">
      <c r="A225" s="19">
        <v>224</v>
      </c>
      <c r="B225" s="19" t="s">
        <v>476</v>
      </c>
      <c r="C225" s="19" t="s">
        <v>2261</v>
      </c>
      <c r="D225" s="19" t="s">
        <v>2262</v>
      </c>
      <c r="E225" s="20">
        <v>43252</v>
      </c>
      <c r="F225" s="19"/>
      <c r="G225" s="18">
        <v>0</v>
      </c>
      <c r="H225" s="18">
        <v>0</v>
      </c>
      <c r="I225" s="18">
        <v>0</v>
      </c>
      <c r="J225" s="18">
        <v>0</v>
      </c>
      <c r="K225" s="18"/>
    </row>
    <row r="226" spans="1:11" ht="15.75" customHeight="1" x14ac:dyDescent="0.25">
      <c r="A226" s="19">
        <v>225</v>
      </c>
      <c r="B226" s="19" t="s">
        <v>478</v>
      </c>
      <c r="C226" s="19" t="s">
        <v>2261</v>
      </c>
      <c r="D226" s="19" t="s">
        <v>2262</v>
      </c>
      <c r="E226" s="20">
        <v>43252</v>
      </c>
      <c r="F226" s="19"/>
      <c r="G226" s="18">
        <v>0</v>
      </c>
      <c r="H226" s="18">
        <v>1</v>
      </c>
      <c r="I226" s="18">
        <v>1</v>
      </c>
      <c r="J226" s="18">
        <v>1</v>
      </c>
      <c r="K226" s="18"/>
    </row>
    <row r="227" spans="1:11" ht="15.75" customHeight="1" x14ac:dyDescent="0.25">
      <c r="A227" s="19">
        <v>226</v>
      </c>
      <c r="B227" s="19" t="s">
        <v>480</v>
      </c>
      <c r="C227" s="19" t="s">
        <v>2261</v>
      </c>
      <c r="D227" s="19" t="s">
        <v>2262</v>
      </c>
      <c r="E227" s="20">
        <v>43252</v>
      </c>
      <c r="F227" s="19"/>
      <c r="G227" s="18">
        <v>0</v>
      </c>
      <c r="H227" s="18">
        <v>0</v>
      </c>
      <c r="I227" s="18">
        <v>0</v>
      </c>
      <c r="J227" s="18">
        <v>0</v>
      </c>
      <c r="K227" s="18"/>
    </row>
    <row r="228" spans="1:11" ht="15.75" customHeight="1" x14ac:dyDescent="0.25">
      <c r="A228" s="19">
        <v>227</v>
      </c>
      <c r="B228" s="19" t="s">
        <v>2280</v>
      </c>
      <c r="C228" s="19" t="s">
        <v>2261</v>
      </c>
      <c r="D228" s="19" t="s">
        <v>2262</v>
      </c>
      <c r="E228" s="20">
        <v>43252</v>
      </c>
      <c r="F228" s="19"/>
      <c r="G228" s="18">
        <v>0</v>
      </c>
      <c r="H228" s="18">
        <v>0</v>
      </c>
      <c r="I228" s="18">
        <v>0</v>
      </c>
      <c r="J228" s="18">
        <v>0</v>
      </c>
      <c r="K228" s="18"/>
    </row>
    <row r="229" spans="1:11" ht="15.75" customHeight="1" x14ac:dyDescent="0.25">
      <c r="A229" s="19">
        <v>228</v>
      </c>
      <c r="B229" s="19" t="s">
        <v>484</v>
      </c>
      <c r="C229" s="19" t="s">
        <v>2261</v>
      </c>
      <c r="D229" s="19" t="s">
        <v>2262</v>
      </c>
      <c r="E229" s="20">
        <v>43252</v>
      </c>
      <c r="F229" s="19"/>
      <c r="G229" s="18">
        <v>0</v>
      </c>
      <c r="H229" s="18">
        <v>0</v>
      </c>
      <c r="I229" s="18">
        <v>1</v>
      </c>
      <c r="J229" s="18">
        <v>1</v>
      </c>
      <c r="K229" s="18"/>
    </row>
    <row r="230" spans="1:11" ht="15.75" customHeight="1" x14ac:dyDescent="0.25">
      <c r="A230" s="19">
        <v>229</v>
      </c>
      <c r="B230" s="19" t="s">
        <v>488</v>
      </c>
      <c r="C230" s="19" t="s">
        <v>2261</v>
      </c>
      <c r="D230" s="19" t="s">
        <v>2262</v>
      </c>
      <c r="E230" s="20">
        <v>43252</v>
      </c>
      <c r="F230" s="19"/>
      <c r="G230" s="18">
        <v>0</v>
      </c>
      <c r="H230" s="18">
        <v>0</v>
      </c>
      <c r="I230" s="18">
        <v>0</v>
      </c>
      <c r="J230" s="18">
        <v>0</v>
      </c>
      <c r="K230" s="18"/>
    </row>
    <row r="231" spans="1:11" ht="15.75" customHeight="1" x14ac:dyDescent="0.25">
      <c r="A231" s="19">
        <v>230</v>
      </c>
      <c r="B231" s="19" t="s">
        <v>491</v>
      </c>
      <c r="C231" s="19" t="s">
        <v>2261</v>
      </c>
      <c r="D231" s="19" t="s">
        <v>2262</v>
      </c>
      <c r="E231" s="20">
        <v>43252</v>
      </c>
      <c r="F231" s="19"/>
      <c r="G231" s="18">
        <v>0</v>
      </c>
      <c r="H231" s="18">
        <v>0</v>
      </c>
      <c r="I231" s="18">
        <v>0</v>
      </c>
      <c r="J231" s="18">
        <v>0</v>
      </c>
      <c r="K231" s="18"/>
    </row>
    <row r="232" spans="1:11" ht="15.75" customHeight="1" x14ac:dyDescent="0.25">
      <c r="A232" s="19">
        <v>231</v>
      </c>
      <c r="B232" s="19" t="s">
        <v>493</v>
      </c>
      <c r="C232" s="19" t="s">
        <v>2261</v>
      </c>
      <c r="D232" s="19" t="s">
        <v>2262</v>
      </c>
      <c r="E232" s="20">
        <v>43252</v>
      </c>
      <c r="F232" s="19"/>
      <c r="G232" s="18">
        <v>0</v>
      </c>
      <c r="H232" s="18">
        <v>0</v>
      </c>
      <c r="I232" s="18">
        <v>0</v>
      </c>
      <c r="J232" s="18">
        <v>0</v>
      </c>
      <c r="K232" s="18"/>
    </row>
    <row r="233" spans="1:11" ht="15.75" customHeight="1" x14ac:dyDescent="0.25">
      <c r="A233" s="19">
        <v>232</v>
      </c>
      <c r="B233" s="19" t="s">
        <v>495</v>
      </c>
      <c r="C233" s="19" t="s">
        <v>2263</v>
      </c>
      <c r="D233" s="19" t="s">
        <v>2264</v>
      </c>
      <c r="E233" s="19"/>
      <c r="F233" s="20">
        <v>40026</v>
      </c>
      <c r="G233" s="18">
        <v>1</v>
      </c>
      <c r="H233" s="18">
        <v>1</v>
      </c>
      <c r="I233" s="18">
        <v>0</v>
      </c>
      <c r="J233" s="18">
        <v>1</v>
      </c>
      <c r="K233" s="18"/>
    </row>
    <row r="234" spans="1:11" ht="15.75" customHeight="1" x14ac:dyDescent="0.25">
      <c r="A234" s="19">
        <v>233</v>
      </c>
      <c r="B234" s="19" t="s">
        <v>497</v>
      </c>
      <c r="C234" s="19" t="s">
        <v>2261</v>
      </c>
      <c r="D234" s="19" t="s">
        <v>2262</v>
      </c>
      <c r="E234" s="20">
        <v>43252</v>
      </c>
      <c r="F234" s="19"/>
      <c r="G234" s="18">
        <v>0</v>
      </c>
      <c r="H234" s="18">
        <v>0</v>
      </c>
      <c r="I234" s="18">
        <v>0</v>
      </c>
      <c r="J234" s="18">
        <v>0</v>
      </c>
      <c r="K234" s="18"/>
    </row>
    <row r="235" spans="1:11" ht="15.75" customHeight="1" x14ac:dyDescent="0.25">
      <c r="A235" s="19">
        <v>234</v>
      </c>
      <c r="B235" s="19" t="s">
        <v>2281</v>
      </c>
      <c r="C235" s="19" t="s">
        <v>2261</v>
      </c>
      <c r="D235" s="19" t="s">
        <v>2262</v>
      </c>
      <c r="E235" s="20">
        <v>43252</v>
      </c>
      <c r="F235" s="19"/>
      <c r="G235" s="18">
        <v>0</v>
      </c>
      <c r="H235" s="18">
        <v>0</v>
      </c>
      <c r="I235" s="18">
        <v>0</v>
      </c>
      <c r="J235" s="18">
        <v>0</v>
      </c>
      <c r="K235" s="18"/>
    </row>
    <row r="236" spans="1:11" ht="15.75" customHeight="1" x14ac:dyDescent="0.25">
      <c r="A236" s="19">
        <v>235</v>
      </c>
      <c r="B236" s="19" t="s">
        <v>501</v>
      </c>
      <c r="C236" s="19" t="s">
        <v>2263</v>
      </c>
      <c r="D236" s="19" t="s">
        <v>2264</v>
      </c>
      <c r="E236" s="19"/>
      <c r="F236" s="19">
        <v>2015</v>
      </c>
      <c r="G236" s="18">
        <v>0</v>
      </c>
      <c r="H236" s="18">
        <v>0</v>
      </c>
      <c r="I236" s="18">
        <v>0</v>
      </c>
      <c r="J236" s="18">
        <v>1</v>
      </c>
      <c r="K236" s="18"/>
    </row>
    <row r="237" spans="1:11" ht="15.75" customHeight="1" x14ac:dyDescent="0.25">
      <c r="A237" s="19">
        <v>236</v>
      </c>
      <c r="B237" s="19" t="s">
        <v>503</v>
      </c>
      <c r="C237" s="19" t="s">
        <v>2263</v>
      </c>
      <c r="D237" s="19" t="s">
        <v>2264</v>
      </c>
      <c r="E237" s="19"/>
      <c r="F237" s="19">
        <v>2015</v>
      </c>
      <c r="G237" s="18">
        <v>0</v>
      </c>
      <c r="H237" s="18">
        <v>0</v>
      </c>
      <c r="I237" s="18">
        <v>1</v>
      </c>
      <c r="J237" s="18">
        <v>1</v>
      </c>
      <c r="K237" s="18"/>
    </row>
    <row r="238" spans="1:11" ht="15.75" customHeight="1" x14ac:dyDescent="0.25">
      <c r="A238" s="19">
        <v>237</v>
      </c>
      <c r="B238" s="19" t="s">
        <v>505</v>
      </c>
      <c r="C238" s="19" t="s">
        <v>2261</v>
      </c>
      <c r="D238" s="19" t="s">
        <v>2262</v>
      </c>
      <c r="E238" s="20">
        <v>43252</v>
      </c>
      <c r="F238" s="19"/>
      <c r="G238" s="18">
        <v>0</v>
      </c>
      <c r="H238" s="18">
        <v>0</v>
      </c>
      <c r="I238" s="18">
        <v>0</v>
      </c>
      <c r="J238" s="18">
        <v>0</v>
      </c>
      <c r="K238" s="18"/>
    </row>
    <row r="239" spans="1:11" ht="15.75" customHeight="1" x14ac:dyDescent="0.25">
      <c r="A239" s="19">
        <v>238</v>
      </c>
      <c r="B239" s="19" t="s">
        <v>507</v>
      </c>
      <c r="C239" s="19" t="s">
        <v>2263</v>
      </c>
      <c r="D239" s="19" t="s">
        <v>2264</v>
      </c>
      <c r="E239" s="19"/>
      <c r="F239" s="19"/>
      <c r="G239" s="18">
        <v>0</v>
      </c>
      <c r="H239" s="18">
        <v>1</v>
      </c>
      <c r="I239" s="18">
        <v>1</v>
      </c>
      <c r="J239" s="18">
        <v>1</v>
      </c>
      <c r="K239" s="18"/>
    </row>
    <row r="240" spans="1:11" ht="15.75" customHeight="1" x14ac:dyDescent="0.25">
      <c r="A240" s="19">
        <v>239</v>
      </c>
      <c r="B240" s="19" t="s">
        <v>509</v>
      </c>
      <c r="C240" s="19" t="s">
        <v>2261</v>
      </c>
      <c r="D240" s="19" t="s">
        <v>2262</v>
      </c>
      <c r="E240" s="20">
        <v>43252</v>
      </c>
      <c r="F240" s="19"/>
      <c r="G240" s="18">
        <v>0</v>
      </c>
      <c r="H240" s="18">
        <v>0</v>
      </c>
      <c r="I240" s="18">
        <v>0</v>
      </c>
      <c r="J240" s="18">
        <v>0</v>
      </c>
      <c r="K240" s="18"/>
    </row>
    <row r="241" spans="1:11" ht="15.75" customHeight="1" x14ac:dyDescent="0.25">
      <c r="A241" s="19">
        <v>240</v>
      </c>
      <c r="B241" s="19" t="s">
        <v>511</v>
      </c>
      <c r="C241" s="19" t="s">
        <v>2261</v>
      </c>
      <c r="D241" s="22" t="s">
        <v>2268</v>
      </c>
      <c r="E241" s="20">
        <v>43252</v>
      </c>
      <c r="F241" s="19">
        <v>2015</v>
      </c>
      <c r="G241" s="18">
        <v>0</v>
      </c>
      <c r="H241" s="18">
        <v>0</v>
      </c>
      <c r="I241" s="18">
        <v>1</v>
      </c>
      <c r="J241" s="18">
        <v>1</v>
      </c>
      <c r="K241" s="18"/>
    </row>
    <row r="242" spans="1:11" ht="15.75" customHeight="1" x14ac:dyDescent="0.25">
      <c r="A242" s="19">
        <v>241</v>
      </c>
      <c r="B242" s="19" t="s">
        <v>513</v>
      </c>
      <c r="C242" s="19" t="s">
        <v>2261</v>
      </c>
      <c r="D242" s="19" t="s">
        <v>2262</v>
      </c>
      <c r="E242" s="20">
        <v>43252</v>
      </c>
      <c r="F242" s="19"/>
      <c r="G242" s="18">
        <v>0</v>
      </c>
      <c r="H242" s="18">
        <v>0</v>
      </c>
      <c r="I242" s="18">
        <v>0</v>
      </c>
      <c r="J242" s="18">
        <v>0</v>
      </c>
      <c r="K242" s="18"/>
    </row>
    <row r="243" spans="1:11" ht="15.75" customHeight="1" x14ac:dyDescent="0.25">
      <c r="A243" s="19">
        <v>242</v>
      </c>
      <c r="B243" s="19" t="s">
        <v>515</v>
      </c>
      <c r="C243" s="19" t="s">
        <v>2261</v>
      </c>
      <c r="D243" s="19" t="s">
        <v>2262</v>
      </c>
      <c r="E243" s="20">
        <v>43252</v>
      </c>
      <c r="F243" s="19"/>
      <c r="G243" s="18">
        <v>0</v>
      </c>
      <c r="H243" s="18">
        <v>0</v>
      </c>
      <c r="I243" s="18">
        <v>0</v>
      </c>
      <c r="J243" s="18">
        <v>0</v>
      </c>
      <c r="K243" s="18"/>
    </row>
    <row r="244" spans="1:11" ht="15.75" customHeight="1" x14ac:dyDescent="0.25">
      <c r="A244" s="19">
        <v>243</v>
      </c>
      <c r="B244" s="19" t="s">
        <v>518</v>
      </c>
      <c r="C244" s="19" t="s">
        <v>2261</v>
      </c>
      <c r="D244" s="19" t="s">
        <v>2262</v>
      </c>
      <c r="E244" s="20">
        <v>43252</v>
      </c>
      <c r="F244" s="19"/>
      <c r="G244" s="18">
        <v>0</v>
      </c>
      <c r="H244" s="18">
        <v>0</v>
      </c>
      <c r="I244" s="18">
        <v>0</v>
      </c>
      <c r="J244" s="18">
        <v>0</v>
      </c>
      <c r="K244" s="18"/>
    </row>
    <row r="245" spans="1:11" ht="15.75" customHeight="1" x14ac:dyDescent="0.25">
      <c r="A245" s="19">
        <v>244</v>
      </c>
      <c r="B245" s="19" t="s">
        <v>520</v>
      </c>
      <c r="C245" s="19" t="s">
        <v>2261</v>
      </c>
      <c r="D245" s="19" t="s">
        <v>2262</v>
      </c>
      <c r="E245" s="20">
        <v>43252</v>
      </c>
      <c r="F245" s="19"/>
      <c r="G245" s="18">
        <v>0</v>
      </c>
      <c r="H245" s="18">
        <v>0</v>
      </c>
      <c r="I245" s="18">
        <v>0</v>
      </c>
      <c r="J245" s="18">
        <v>0</v>
      </c>
      <c r="K245" s="18"/>
    </row>
    <row r="246" spans="1:11" ht="15.75" customHeight="1" x14ac:dyDescent="0.25">
      <c r="A246" s="19">
        <v>245</v>
      </c>
      <c r="B246" s="24" t="s">
        <v>522</v>
      </c>
      <c r="C246" s="19" t="s">
        <v>2261</v>
      </c>
      <c r="D246" s="19" t="s">
        <v>2262</v>
      </c>
      <c r="E246" s="20">
        <v>43252</v>
      </c>
      <c r="F246" s="19"/>
      <c r="G246" s="18">
        <v>0</v>
      </c>
      <c r="H246" s="18">
        <v>0</v>
      </c>
      <c r="I246" s="18">
        <v>0</v>
      </c>
      <c r="J246" s="18">
        <v>0</v>
      </c>
      <c r="K246" s="18"/>
    </row>
    <row r="247" spans="1:11" ht="15.75" customHeight="1" x14ac:dyDescent="0.25">
      <c r="A247" s="19">
        <v>246</v>
      </c>
      <c r="B247" s="19" t="s">
        <v>524</v>
      </c>
      <c r="C247" s="23" t="s">
        <v>2263</v>
      </c>
      <c r="D247" s="22" t="s">
        <v>2268</v>
      </c>
      <c r="E247" s="20">
        <v>43252</v>
      </c>
      <c r="F247" s="19">
        <v>2015</v>
      </c>
      <c r="G247" s="18">
        <v>0</v>
      </c>
      <c r="H247" s="18">
        <v>0</v>
      </c>
      <c r="I247" s="18">
        <v>1</v>
      </c>
      <c r="J247" s="18">
        <v>1</v>
      </c>
      <c r="K247" s="18"/>
    </row>
    <row r="248" spans="1:11" ht="15.75" customHeight="1" x14ac:dyDescent="0.25">
      <c r="A248" s="19">
        <v>247</v>
      </c>
      <c r="B248" s="19" t="s">
        <v>526</v>
      </c>
      <c r="C248" s="19" t="s">
        <v>2261</v>
      </c>
      <c r="D248" s="19" t="s">
        <v>2262</v>
      </c>
      <c r="E248" s="20">
        <v>43252</v>
      </c>
      <c r="F248" s="19"/>
      <c r="G248" s="18">
        <v>0</v>
      </c>
      <c r="H248" s="18">
        <v>0</v>
      </c>
      <c r="I248" s="18">
        <v>0</v>
      </c>
      <c r="J248" s="18">
        <v>0</v>
      </c>
      <c r="K248" s="18"/>
    </row>
    <row r="249" spans="1:11" ht="15.75" customHeight="1" x14ac:dyDescent="0.25">
      <c r="A249" s="19">
        <v>248</v>
      </c>
      <c r="B249" s="19" t="s">
        <v>528</v>
      </c>
      <c r="C249" s="19" t="s">
        <v>2261</v>
      </c>
      <c r="D249" s="19" t="s">
        <v>2262</v>
      </c>
      <c r="E249" s="20">
        <v>43252</v>
      </c>
      <c r="F249" s="19"/>
      <c r="G249" s="18">
        <v>0</v>
      </c>
      <c r="H249" s="18">
        <v>0</v>
      </c>
      <c r="I249" s="18">
        <v>0</v>
      </c>
      <c r="J249" s="18">
        <v>0</v>
      </c>
      <c r="K249" s="18"/>
    </row>
    <row r="250" spans="1:11" ht="15.75" customHeight="1" x14ac:dyDescent="0.25">
      <c r="A250" s="19">
        <v>249</v>
      </c>
      <c r="B250" s="19" t="s">
        <v>531</v>
      </c>
      <c r="C250" s="19" t="s">
        <v>2261</v>
      </c>
      <c r="D250" s="21" t="s">
        <v>2266</v>
      </c>
      <c r="E250" s="19"/>
      <c r="F250" s="19"/>
      <c r="G250" s="18">
        <v>0</v>
      </c>
      <c r="H250" s="18">
        <v>0</v>
      </c>
      <c r="I250" s="18">
        <v>0</v>
      </c>
      <c r="J250" s="18">
        <v>0</v>
      </c>
      <c r="K250" s="18"/>
    </row>
    <row r="251" spans="1:11" ht="15.75" customHeight="1" x14ac:dyDescent="0.25">
      <c r="A251" s="19">
        <v>250</v>
      </c>
      <c r="B251" s="19" t="s">
        <v>2282</v>
      </c>
      <c r="C251" s="19" t="s">
        <v>2261</v>
      </c>
      <c r="D251" s="19" t="s">
        <v>2262</v>
      </c>
      <c r="E251" s="20">
        <v>43252</v>
      </c>
      <c r="F251" s="19"/>
      <c r="G251" s="18">
        <v>0</v>
      </c>
      <c r="H251" s="18">
        <v>0</v>
      </c>
      <c r="I251" s="18">
        <v>0</v>
      </c>
      <c r="J251" s="18">
        <v>0</v>
      </c>
      <c r="K251" s="18"/>
    </row>
    <row r="252" spans="1:11" ht="15.75" customHeight="1" x14ac:dyDescent="0.25">
      <c r="A252" s="19">
        <v>251</v>
      </c>
      <c r="B252" s="19" t="s">
        <v>536</v>
      </c>
      <c r="C252" s="19" t="s">
        <v>2261</v>
      </c>
      <c r="D252" s="19" t="s">
        <v>2262</v>
      </c>
      <c r="E252" s="20">
        <v>43252</v>
      </c>
      <c r="F252" s="19"/>
      <c r="G252" s="18">
        <v>0</v>
      </c>
      <c r="H252" s="18">
        <v>0</v>
      </c>
      <c r="I252" s="18">
        <v>0</v>
      </c>
      <c r="J252" s="18">
        <v>0</v>
      </c>
      <c r="K252" s="18"/>
    </row>
    <row r="253" spans="1:11" ht="15.75" customHeight="1" x14ac:dyDescent="0.25">
      <c r="A253" s="19">
        <v>252</v>
      </c>
      <c r="B253" s="19" t="s">
        <v>538</v>
      </c>
      <c r="C253" s="19" t="s">
        <v>2261</v>
      </c>
      <c r="D253" s="19" t="s">
        <v>2262</v>
      </c>
      <c r="E253" s="20">
        <v>43252</v>
      </c>
      <c r="F253" s="19"/>
      <c r="G253" s="18">
        <v>0</v>
      </c>
      <c r="H253" s="18">
        <v>0</v>
      </c>
      <c r="I253" s="18">
        <v>0</v>
      </c>
      <c r="J253" s="18">
        <v>0</v>
      </c>
      <c r="K253" s="18"/>
    </row>
    <row r="254" spans="1:11" ht="15.75" customHeight="1" x14ac:dyDescent="0.25">
      <c r="A254" s="19">
        <v>253</v>
      </c>
      <c r="B254" s="19" t="s">
        <v>540</v>
      </c>
      <c r="C254" s="19" t="s">
        <v>2261</v>
      </c>
      <c r="D254" s="19" t="s">
        <v>2262</v>
      </c>
      <c r="E254" s="20">
        <v>43252</v>
      </c>
      <c r="F254" s="19"/>
      <c r="G254" s="18">
        <v>0</v>
      </c>
      <c r="H254" s="18">
        <v>0</v>
      </c>
      <c r="I254" s="18">
        <v>0</v>
      </c>
      <c r="J254" s="18">
        <v>0</v>
      </c>
      <c r="K254" s="18"/>
    </row>
    <row r="255" spans="1:11" ht="15.75" customHeight="1" x14ac:dyDescent="0.25">
      <c r="A255" s="19">
        <v>254</v>
      </c>
      <c r="B255" s="19" t="s">
        <v>542</v>
      </c>
      <c r="C255" s="19" t="s">
        <v>2261</v>
      </c>
      <c r="D255" s="19" t="s">
        <v>2262</v>
      </c>
      <c r="E255" s="20">
        <v>43252</v>
      </c>
      <c r="F255" s="19"/>
      <c r="G255" s="18">
        <v>0</v>
      </c>
      <c r="H255" s="18">
        <v>0</v>
      </c>
      <c r="I255" s="18">
        <v>0</v>
      </c>
      <c r="J255" s="18">
        <v>0</v>
      </c>
      <c r="K255" s="18"/>
    </row>
    <row r="256" spans="1:11" ht="15.75" customHeight="1" x14ac:dyDescent="0.25">
      <c r="A256" s="19">
        <v>255</v>
      </c>
      <c r="B256" s="19" t="s">
        <v>546</v>
      </c>
      <c r="C256" s="19" t="s">
        <v>2261</v>
      </c>
      <c r="D256" s="19" t="s">
        <v>2262</v>
      </c>
      <c r="E256" s="20">
        <v>43252</v>
      </c>
      <c r="F256" s="19"/>
      <c r="G256" s="18">
        <v>0</v>
      </c>
      <c r="H256" s="18">
        <v>0</v>
      </c>
      <c r="I256" s="18">
        <v>0</v>
      </c>
      <c r="J256" s="18">
        <v>0</v>
      </c>
      <c r="K256" s="18"/>
    </row>
    <row r="257" spans="1:11" ht="15.75" customHeight="1" x14ac:dyDescent="0.25">
      <c r="A257" s="19">
        <v>256</v>
      </c>
      <c r="B257" s="19" t="s">
        <v>548</v>
      </c>
      <c r="C257" s="19" t="s">
        <v>2261</v>
      </c>
      <c r="D257" s="19" t="s">
        <v>2262</v>
      </c>
      <c r="E257" s="20">
        <v>43252</v>
      </c>
      <c r="F257" s="19"/>
      <c r="G257" s="18">
        <v>0</v>
      </c>
      <c r="H257" s="18">
        <v>0</v>
      </c>
      <c r="I257" s="18">
        <v>0</v>
      </c>
      <c r="J257" s="18">
        <v>0</v>
      </c>
      <c r="K257" s="18"/>
    </row>
    <row r="258" spans="1:11" ht="15.75" customHeight="1" x14ac:dyDescent="0.25">
      <c r="A258" s="19">
        <v>257</v>
      </c>
      <c r="B258" s="19" t="s">
        <v>557</v>
      </c>
      <c r="C258" s="19" t="s">
        <v>2261</v>
      </c>
      <c r="D258" s="21" t="s">
        <v>2266</v>
      </c>
      <c r="E258" s="19"/>
      <c r="F258" s="19"/>
      <c r="G258" s="18">
        <v>0</v>
      </c>
      <c r="H258" s="18">
        <v>0</v>
      </c>
      <c r="I258" s="18">
        <v>0</v>
      </c>
      <c r="J258" s="18">
        <v>1</v>
      </c>
      <c r="K258" s="18"/>
    </row>
    <row r="259" spans="1:11" ht="15.75" customHeight="1" x14ac:dyDescent="0.25">
      <c r="A259" s="19">
        <v>258</v>
      </c>
      <c r="B259" s="19" t="s">
        <v>554</v>
      </c>
      <c r="C259" s="19" t="s">
        <v>2261</v>
      </c>
      <c r="D259" s="19" t="s">
        <v>2262</v>
      </c>
      <c r="E259" s="20">
        <v>43252</v>
      </c>
      <c r="F259" s="19"/>
      <c r="G259" s="18">
        <v>0</v>
      </c>
      <c r="H259" s="18">
        <v>0</v>
      </c>
      <c r="I259" s="18">
        <v>0</v>
      </c>
      <c r="J259" s="18">
        <v>0</v>
      </c>
      <c r="K259" s="18"/>
    </row>
    <row r="260" spans="1:11" ht="15.75" customHeight="1" x14ac:dyDescent="0.25">
      <c r="A260" s="19">
        <v>259</v>
      </c>
      <c r="B260" s="19" t="s">
        <v>560</v>
      </c>
      <c r="C260" s="19" t="s">
        <v>2261</v>
      </c>
      <c r="D260" s="19" t="s">
        <v>2262</v>
      </c>
      <c r="E260" s="20">
        <v>43252</v>
      </c>
      <c r="F260" s="19"/>
      <c r="G260" s="18">
        <v>0</v>
      </c>
      <c r="H260" s="18">
        <v>0</v>
      </c>
      <c r="I260" s="18">
        <v>0</v>
      </c>
      <c r="J260" s="18">
        <v>0</v>
      </c>
      <c r="K260" s="18"/>
    </row>
    <row r="261" spans="1:11" ht="15.75" customHeight="1" x14ac:dyDescent="0.25">
      <c r="A261" s="19">
        <v>260</v>
      </c>
      <c r="B261" s="19" t="s">
        <v>563</v>
      </c>
      <c r="C261" s="19" t="s">
        <v>2261</v>
      </c>
      <c r="D261" s="19" t="s">
        <v>2262</v>
      </c>
      <c r="E261" s="20">
        <v>43252</v>
      </c>
      <c r="F261" s="19"/>
      <c r="G261" s="18">
        <v>0</v>
      </c>
      <c r="H261" s="18">
        <v>0</v>
      </c>
      <c r="I261" s="18">
        <v>0</v>
      </c>
      <c r="J261" s="18">
        <v>0</v>
      </c>
      <c r="K261" s="18"/>
    </row>
    <row r="262" spans="1:11" ht="15.75" customHeight="1" x14ac:dyDescent="0.25">
      <c r="A262" s="19">
        <v>261</v>
      </c>
      <c r="B262" s="19" t="s">
        <v>566</v>
      </c>
      <c r="C262" s="19" t="s">
        <v>2261</v>
      </c>
      <c r="D262" s="19" t="s">
        <v>2262</v>
      </c>
      <c r="E262" s="20">
        <v>43252</v>
      </c>
      <c r="F262" s="19"/>
      <c r="G262" s="18">
        <v>0</v>
      </c>
      <c r="H262" s="18">
        <v>0</v>
      </c>
      <c r="I262" s="18">
        <v>0</v>
      </c>
      <c r="J262" s="18">
        <v>0</v>
      </c>
      <c r="K262" s="18"/>
    </row>
    <row r="263" spans="1:11" ht="15.75" customHeight="1" x14ac:dyDescent="0.25">
      <c r="A263" s="19">
        <v>262</v>
      </c>
      <c r="B263" s="19" t="s">
        <v>570</v>
      </c>
      <c r="C263" s="19" t="s">
        <v>2261</v>
      </c>
      <c r="D263" s="19" t="s">
        <v>2262</v>
      </c>
      <c r="E263" s="20">
        <v>43252</v>
      </c>
      <c r="F263" s="19"/>
      <c r="G263" s="18">
        <v>0</v>
      </c>
      <c r="H263" s="18">
        <v>0</v>
      </c>
      <c r="I263" s="18">
        <v>0</v>
      </c>
      <c r="J263" s="18">
        <v>0</v>
      </c>
      <c r="K263" s="18"/>
    </row>
    <row r="264" spans="1:11" ht="15.75" customHeight="1" x14ac:dyDescent="0.25">
      <c r="A264" s="19">
        <v>263</v>
      </c>
      <c r="B264" s="19" t="s">
        <v>572</v>
      </c>
      <c r="C264" s="19" t="s">
        <v>2261</v>
      </c>
      <c r="D264" s="19" t="s">
        <v>2262</v>
      </c>
      <c r="E264" s="20">
        <v>43252</v>
      </c>
      <c r="F264" s="19"/>
      <c r="G264" s="18">
        <v>0</v>
      </c>
      <c r="H264" s="18">
        <v>0</v>
      </c>
      <c r="I264" s="18">
        <v>0</v>
      </c>
      <c r="J264" s="18">
        <v>0</v>
      </c>
      <c r="K264" s="18"/>
    </row>
    <row r="265" spans="1:11" ht="15.75" customHeight="1" x14ac:dyDescent="0.25">
      <c r="A265" s="19">
        <v>264</v>
      </c>
      <c r="B265" s="19" t="s">
        <v>574</v>
      </c>
      <c r="C265" s="19" t="s">
        <v>2261</v>
      </c>
      <c r="D265" s="19" t="s">
        <v>2262</v>
      </c>
      <c r="E265" s="20">
        <v>43252</v>
      </c>
      <c r="F265" s="19"/>
      <c r="G265" s="18">
        <v>0</v>
      </c>
      <c r="H265" s="18">
        <v>0</v>
      </c>
      <c r="I265" s="18">
        <v>0</v>
      </c>
      <c r="J265" s="18">
        <v>0</v>
      </c>
      <c r="K265" s="18"/>
    </row>
    <row r="266" spans="1:11" ht="15.75" customHeight="1" x14ac:dyDescent="0.25">
      <c r="A266" s="19">
        <v>265</v>
      </c>
      <c r="B266" s="19" t="s">
        <v>576</v>
      </c>
      <c r="C266" s="19" t="s">
        <v>2261</v>
      </c>
      <c r="D266" s="19" t="s">
        <v>2262</v>
      </c>
      <c r="E266" s="20">
        <v>43252</v>
      </c>
      <c r="F266" s="19"/>
      <c r="G266" s="18">
        <v>0</v>
      </c>
      <c r="H266" s="18">
        <v>0</v>
      </c>
      <c r="I266" s="18">
        <v>0</v>
      </c>
      <c r="J266" s="18">
        <v>0</v>
      </c>
      <c r="K266" s="18"/>
    </row>
    <row r="267" spans="1:11" ht="15.75" customHeight="1" x14ac:dyDescent="0.25">
      <c r="A267" s="19">
        <v>266</v>
      </c>
      <c r="B267" s="19" t="s">
        <v>578</v>
      </c>
      <c r="C267" s="19" t="s">
        <v>2261</v>
      </c>
      <c r="D267" s="19" t="s">
        <v>2262</v>
      </c>
      <c r="E267" s="20">
        <v>43252</v>
      </c>
      <c r="F267" s="19"/>
      <c r="G267" s="18">
        <v>0</v>
      </c>
      <c r="H267" s="18">
        <v>0</v>
      </c>
      <c r="I267" s="18">
        <v>0</v>
      </c>
      <c r="J267" s="18">
        <v>0</v>
      </c>
      <c r="K267" s="18"/>
    </row>
    <row r="268" spans="1:11" ht="15.75" customHeight="1" x14ac:dyDescent="0.25">
      <c r="A268" s="19">
        <v>267</v>
      </c>
      <c r="B268" s="19" t="s">
        <v>580</v>
      </c>
      <c r="C268" s="19" t="s">
        <v>2261</v>
      </c>
      <c r="D268" s="19" t="s">
        <v>2262</v>
      </c>
      <c r="E268" s="20">
        <v>43252</v>
      </c>
      <c r="F268" s="19"/>
      <c r="G268" s="18">
        <v>0</v>
      </c>
      <c r="H268" s="18">
        <v>0</v>
      </c>
      <c r="I268" s="18">
        <v>0</v>
      </c>
      <c r="J268" s="18">
        <v>0</v>
      </c>
      <c r="K268" s="18"/>
    </row>
    <row r="269" spans="1:11" ht="15.75" customHeight="1" x14ac:dyDescent="0.25">
      <c r="A269" s="19">
        <v>268</v>
      </c>
      <c r="B269" s="19" t="s">
        <v>582</v>
      </c>
      <c r="C269" s="19" t="s">
        <v>2261</v>
      </c>
      <c r="D269" s="19" t="s">
        <v>2262</v>
      </c>
      <c r="E269" s="20">
        <v>43252</v>
      </c>
      <c r="F269" s="19"/>
      <c r="G269" s="18">
        <v>0</v>
      </c>
      <c r="H269" s="18">
        <v>0</v>
      </c>
      <c r="I269" s="18">
        <v>0</v>
      </c>
      <c r="J269" s="18">
        <v>0</v>
      </c>
      <c r="K269" s="18"/>
    </row>
    <row r="270" spans="1:11" ht="15.75" customHeight="1" x14ac:dyDescent="0.25">
      <c r="A270" s="19">
        <v>269</v>
      </c>
      <c r="B270" s="19" t="s">
        <v>584</v>
      </c>
      <c r="C270" s="19" t="s">
        <v>2261</v>
      </c>
      <c r="D270" s="19" t="s">
        <v>2262</v>
      </c>
      <c r="E270" s="20">
        <v>43252</v>
      </c>
      <c r="F270" s="19"/>
      <c r="G270" s="18">
        <v>0</v>
      </c>
      <c r="H270" s="18">
        <v>1</v>
      </c>
      <c r="I270" s="18">
        <v>1</v>
      </c>
      <c r="J270" s="18">
        <v>1</v>
      </c>
      <c r="K270" s="18"/>
    </row>
    <row r="271" spans="1:11" ht="15.75" customHeight="1" x14ac:dyDescent="0.25">
      <c r="A271" s="19">
        <v>270</v>
      </c>
      <c r="B271" s="19" t="s">
        <v>586</v>
      </c>
      <c r="C271" s="19" t="s">
        <v>2261</v>
      </c>
      <c r="D271" s="19" t="s">
        <v>2262</v>
      </c>
      <c r="E271" s="20">
        <v>43252</v>
      </c>
      <c r="F271" s="19"/>
      <c r="G271" s="18">
        <v>0</v>
      </c>
      <c r="H271" s="18">
        <v>0</v>
      </c>
      <c r="I271" s="18">
        <v>0</v>
      </c>
      <c r="J271" s="18">
        <v>0</v>
      </c>
      <c r="K271" s="18"/>
    </row>
    <row r="272" spans="1:11" ht="15.75" customHeight="1" x14ac:dyDescent="0.25">
      <c r="A272" s="19">
        <v>271</v>
      </c>
      <c r="B272" s="19" t="s">
        <v>588</v>
      </c>
      <c r="C272" s="19" t="s">
        <v>2261</v>
      </c>
      <c r="D272" s="19" t="s">
        <v>2262</v>
      </c>
      <c r="E272" s="20">
        <v>43252</v>
      </c>
      <c r="F272" s="19"/>
      <c r="G272" s="18">
        <v>0</v>
      </c>
      <c r="H272" s="18">
        <v>0</v>
      </c>
      <c r="I272" s="18">
        <v>0</v>
      </c>
      <c r="J272" s="18">
        <v>0</v>
      </c>
      <c r="K272" s="18"/>
    </row>
    <row r="273" spans="1:11" ht="15.75" customHeight="1" x14ac:dyDescent="0.25">
      <c r="A273" s="19">
        <v>272</v>
      </c>
      <c r="B273" s="19" t="s">
        <v>590</v>
      </c>
      <c r="C273" s="19" t="s">
        <v>2261</v>
      </c>
      <c r="D273" s="19" t="s">
        <v>2262</v>
      </c>
      <c r="E273" s="20">
        <v>43252</v>
      </c>
      <c r="F273" s="19"/>
      <c r="G273" s="18">
        <v>0</v>
      </c>
      <c r="H273" s="18">
        <v>0</v>
      </c>
      <c r="I273" s="18">
        <v>0</v>
      </c>
      <c r="J273" s="18">
        <v>0</v>
      </c>
      <c r="K273" s="18"/>
    </row>
    <row r="274" spans="1:11" ht="15.75" customHeight="1" x14ac:dyDescent="0.25">
      <c r="A274" s="19">
        <v>273</v>
      </c>
      <c r="B274" s="19" t="s">
        <v>592</v>
      </c>
      <c r="C274" s="19" t="s">
        <v>2263</v>
      </c>
      <c r="D274" s="19" t="s">
        <v>2264</v>
      </c>
      <c r="E274" s="19"/>
      <c r="F274" s="20">
        <v>40026</v>
      </c>
      <c r="G274" s="18">
        <v>0</v>
      </c>
      <c r="H274" s="18">
        <v>1</v>
      </c>
      <c r="I274" s="18">
        <v>1</v>
      </c>
      <c r="J274" s="18">
        <v>1</v>
      </c>
      <c r="K274" s="18"/>
    </row>
    <row r="275" spans="1:11" ht="15.75" customHeight="1" x14ac:dyDescent="0.25">
      <c r="A275" s="19">
        <v>274</v>
      </c>
      <c r="B275" s="19" t="s">
        <v>594</v>
      </c>
      <c r="C275" s="19" t="s">
        <v>2261</v>
      </c>
      <c r="D275" s="19" t="s">
        <v>2262</v>
      </c>
      <c r="E275" s="20">
        <v>43252</v>
      </c>
      <c r="F275" s="19"/>
      <c r="G275" s="18">
        <v>0</v>
      </c>
      <c r="H275" s="18">
        <v>0</v>
      </c>
      <c r="I275" s="18">
        <v>0</v>
      </c>
      <c r="J275" s="18">
        <v>0</v>
      </c>
      <c r="K275" s="18"/>
    </row>
    <row r="276" spans="1:11" ht="15.75" customHeight="1" x14ac:dyDescent="0.25">
      <c r="A276" s="19">
        <v>275</v>
      </c>
      <c r="B276" s="19" t="s">
        <v>596</v>
      </c>
      <c r="C276" s="19" t="s">
        <v>2261</v>
      </c>
      <c r="D276" s="19" t="s">
        <v>2262</v>
      </c>
      <c r="E276" s="20">
        <v>43252</v>
      </c>
      <c r="F276" s="19"/>
      <c r="G276" s="18">
        <v>0</v>
      </c>
      <c r="H276" s="18">
        <v>0</v>
      </c>
      <c r="I276" s="18">
        <v>0</v>
      </c>
      <c r="J276" s="18">
        <v>0</v>
      </c>
      <c r="K276" s="18"/>
    </row>
    <row r="277" spans="1:11" ht="15.75" customHeight="1" x14ac:dyDescent="0.25">
      <c r="A277" s="19">
        <v>276</v>
      </c>
      <c r="B277" s="19" t="s">
        <v>598</v>
      </c>
      <c r="C277" s="19" t="s">
        <v>2263</v>
      </c>
      <c r="D277" s="19" t="s">
        <v>2264</v>
      </c>
      <c r="E277" s="19"/>
      <c r="F277" s="20">
        <v>40026</v>
      </c>
      <c r="G277" s="18">
        <v>1</v>
      </c>
      <c r="H277" s="18">
        <v>1</v>
      </c>
      <c r="I277" s="18">
        <v>0</v>
      </c>
      <c r="J277" s="18">
        <v>0</v>
      </c>
      <c r="K277" s="18"/>
    </row>
    <row r="278" spans="1:11" ht="15.75" customHeight="1" x14ac:dyDescent="0.25">
      <c r="A278" s="19">
        <v>277</v>
      </c>
      <c r="B278" s="19" t="s">
        <v>2283</v>
      </c>
      <c r="C278" s="19" t="s">
        <v>2261</v>
      </c>
      <c r="D278" s="19" t="s">
        <v>2262</v>
      </c>
      <c r="E278" s="20">
        <v>43252</v>
      </c>
      <c r="F278" s="19"/>
      <c r="G278" s="18">
        <v>0</v>
      </c>
      <c r="H278" s="18">
        <v>0</v>
      </c>
      <c r="I278" s="18">
        <v>0</v>
      </c>
      <c r="J278" s="18">
        <v>0</v>
      </c>
      <c r="K278" s="18"/>
    </row>
    <row r="279" spans="1:11" ht="15.75" customHeight="1" x14ac:dyDescent="0.25">
      <c r="A279" s="19">
        <v>278</v>
      </c>
      <c r="B279" s="19" t="s">
        <v>603</v>
      </c>
      <c r="C279" s="19" t="s">
        <v>2261</v>
      </c>
      <c r="D279" s="19" t="s">
        <v>2262</v>
      </c>
      <c r="E279" s="20">
        <v>43252</v>
      </c>
      <c r="F279" s="19"/>
      <c r="G279" s="18">
        <v>0</v>
      </c>
      <c r="H279" s="18">
        <v>0</v>
      </c>
      <c r="I279" s="18">
        <v>1</v>
      </c>
      <c r="J279" s="18">
        <v>1</v>
      </c>
      <c r="K279" s="18"/>
    </row>
    <row r="280" spans="1:11" ht="15.75" customHeight="1" x14ac:dyDescent="0.25">
      <c r="A280" s="19">
        <v>279</v>
      </c>
      <c r="B280" s="19" t="s">
        <v>605</v>
      </c>
      <c r="C280" s="23" t="s">
        <v>2263</v>
      </c>
      <c r="D280" s="21" t="s">
        <v>2266</v>
      </c>
      <c r="E280" s="19"/>
      <c r="F280" s="19"/>
      <c r="G280" s="18">
        <v>0</v>
      </c>
      <c r="H280" s="18">
        <v>0</v>
      </c>
      <c r="I280" s="18">
        <v>0</v>
      </c>
      <c r="J280" s="18">
        <v>1</v>
      </c>
      <c r="K280" s="18"/>
    </row>
    <row r="281" spans="1:11" ht="15.75" customHeight="1" x14ac:dyDescent="0.25">
      <c r="A281" s="19">
        <v>280</v>
      </c>
      <c r="B281" s="19" t="s">
        <v>607</v>
      </c>
      <c r="C281" s="23" t="s">
        <v>2263</v>
      </c>
      <c r="D281" s="21" t="s">
        <v>2266</v>
      </c>
      <c r="E281" s="19"/>
      <c r="F281" s="19"/>
      <c r="G281" s="18">
        <v>0</v>
      </c>
      <c r="H281" s="18">
        <v>1</v>
      </c>
      <c r="I281" s="18">
        <v>1</v>
      </c>
      <c r="J281" s="18">
        <v>1</v>
      </c>
      <c r="K281" s="18"/>
    </row>
    <row r="282" spans="1:11" ht="15.75" customHeight="1" x14ac:dyDescent="0.25">
      <c r="A282" s="19">
        <v>281</v>
      </c>
      <c r="B282" s="19" t="s">
        <v>609</v>
      </c>
      <c r="C282" s="19" t="s">
        <v>2263</v>
      </c>
      <c r="D282" s="19" t="s">
        <v>2264</v>
      </c>
      <c r="E282" s="19"/>
      <c r="F282" s="20">
        <v>40725</v>
      </c>
      <c r="G282" s="18">
        <v>0</v>
      </c>
      <c r="H282" s="18">
        <v>0</v>
      </c>
      <c r="I282" s="18">
        <v>1</v>
      </c>
      <c r="J282" s="18">
        <v>1</v>
      </c>
      <c r="K282" s="18"/>
    </row>
    <row r="283" spans="1:11" ht="15.75" customHeight="1" x14ac:dyDescent="0.25">
      <c r="A283" s="19">
        <v>282</v>
      </c>
      <c r="B283" s="19" t="s">
        <v>611</v>
      </c>
      <c r="C283" s="19" t="s">
        <v>2263</v>
      </c>
      <c r="D283" s="19" t="s">
        <v>2264</v>
      </c>
      <c r="E283" s="19"/>
      <c r="F283" s="19">
        <v>2015</v>
      </c>
      <c r="G283" s="18">
        <v>0</v>
      </c>
      <c r="H283" s="18">
        <v>0</v>
      </c>
      <c r="I283" s="18">
        <v>0</v>
      </c>
      <c r="J283" s="18">
        <v>1</v>
      </c>
      <c r="K283" s="18"/>
    </row>
    <row r="284" spans="1:11" ht="15.75" customHeight="1" x14ac:dyDescent="0.25">
      <c r="A284" s="19">
        <v>283</v>
      </c>
      <c r="B284" s="19" t="s">
        <v>614</v>
      </c>
      <c r="C284" s="19" t="s">
        <v>2261</v>
      </c>
      <c r="D284" s="19" t="s">
        <v>2262</v>
      </c>
      <c r="E284" s="20">
        <v>43252</v>
      </c>
      <c r="F284" s="19"/>
      <c r="G284" s="18">
        <v>0</v>
      </c>
      <c r="H284" s="18">
        <v>1</v>
      </c>
      <c r="I284" s="18">
        <v>0</v>
      </c>
      <c r="J284" s="18">
        <v>0</v>
      </c>
      <c r="K284" s="18"/>
    </row>
    <row r="285" spans="1:11" ht="15.75" customHeight="1" x14ac:dyDescent="0.25">
      <c r="A285" s="19">
        <v>284</v>
      </c>
      <c r="B285" s="19">
        <v>90210</v>
      </c>
      <c r="C285" s="19" t="s">
        <v>2261</v>
      </c>
      <c r="D285" s="19" t="s">
        <v>2262</v>
      </c>
      <c r="E285" s="20">
        <v>43252</v>
      </c>
      <c r="F285" s="19"/>
      <c r="G285" s="18">
        <v>0</v>
      </c>
      <c r="H285" s="18">
        <v>0</v>
      </c>
      <c r="I285" s="18">
        <v>0</v>
      </c>
      <c r="J285" s="18">
        <v>0</v>
      </c>
      <c r="K285" s="18"/>
    </row>
    <row r="286" spans="1:11" ht="15.75" customHeight="1" x14ac:dyDescent="0.25">
      <c r="A286" s="19">
        <v>285</v>
      </c>
      <c r="B286" s="19"/>
      <c r="C286" s="19"/>
      <c r="D286" s="19"/>
      <c r="E286" s="19"/>
      <c r="F286" s="19"/>
      <c r="G286" s="18">
        <v>0</v>
      </c>
      <c r="H286" s="18">
        <v>0</v>
      </c>
      <c r="I286" s="18">
        <v>0</v>
      </c>
      <c r="J286" s="18">
        <v>0</v>
      </c>
      <c r="K286" s="18"/>
    </row>
    <row r="287" spans="1:11" ht="15.75" customHeight="1" x14ac:dyDescent="0.25">
      <c r="A287" s="19">
        <v>286</v>
      </c>
      <c r="B287" s="19" t="s">
        <v>616</v>
      </c>
      <c r="C287" s="19" t="s">
        <v>2263</v>
      </c>
      <c r="D287" s="19" t="s">
        <v>2264</v>
      </c>
      <c r="E287" s="19"/>
      <c r="F287" s="19">
        <v>2015</v>
      </c>
      <c r="G287" s="18">
        <v>0</v>
      </c>
      <c r="H287" s="18">
        <v>0</v>
      </c>
      <c r="I287" s="18">
        <v>0</v>
      </c>
      <c r="J287" s="18">
        <v>0</v>
      </c>
      <c r="K287" s="18"/>
    </row>
    <row r="288" spans="1:11" ht="15.75" customHeight="1" x14ac:dyDescent="0.25">
      <c r="A288" s="19">
        <v>287</v>
      </c>
      <c r="B288" s="19" t="s">
        <v>73</v>
      </c>
      <c r="C288" s="19" t="s">
        <v>2263</v>
      </c>
      <c r="D288" s="19" t="s">
        <v>2264</v>
      </c>
      <c r="E288" s="19"/>
      <c r="F288" s="20">
        <v>40026</v>
      </c>
      <c r="G288" s="18">
        <v>0</v>
      </c>
      <c r="H288" s="18">
        <v>0</v>
      </c>
      <c r="I288" s="18">
        <v>0</v>
      </c>
      <c r="J288" s="18">
        <v>0</v>
      </c>
      <c r="K288" s="18"/>
    </row>
    <row r="289" spans="1:11" ht="15.75" customHeight="1" x14ac:dyDescent="0.25">
      <c r="A289" s="19">
        <v>288</v>
      </c>
      <c r="B289" s="19" t="s">
        <v>617</v>
      </c>
      <c r="C289" s="19" t="s">
        <v>2263</v>
      </c>
      <c r="D289" s="19" t="s">
        <v>2264</v>
      </c>
      <c r="E289" s="19"/>
      <c r="F289" s="19">
        <v>2015</v>
      </c>
      <c r="G289" s="18">
        <v>0</v>
      </c>
      <c r="H289" s="18">
        <v>0</v>
      </c>
      <c r="I289" s="18">
        <v>0</v>
      </c>
      <c r="J289" s="18">
        <v>0</v>
      </c>
      <c r="K289" s="18"/>
    </row>
    <row r="290" spans="1:11" ht="15.75" customHeight="1" x14ac:dyDescent="0.25">
      <c r="A290" s="19">
        <v>289</v>
      </c>
      <c r="B290" s="19" t="s">
        <v>2284</v>
      </c>
      <c r="C290" s="19" t="s">
        <v>2263</v>
      </c>
      <c r="D290" s="19" t="s">
        <v>2264</v>
      </c>
      <c r="E290" s="19"/>
      <c r="F290" s="19" t="s">
        <v>2269</v>
      </c>
      <c r="G290" s="18">
        <v>0</v>
      </c>
      <c r="H290" s="18">
        <v>0</v>
      </c>
      <c r="I290" s="18">
        <v>0</v>
      </c>
      <c r="J290" s="18">
        <v>0</v>
      </c>
      <c r="K290" s="18"/>
    </row>
    <row r="291" spans="1:11" ht="15.75" customHeight="1" x14ac:dyDescent="0.25">
      <c r="A291" s="19">
        <v>290</v>
      </c>
      <c r="B291" s="19" t="s">
        <v>2204</v>
      </c>
      <c r="C291" s="19" t="s">
        <v>2285</v>
      </c>
      <c r="D291" s="19" t="s">
        <v>2262</v>
      </c>
      <c r="E291" s="20">
        <v>43252</v>
      </c>
      <c r="F291" s="19"/>
      <c r="G291" s="18">
        <v>0</v>
      </c>
      <c r="H291" s="18">
        <v>0</v>
      </c>
      <c r="I291" s="18">
        <v>0</v>
      </c>
      <c r="J291" s="18">
        <v>0</v>
      </c>
      <c r="K291" s="18"/>
    </row>
    <row r="292" spans="1:11" ht="15.75" customHeight="1" x14ac:dyDescent="0.25">
      <c r="A292" s="19">
        <v>291</v>
      </c>
      <c r="B292" s="19" t="s">
        <v>621</v>
      </c>
      <c r="C292" s="19" t="s">
        <v>2285</v>
      </c>
      <c r="D292" s="21" t="s">
        <v>2266</v>
      </c>
      <c r="E292" s="19"/>
      <c r="F292" s="19"/>
      <c r="G292" s="18">
        <v>0</v>
      </c>
      <c r="H292" s="18">
        <v>0</v>
      </c>
      <c r="I292" s="18">
        <v>0</v>
      </c>
      <c r="J292" s="18">
        <v>0</v>
      </c>
      <c r="K292" s="18"/>
    </row>
    <row r="293" spans="1:11" ht="15.75" customHeight="1" x14ac:dyDescent="0.25">
      <c r="A293" s="19">
        <v>292</v>
      </c>
      <c r="B293" s="19" t="s">
        <v>948</v>
      </c>
      <c r="C293" s="19" t="s">
        <v>2261</v>
      </c>
      <c r="D293" s="22" t="s">
        <v>2268</v>
      </c>
      <c r="E293" s="20">
        <v>43252</v>
      </c>
      <c r="F293" s="19" t="s">
        <v>2269</v>
      </c>
      <c r="G293" s="18">
        <v>0</v>
      </c>
      <c r="H293" s="18">
        <v>0</v>
      </c>
      <c r="I293" s="18">
        <v>0</v>
      </c>
      <c r="J293" s="18">
        <v>0</v>
      </c>
      <c r="K293" s="18"/>
    </row>
    <row r="294" spans="1:11" ht="15.75" customHeight="1" x14ac:dyDescent="0.25">
      <c r="A294" s="19">
        <v>293</v>
      </c>
      <c r="B294" s="19" t="s">
        <v>2206</v>
      </c>
      <c r="C294" s="19" t="s">
        <v>2261</v>
      </c>
      <c r="D294" s="19" t="s">
        <v>2262</v>
      </c>
      <c r="E294" s="20">
        <v>43252</v>
      </c>
      <c r="F294" s="19"/>
      <c r="G294" s="18">
        <v>0</v>
      </c>
      <c r="H294" s="18">
        <v>0</v>
      </c>
      <c r="I294" s="18">
        <v>0</v>
      </c>
      <c r="J294" s="18">
        <v>0</v>
      </c>
      <c r="K294" s="18"/>
    </row>
    <row r="295" spans="1:11" ht="15.75" customHeight="1" x14ac:dyDescent="0.25">
      <c r="A295" s="19">
        <v>294</v>
      </c>
      <c r="B295" s="19" t="s">
        <v>155</v>
      </c>
      <c r="C295" s="19" t="s">
        <v>2276</v>
      </c>
      <c r="D295" s="19" t="s">
        <v>2264</v>
      </c>
      <c r="E295" s="19"/>
      <c r="F295" s="19" t="s">
        <v>2269</v>
      </c>
      <c r="G295" s="18">
        <v>0</v>
      </c>
      <c r="H295" s="18">
        <v>0</v>
      </c>
      <c r="I295" s="18">
        <v>0</v>
      </c>
      <c r="J295" s="18">
        <v>0</v>
      </c>
      <c r="K295" s="18"/>
    </row>
    <row r="296" spans="1:11" ht="15.75" customHeight="1" x14ac:dyDescent="0.25">
      <c r="A296" s="19">
        <v>295</v>
      </c>
      <c r="B296" s="19" t="s">
        <v>2286</v>
      </c>
      <c r="C296" s="19" t="s">
        <v>2261</v>
      </c>
      <c r="D296" s="21" t="s">
        <v>2266</v>
      </c>
      <c r="E296" s="19"/>
      <c r="F296" s="19"/>
      <c r="G296" s="18">
        <v>0</v>
      </c>
      <c r="H296" s="18">
        <v>0</v>
      </c>
      <c r="I296" s="18">
        <v>0</v>
      </c>
      <c r="J296" s="18">
        <v>0</v>
      </c>
      <c r="K296" s="18"/>
    </row>
    <row r="297" spans="1:11" ht="15.75" customHeight="1" x14ac:dyDescent="0.25">
      <c r="A297" s="19">
        <v>296</v>
      </c>
      <c r="B297" s="19" t="s">
        <v>1639</v>
      </c>
      <c r="C297" s="19" t="s">
        <v>2263</v>
      </c>
      <c r="D297" s="19" t="s">
        <v>2264</v>
      </c>
      <c r="E297" s="19"/>
      <c r="F297" s="20">
        <v>40026</v>
      </c>
      <c r="G297" s="18">
        <v>1</v>
      </c>
      <c r="H297" s="18">
        <v>1</v>
      </c>
      <c r="I297" s="18">
        <v>0</v>
      </c>
      <c r="J297" s="18">
        <v>0</v>
      </c>
      <c r="K297" s="18"/>
    </row>
    <row r="298" spans="1:11" ht="15.75" customHeight="1" x14ac:dyDescent="0.25">
      <c r="A298" s="19">
        <v>297</v>
      </c>
      <c r="B298" s="19" t="s">
        <v>240</v>
      </c>
      <c r="C298" s="19" t="s">
        <v>2263</v>
      </c>
      <c r="D298" s="19" t="s">
        <v>2264</v>
      </c>
      <c r="E298" s="19"/>
      <c r="F298" s="20">
        <v>40026</v>
      </c>
      <c r="G298" s="18">
        <v>1</v>
      </c>
      <c r="H298" s="18">
        <v>1</v>
      </c>
      <c r="I298" s="18">
        <v>1</v>
      </c>
      <c r="J298" s="18">
        <v>1</v>
      </c>
      <c r="K298" s="18"/>
    </row>
    <row r="299" spans="1:11" ht="15.75" customHeight="1" x14ac:dyDescent="0.25">
      <c r="A299" s="19">
        <v>298</v>
      </c>
      <c r="B299" s="19" t="s">
        <v>2287</v>
      </c>
      <c r="C299" s="19" t="s">
        <v>2263</v>
      </c>
      <c r="D299" s="19" t="s">
        <v>2264</v>
      </c>
      <c r="E299" s="19"/>
      <c r="F299" s="20">
        <v>40026</v>
      </c>
      <c r="G299" s="18">
        <v>1</v>
      </c>
      <c r="H299" s="18">
        <v>0</v>
      </c>
      <c r="I299" s="18">
        <v>1</v>
      </c>
      <c r="J299" s="18">
        <v>1</v>
      </c>
      <c r="K299" s="18"/>
    </row>
    <row r="300" spans="1:11" ht="15.75" customHeight="1" x14ac:dyDescent="0.25">
      <c r="A300" s="19">
        <v>299</v>
      </c>
      <c r="B300" s="19" t="s">
        <v>2288</v>
      </c>
      <c r="C300" s="19" t="s">
        <v>2263</v>
      </c>
      <c r="D300" s="19" t="s">
        <v>2264</v>
      </c>
      <c r="E300" s="19"/>
      <c r="F300" s="20">
        <v>40026</v>
      </c>
      <c r="G300" s="18">
        <v>0</v>
      </c>
      <c r="H300" s="18">
        <v>0</v>
      </c>
      <c r="I300" s="18">
        <v>0</v>
      </c>
      <c r="J300" s="18">
        <v>0</v>
      </c>
      <c r="K300" s="18"/>
    </row>
    <row r="301" spans="1:11" ht="15.75" customHeight="1" x14ac:dyDescent="0.25">
      <c r="A301" s="19">
        <v>300</v>
      </c>
      <c r="B301" s="19" t="s">
        <v>2224</v>
      </c>
      <c r="C301" s="19" t="s">
        <v>2261</v>
      </c>
      <c r="D301" s="21" t="s">
        <v>2266</v>
      </c>
      <c r="E301" s="19"/>
      <c r="F301" s="19"/>
      <c r="G301" s="18">
        <v>0</v>
      </c>
      <c r="H301" s="18">
        <v>0</v>
      </c>
      <c r="I301" s="18">
        <v>0</v>
      </c>
      <c r="J301" s="18">
        <v>0</v>
      </c>
      <c r="K301" s="18"/>
    </row>
    <row r="302" spans="1:11" ht="15.75" customHeight="1" x14ac:dyDescent="0.25">
      <c r="A302" s="19">
        <v>301</v>
      </c>
      <c r="B302" s="19" t="s">
        <v>637</v>
      </c>
      <c r="C302" s="19" t="s">
        <v>2261</v>
      </c>
      <c r="D302" s="19" t="s">
        <v>2262</v>
      </c>
      <c r="E302" s="20">
        <v>43252</v>
      </c>
      <c r="F302" s="19"/>
      <c r="G302" s="18">
        <v>0</v>
      </c>
      <c r="H302" s="18">
        <v>0</v>
      </c>
      <c r="I302" s="18">
        <v>0</v>
      </c>
      <c r="J302" s="18">
        <v>0</v>
      </c>
      <c r="K302" s="18"/>
    </row>
    <row r="303" spans="1:11" ht="15.75" customHeight="1" x14ac:dyDescent="0.25">
      <c r="A303" s="19">
        <v>302</v>
      </c>
      <c r="B303" s="19" t="s">
        <v>2289</v>
      </c>
      <c r="C303" s="19" t="s">
        <v>2261</v>
      </c>
      <c r="D303" s="21" t="s">
        <v>2266</v>
      </c>
      <c r="E303" s="19"/>
      <c r="F303" s="19"/>
      <c r="G303" s="18">
        <v>0</v>
      </c>
      <c r="H303" s="18">
        <v>0</v>
      </c>
      <c r="I303" s="18">
        <v>0</v>
      </c>
      <c r="J303" s="18">
        <v>0</v>
      </c>
      <c r="K303" s="18"/>
    </row>
    <row r="304" spans="1:11" ht="15.75" customHeight="1" x14ac:dyDescent="0.25">
      <c r="A304" s="19">
        <v>303</v>
      </c>
      <c r="B304" s="19" t="s">
        <v>2290</v>
      </c>
      <c r="C304" s="19" t="s">
        <v>2261</v>
      </c>
      <c r="D304" s="21" t="s">
        <v>2266</v>
      </c>
      <c r="E304" s="19"/>
      <c r="F304" s="19"/>
      <c r="G304" s="18">
        <v>0</v>
      </c>
      <c r="H304" s="18">
        <v>0</v>
      </c>
      <c r="I304" s="18">
        <v>0</v>
      </c>
      <c r="J304" s="18">
        <v>0</v>
      </c>
      <c r="K304" s="18"/>
    </row>
    <row r="305" spans="1:11" ht="15.75" customHeight="1" x14ac:dyDescent="0.25">
      <c r="A305" s="19">
        <v>304</v>
      </c>
      <c r="B305" s="19" t="s">
        <v>2291</v>
      </c>
      <c r="C305" s="19" t="s">
        <v>2261</v>
      </c>
      <c r="D305" s="21" t="s">
        <v>2266</v>
      </c>
      <c r="E305" s="19"/>
      <c r="F305" s="19"/>
      <c r="G305" s="18">
        <v>0</v>
      </c>
      <c r="H305" s="18">
        <v>0</v>
      </c>
      <c r="I305" s="18">
        <v>0</v>
      </c>
      <c r="J305" s="18">
        <v>0</v>
      </c>
      <c r="K305" s="18"/>
    </row>
    <row r="306" spans="1:11" ht="15.75" customHeight="1" x14ac:dyDescent="0.25">
      <c r="A306" s="19">
        <v>305</v>
      </c>
      <c r="B306" s="19" t="s">
        <v>648</v>
      </c>
      <c r="C306" s="19" t="s">
        <v>2261</v>
      </c>
      <c r="D306" s="21" t="s">
        <v>2266</v>
      </c>
      <c r="E306" s="19"/>
      <c r="F306" s="19"/>
      <c r="G306" s="18">
        <v>0</v>
      </c>
      <c r="H306" s="18">
        <v>0</v>
      </c>
      <c r="I306" s="18">
        <v>0</v>
      </c>
      <c r="J306" s="18">
        <v>0</v>
      </c>
      <c r="K306" s="18"/>
    </row>
    <row r="307" spans="1:11" ht="15.75" customHeight="1" x14ac:dyDescent="0.25">
      <c r="A307" s="19">
        <v>306</v>
      </c>
      <c r="B307" s="19" t="s">
        <v>2292</v>
      </c>
      <c r="C307" s="19" t="s">
        <v>2263</v>
      </c>
      <c r="D307" s="19" t="s">
        <v>2264</v>
      </c>
      <c r="E307" s="19"/>
      <c r="F307" s="19" t="s">
        <v>2269</v>
      </c>
      <c r="G307" s="18">
        <v>0</v>
      </c>
      <c r="H307" s="18">
        <v>0</v>
      </c>
      <c r="I307" s="18">
        <v>0</v>
      </c>
      <c r="J307" s="18">
        <v>0</v>
      </c>
      <c r="K307" s="18"/>
    </row>
    <row r="308" spans="1:11" ht="15.75" customHeight="1" x14ac:dyDescent="0.25">
      <c r="A308" s="19">
        <v>307</v>
      </c>
      <c r="B308" s="19" t="s">
        <v>2293</v>
      </c>
      <c r="C308" s="19" t="s">
        <v>2263</v>
      </c>
      <c r="D308" s="19" t="s">
        <v>2264</v>
      </c>
      <c r="E308" s="19"/>
      <c r="F308" s="20">
        <v>40026</v>
      </c>
      <c r="G308" s="18">
        <v>1</v>
      </c>
      <c r="H308" s="18">
        <v>1</v>
      </c>
      <c r="I308" s="18">
        <v>1</v>
      </c>
      <c r="J308" s="18">
        <v>0</v>
      </c>
      <c r="K308" s="18"/>
    </row>
    <row r="309" spans="1:11" ht="15.75" customHeight="1" x14ac:dyDescent="0.25">
      <c r="A309" s="19">
        <v>308</v>
      </c>
      <c r="B309" s="19" t="s">
        <v>2294</v>
      </c>
      <c r="C309" s="19" t="s">
        <v>2263</v>
      </c>
      <c r="D309" s="19" t="s">
        <v>2264</v>
      </c>
      <c r="E309" s="19"/>
      <c r="F309" s="20">
        <v>40026</v>
      </c>
      <c r="G309" s="18">
        <v>1</v>
      </c>
      <c r="H309" s="18">
        <v>1</v>
      </c>
      <c r="I309" s="18">
        <v>1</v>
      </c>
      <c r="J309" s="18">
        <v>0</v>
      </c>
      <c r="K309" s="18"/>
    </row>
    <row r="310" spans="1:11" ht="15.75" customHeight="1" x14ac:dyDescent="0.25">
      <c r="A310" s="19">
        <v>309</v>
      </c>
      <c r="B310" s="19" t="s">
        <v>2295</v>
      </c>
      <c r="C310" s="19" t="s">
        <v>2263</v>
      </c>
      <c r="D310" s="19" t="s">
        <v>2264</v>
      </c>
      <c r="E310" s="19"/>
      <c r="F310" s="20">
        <v>40026</v>
      </c>
      <c r="G310" s="18">
        <v>1</v>
      </c>
      <c r="H310" s="18">
        <v>0</v>
      </c>
      <c r="I310" s="18">
        <v>1</v>
      </c>
      <c r="J310" s="18">
        <v>0</v>
      </c>
      <c r="K310" s="18"/>
    </row>
    <row r="311" spans="1:11" ht="15.75" customHeight="1" x14ac:dyDescent="0.25">
      <c r="A311" s="19">
        <v>310</v>
      </c>
      <c r="B311" s="19" t="s">
        <v>2296</v>
      </c>
      <c r="C311" s="19" t="s">
        <v>2261</v>
      </c>
      <c r="D311" s="21" t="s">
        <v>2266</v>
      </c>
      <c r="E311" s="19"/>
      <c r="F311" s="19"/>
      <c r="G311" s="18">
        <v>1</v>
      </c>
      <c r="H311" s="18">
        <v>0</v>
      </c>
      <c r="I311" s="18">
        <v>0</v>
      </c>
      <c r="J311" s="18">
        <v>0</v>
      </c>
      <c r="K311" s="18"/>
    </row>
    <row r="312" spans="1:11" ht="15.75" customHeight="1" x14ac:dyDescent="0.25">
      <c r="A312" s="19">
        <v>311</v>
      </c>
      <c r="B312" s="19" t="s">
        <v>2297</v>
      </c>
      <c r="C312" s="19" t="s">
        <v>2261</v>
      </c>
      <c r="D312" s="21" t="s">
        <v>2266</v>
      </c>
      <c r="E312" s="19"/>
      <c r="F312" s="19"/>
      <c r="G312" s="18">
        <v>1</v>
      </c>
      <c r="H312" s="18">
        <v>0</v>
      </c>
      <c r="I312" s="18">
        <v>0</v>
      </c>
      <c r="J312" s="18">
        <v>0</v>
      </c>
      <c r="K312" s="18"/>
    </row>
    <row r="313" spans="1:11" ht="15.75" customHeight="1" x14ac:dyDescent="0.25">
      <c r="A313" s="19">
        <v>312</v>
      </c>
      <c r="B313" s="19" t="s">
        <v>2298</v>
      </c>
      <c r="C313" s="19" t="s">
        <v>2263</v>
      </c>
      <c r="D313" s="19" t="s">
        <v>2264</v>
      </c>
      <c r="E313" s="19"/>
      <c r="F313" s="20">
        <v>40026</v>
      </c>
      <c r="G313" s="18">
        <v>1</v>
      </c>
      <c r="H313" s="18">
        <v>0</v>
      </c>
      <c r="I313" s="18">
        <v>0</v>
      </c>
      <c r="J313" s="18">
        <v>0</v>
      </c>
      <c r="K313" s="18"/>
    </row>
    <row r="314" spans="1:11" ht="15.75" customHeight="1" x14ac:dyDescent="0.25">
      <c r="A314" s="19">
        <v>313</v>
      </c>
      <c r="B314" s="19" t="s">
        <v>2299</v>
      </c>
      <c r="C314" s="19" t="s">
        <v>2263</v>
      </c>
      <c r="D314" s="19" t="s">
        <v>2264</v>
      </c>
      <c r="E314" s="19"/>
      <c r="F314" s="20">
        <v>40026</v>
      </c>
      <c r="G314" s="18">
        <v>1</v>
      </c>
      <c r="H314" s="18">
        <v>0</v>
      </c>
      <c r="I314" s="18">
        <v>0</v>
      </c>
      <c r="J314" s="18">
        <v>0</v>
      </c>
      <c r="K314" s="18"/>
    </row>
    <row r="315" spans="1:11" ht="15.75" customHeight="1" x14ac:dyDescent="0.25">
      <c r="A315" s="19">
        <v>314</v>
      </c>
      <c r="B315" s="19">
        <v>1836</v>
      </c>
      <c r="C315" s="19" t="s">
        <v>2261</v>
      </c>
      <c r="D315" s="21" t="s">
        <v>2266</v>
      </c>
      <c r="E315" s="19"/>
      <c r="F315" s="19"/>
      <c r="G315" s="18">
        <v>0</v>
      </c>
      <c r="H315" s="18">
        <v>1</v>
      </c>
      <c r="I315" s="18">
        <v>0</v>
      </c>
      <c r="J315" s="18">
        <v>0</v>
      </c>
      <c r="K315" s="18"/>
    </row>
    <row r="316" spans="1:11" ht="15.75" customHeight="1" x14ac:dyDescent="0.25">
      <c r="A316" s="19">
        <v>315</v>
      </c>
      <c r="B316" s="19" t="s">
        <v>2300</v>
      </c>
      <c r="C316" s="19" t="s">
        <v>2263</v>
      </c>
      <c r="D316" s="19" t="s">
        <v>2264</v>
      </c>
      <c r="E316" s="19"/>
      <c r="F316" s="20">
        <v>40026</v>
      </c>
      <c r="G316" s="18">
        <v>0</v>
      </c>
      <c r="H316" s="18">
        <v>0</v>
      </c>
      <c r="I316" s="18">
        <v>1</v>
      </c>
      <c r="J316" s="18">
        <v>0</v>
      </c>
      <c r="K316" s="18"/>
    </row>
    <row r="317" spans="1:11" ht="15.75" customHeight="1" x14ac:dyDescent="0.25">
      <c r="A317" s="19">
        <v>316</v>
      </c>
      <c r="B317" s="19" t="s">
        <v>2301</v>
      </c>
      <c r="C317" s="19" t="s">
        <v>2263</v>
      </c>
      <c r="D317" s="19" t="s">
        <v>2264</v>
      </c>
      <c r="E317" s="19"/>
      <c r="F317" s="20">
        <v>40026</v>
      </c>
      <c r="G317" s="18">
        <v>0</v>
      </c>
      <c r="H317" s="18">
        <v>0</v>
      </c>
      <c r="I317" s="18">
        <v>0</v>
      </c>
      <c r="J317" s="18">
        <v>0</v>
      </c>
      <c r="K317" s="18"/>
    </row>
    <row r="318" spans="1:11" ht="15.75" customHeight="1" x14ac:dyDescent="0.25">
      <c r="A318" s="19">
        <v>317</v>
      </c>
      <c r="B318" s="19" t="s">
        <v>1440</v>
      </c>
      <c r="C318" s="19" t="s">
        <v>2263</v>
      </c>
      <c r="D318" s="19" t="s">
        <v>2264</v>
      </c>
      <c r="E318" s="19"/>
      <c r="F318" s="20">
        <v>40026</v>
      </c>
      <c r="G318" s="18">
        <v>0</v>
      </c>
      <c r="H318" s="18">
        <v>0</v>
      </c>
      <c r="I318" s="18">
        <v>0</v>
      </c>
      <c r="J318" s="18">
        <v>0</v>
      </c>
      <c r="K318" s="18"/>
    </row>
    <row r="319" spans="1:11" ht="15.75" customHeight="1" x14ac:dyDescent="0.25">
      <c r="A319" s="19">
        <v>318</v>
      </c>
      <c r="B319" s="19" t="s">
        <v>2302</v>
      </c>
      <c r="C319" s="19" t="s">
        <v>2261</v>
      </c>
      <c r="D319" s="19" t="s">
        <v>2262</v>
      </c>
      <c r="E319" s="20">
        <v>43252</v>
      </c>
      <c r="F319" s="19"/>
      <c r="G319" s="18">
        <v>0</v>
      </c>
      <c r="H319" s="18">
        <v>1</v>
      </c>
      <c r="I319" s="18">
        <v>0</v>
      </c>
      <c r="J319" s="18">
        <v>0</v>
      </c>
      <c r="K319" s="18"/>
    </row>
    <row r="320" spans="1:11" ht="15.75" customHeight="1" x14ac:dyDescent="0.25">
      <c r="A320" s="19">
        <v>319</v>
      </c>
      <c r="B320" s="19" t="s">
        <v>2303</v>
      </c>
      <c r="C320" s="19" t="s">
        <v>2263</v>
      </c>
      <c r="D320" s="19" t="s">
        <v>2264</v>
      </c>
      <c r="E320" s="19"/>
      <c r="F320" s="20">
        <v>40026</v>
      </c>
      <c r="G320" s="18">
        <v>0</v>
      </c>
      <c r="H320" s="18">
        <v>1</v>
      </c>
      <c r="I320" s="18">
        <v>0</v>
      </c>
      <c r="J320" s="18">
        <v>0</v>
      </c>
      <c r="K320" s="18"/>
    </row>
    <row r="321" spans="1:11" ht="15.75" customHeight="1" x14ac:dyDescent="0.25">
      <c r="A321" s="19">
        <v>320</v>
      </c>
      <c r="B321" s="19" t="s">
        <v>618</v>
      </c>
      <c r="C321" s="19" t="s">
        <v>2261</v>
      </c>
      <c r="D321" s="21" t="s">
        <v>2266</v>
      </c>
      <c r="E321" s="19"/>
      <c r="F321" s="19"/>
      <c r="G321" s="18">
        <v>0</v>
      </c>
      <c r="H321" s="18">
        <v>0</v>
      </c>
      <c r="I321" s="18">
        <v>1</v>
      </c>
      <c r="J321" s="18">
        <v>0</v>
      </c>
      <c r="K321" s="18"/>
    </row>
    <row r="322" spans="1:11" ht="15.75" customHeight="1" x14ac:dyDescent="0.25">
      <c r="A322" s="19">
        <v>321</v>
      </c>
      <c r="B322" s="19" t="s">
        <v>2304</v>
      </c>
      <c r="C322" s="19" t="s">
        <v>2263</v>
      </c>
      <c r="D322" s="21" t="s">
        <v>2264</v>
      </c>
      <c r="E322" s="19"/>
      <c r="F322" s="20">
        <v>40026</v>
      </c>
      <c r="G322" s="18">
        <v>0</v>
      </c>
      <c r="H322" s="18">
        <v>0</v>
      </c>
      <c r="I322" s="18">
        <v>1</v>
      </c>
      <c r="J322" s="18">
        <v>0</v>
      </c>
      <c r="K322" s="18"/>
    </row>
    <row r="323" spans="1:11" ht="15.75" customHeight="1" x14ac:dyDescent="0.25">
      <c r="A323" s="19">
        <v>322</v>
      </c>
      <c r="B323" s="19" t="s">
        <v>2305</v>
      </c>
      <c r="C323" s="19" t="s">
        <v>2261</v>
      </c>
      <c r="D323" s="21" t="s">
        <v>2266</v>
      </c>
      <c r="E323" s="19"/>
      <c r="F323" s="19"/>
      <c r="G323" s="18">
        <v>0</v>
      </c>
      <c r="H323" s="18">
        <v>0</v>
      </c>
      <c r="I323" s="18">
        <v>1</v>
      </c>
      <c r="J323" s="18">
        <v>0</v>
      </c>
      <c r="K323" s="18"/>
    </row>
    <row r="324" spans="1:11" ht="15.75" customHeight="1" x14ac:dyDescent="0.25"/>
    <row r="325" spans="1:11" ht="15.75" customHeight="1" x14ac:dyDescent="0.25"/>
    <row r="326" spans="1:11" ht="15.75" customHeight="1" x14ac:dyDescent="0.25"/>
    <row r="327" spans="1:11" ht="15.75" customHeight="1" x14ac:dyDescent="0.25"/>
    <row r="328" spans="1:11" ht="15.75" customHeight="1" x14ac:dyDescent="0.25"/>
    <row r="329" spans="1:11" ht="15.75" customHeight="1" x14ac:dyDescent="0.25"/>
    <row r="330" spans="1:11" ht="15.75" customHeight="1" x14ac:dyDescent="0.25"/>
    <row r="331" spans="1:11" ht="15.75" customHeight="1" x14ac:dyDescent="0.25"/>
    <row r="332" spans="1:11" ht="15.75" customHeight="1" x14ac:dyDescent="0.25"/>
    <row r="333" spans="1:11" ht="15.75" customHeight="1" x14ac:dyDescent="0.25"/>
    <row r="334" spans="1:11" ht="15.75" customHeight="1" x14ac:dyDescent="0.25"/>
    <row r="335" spans="1:11" ht="15.75" customHeight="1" x14ac:dyDescent="0.25"/>
    <row r="336" spans="1:11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C2:C323">
    <cfRule type="containsText" dxfId="3" priority="1" operator="containsText" text="Ilegal">
      <formula>NOT(ISERROR(SEARCH(("Ilegal"),(C2))))</formula>
    </cfRule>
    <cfRule type="containsText" dxfId="2" priority="2" operator="containsText" text="Legal">
      <formula>NOT(ISERROR(SEARCH(("Legal"),(C2))))</formula>
    </cfRule>
  </conditionalFormatting>
  <conditionalFormatting sqref="D2:D322">
    <cfRule type="containsText" dxfId="1" priority="3" operator="containsText" text="COFEPRIS">
      <formula>NOT(ISERROR(SEARCH(("COFEPRIS"),(D2))))</formula>
    </cfRule>
    <cfRule type="containsText" dxfId="0" priority="4" operator="containsText" text="DOF">
      <formula>NOT(ISERROR(SEARCH(("DOF"),(D2))))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RMF</vt:lpstr>
      <vt:lpstr>2018</vt:lpstr>
      <vt:lpstr>2019</vt:lpstr>
      <vt:lpstr>2020</vt:lpstr>
      <vt:lpstr>2021</vt:lpstr>
      <vt:lpstr>2022</vt:lpstr>
      <vt:lpstr>2023</vt:lpstr>
      <vt:lpstr>ALERTA SANITARIA</vt:lpstr>
      <vt:lpstr>Anterior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 Ibarra</dc:creator>
  <cp:lastModifiedBy>Essau Celedon</cp:lastModifiedBy>
  <dcterms:created xsi:type="dcterms:W3CDTF">2023-03-21T07:23:26Z</dcterms:created>
  <dcterms:modified xsi:type="dcterms:W3CDTF">2026-07-07T03:13:09Z</dcterms:modified>
</cp:coreProperties>
</file>